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2b3810153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138f5b22374921"/>
    <x:sheet xmlns:r="http://schemas.openxmlformats.org/officeDocument/2006/relationships" name="Head to Head" sheetId="2" r:id="R11bad11a4ac84c4d"/>
    <x:sheet xmlns:r="http://schemas.openxmlformats.org/officeDocument/2006/relationships" name="2015" sheetId="3" r:id="R1051871eae0c4e48"/>
    <x:sheet xmlns:r="http://schemas.openxmlformats.org/officeDocument/2006/relationships" name="2016" sheetId="4" r:id="R32152f88a1b84d19"/>
    <x:sheet xmlns:r="http://schemas.openxmlformats.org/officeDocument/2006/relationships" name="2017" sheetId="5" r:id="Radfa3efcecc543bb"/>
    <x:sheet xmlns:r="http://schemas.openxmlformats.org/officeDocument/2006/relationships" name="2018" sheetId="6" r:id="R962563a20f8f4462"/>
    <x:sheet xmlns:r="http://schemas.openxmlformats.org/officeDocument/2006/relationships" name="2019" sheetId="7" r:id="Rd454c22ed7de4da5"/>
    <x:sheet xmlns:r="http://schemas.openxmlformats.org/officeDocument/2006/relationships" name="2020" sheetId="8" r:id="Rc570e458614043d7"/>
    <x:sheet xmlns:r="http://schemas.openxmlformats.org/officeDocument/2006/relationships" name="2021" sheetId="9" r:id="R522fd3c3c9d84f7f"/>
    <x:sheet xmlns:r="http://schemas.openxmlformats.org/officeDocument/2006/relationships" name="2022" sheetId="10" r:id="Rbf2dbd11ade74864"/>
    <x:sheet xmlns:r="http://schemas.openxmlformats.org/officeDocument/2006/relationships" name="2023" sheetId="11" r:id="R26dbedc197d24d28"/>
    <x:sheet xmlns:r="http://schemas.openxmlformats.org/officeDocument/2006/relationships" name="2024" sheetId="12" r:id="R06e98c0887c84d90"/>
    <x:sheet xmlns:r="http://schemas.openxmlformats.org/officeDocument/2006/relationships" name="2025" sheetId="13" r:id="Rcb08269f6710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0.00"/>
    <x:numFmt numFmtId="203" formatCode="#,##0.00"/>
  </x:numFmts>
  <x:fonts count="5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AF0F7"/>
      </x:patternFill>
    </x:fill>
    <x:fill>
      <x:patternFill patternType="solid">
        <x:fgColor rgb="FF203864"/>
      </x:patternFill>
    </x:fill>
    <x:fill>
      <x:patternFill patternType="solid">
        <x:fgColor rgb="FFEA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ead73898d4d59" /><Relationship Type="http://schemas.openxmlformats.org/officeDocument/2006/relationships/theme" Target="/xl/theme/theme1.xml" Id="R4e72e7e1669f4622" /><Relationship Type="http://schemas.openxmlformats.org/officeDocument/2006/relationships/sharedStrings" Target="/xl/sharedStrings.xml" Id="R79ca49e760944853" /><Relationship Type="http://schemas.openxmlformats.org/officeDocument/2006/relationships/worksheet" Target="/xl/worksheets/sheet1.xml" Id="Rf7138f5b22374921" /><Relationship Type="http://schemas.openxmlformats.org/officeDocument/2006/relationships/worksheet" Target="/xl/worksheets/sheet2.xml" Id="R11bad11a4ac84c4d" /><Relationship Type="http://schemas.openxmlformats.org/officeDocument/2006/relationships/worksheet" Target="/xl/worksheets/sheet3.xml" Id="R1051871eae0c4e48" /><Relationship Type="http://schemas.openxmlformats.org/officeDocument/2006/relationships/worksheet" Target="/xl/worksheets/sheet4.xml" Id="R32152f88a1b84d19" /><Relationship Type="http://schemas.openxmlformats.org/officeDocument/2006/relationships/worksheet" Target="/xl/worksheets/sheet5.xml" Id="Radfa3efcecc543bb" /><Relationship Type="http://schemas.openxmlformats.org/officeDocument/2006/relationships/worksheet" Target="/xl/worksheets/sheet6.xml" Id="R962563a20f8f4462" /><Relationship Type="http://schemas.openxmlformats.org/officeDocument/2006/relationships/worksheet" Target="/xl/worksheets/sheet7.xml" Id="Rd454c22ed7de4da5" /><Relationship Type="http://schemas.openxmlformats.org/officeDocument/2006/relationships/worksheet" Target="/xl/worksheets/sheet8.xml" Id="Rc570e458614043d7" /><Relationship Type="http://schemas.openxmlformats.org/officeDocument/2006/relationships/worksheet" Target="/xl/worksheets/sheet9.xml" Id="R522fd3c3c9d84f7f" /><Relationship Type="http://schemas.openxmlformats.org/officeDocument/2006/relationships/worksheet" Target="/xl/worksheets/sheet10.xml" Id="Rbf2dbd11ade74864" /><Relationship Type="http://schemas.openxmlformats.org/officeDocument/2006/relationships/worksheet" Target="/xl/worksheets/sheet11.xml" Id="R26dbedc197d24d28" /><Relationship Type="http://schemas.openxmlformats.org/officeDocument/2006/relationships/worksheet" Target="/xl/worksheets/sheet12.xml" Id="R06e98c0887c84d90" /><Relationship Type="http://schemas.openxmlformats.org/officeDocument/2006/relationships/worksheet" Target="/xl/worksheets/sheet13.xml" Id="Rcb08269f671042e0" /></Relationships>
</file>

<file path=xl/tables/table1.xml><?xml version="1.0" encoding="utf-8"?>
<x:table xmlns:x="http://schemas.openxmlformats.org/spreadsheetml/2006/main" id="12" name="HeadToHead" displayName="HeadToHead" ref="A5:L168" headerRowCount="1" totalsRowCount="0" totalsRowShown="0">
  <x:tableColumns count="12">
    <x:tableColumn id="1" name="Manager A"/>
    <x:tableColumn id="2" name="Manager B"/>
    <x:tableColumn id="3" name="Games"/>
    <x:tableColumn id="4" name="A wins"/>
    <x:tableColumn id="5" name="B wins"/>
    <x:tableColumn id="6" name="Ties"/>
    <x:tableColumn id="7" name="A points"/>
    <x:tableColumn id="8" name="B points"/>
    <x:tableColumn id="9" name="A win %"/>
    <x:tableColumn id="10" name="Regular"/>
    <x:tableColumn id="11" name="Playoffs"/>
    <x:tableColumn id="12" name="Unconfirm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Games2015" displayName="Games2015" ref="A23:N96" headerRowCount="1" totalsRowCount="0" totalsRowShown="0">
  <x:tableColumns count="14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Games2016" displayName="Games2016" ref="A23:N96" headerRowCount="1" totalsRowCount="0" totalsRowShown="0">
  <x:tableColumns count="14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Games2017" displayName="Games2017" ref="A23:N106" headerRowCount="1" totalsRowCount="0" totalsRowShown="0">
  <x:tableColumns count="14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Games2018" displayName="Games2018" ref="A23:N106" headerRowCount="1" totalsRowCount="0" totalsRowShown="0">
  <x:tableColumns count="14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Games2019" displayName="Games2019" ref="A23:N106" headerRowCount="1" totalsRowCount="0" totalsRowShown="0">
  <x:tableColumns count="14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Games2020" displayName="Games2020" ref="A23:O106" headerRowCount="1" totalsRowCount="0" totalsRowShown="0">
  <x:tableColumns count="15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  <x:tableColumn id="15" name="Source mark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Games2021" displayName="Games2021" ref="A23:O112" headerRowCount="1" totalsRowCount="0" totalsRowShown="0">
  <x:tableColumns count="15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  <x:tableColumn id="15" name="Source mark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Games2022" displayName="Games2022" ref="A23:O112" headerRowCount="1" totalsRowCount="0" totalsRowShown="0">
  <x:tableColumns count="15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  <x:tableColumn id="15" name="Source mark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Games2023" displayName="Games2023" ref="A23:O112" headerRowCount="1" totalsRowCount="0" totalsRowShown="0">
  <x:tableColumns count="15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  <x:tableColumn id="15" name="Source mark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Games2024" displayName="Games2024" ref="A23:O112" headerRowCount="1" totalsRowCount="0" totalsRowShown="0">
  <x:tableColumns count="15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  <x:tableColumn id="15" name="Source marke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Games2025" displayName="Games2025" ref="A23:O112" headerRowCount="1" totalsRowCount="0" totalsRowShown="0">
  <x:tableColumns count="15">
    <x:tableColumn id="1" name="Week"/>
    <x:tableColumn id="2" name="Phase"/>
    <x:tableColumn id="3" name="Manager A"/>
    <x:tableColumn id="4" name="Team A"/>
    <x:tableColumn id="5" name="Score A"/>
    <x:tableColumn id="6" name="Manager B"/>
    <x:tableColumn id="7" name="Team B"/>
    <x:tableColumn id="8" name="Score B"/>
    <x:tableColumn id="9" name="Winner"/>
    <x:tableColumn id="10" name="Loser"/>
    <x:tableColumn id="11" name="Tie"/>
    <x:tableColumn id="12" name="Pair"/>
    <x:tableColumn id="13" name="Round"/>
    <x:tableColumn id="14" name="Week source"/>
    <x:tableColumn id="15" name="Source mark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501d8fe75e4d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9701acd10b41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efe1a0cc8f4f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031b9947da44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470077ac374d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d8d1d8e4944b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dcb9a1dcd048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1402080f0a49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120dbbea32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af18b9b8e6648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e948a8559c248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95437cbf3da42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Budzik Invitational History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26" customHeight="1">
      <x:c r="A5" s="18" t="str">
        <x:v>Season</x:v>
      </x:c>
      <x:c r="B5" s="18" t="str">
        <x:v>Teams</x:v>
      </x:c>
      <x:c r="C5" s="18" t="str">
        <x:v>Regular games</x:v>
      </x:c>
      <x:c r="D5" s="18" t="str">
        <x:v>Unconfirmed</x:v>
      </x:c>
      <x:c r="E5" s="18" t="str">
        <x:v>Playoff games</x:v>
      </x:c>
      <x:c r="F5" s="18" t="str">
        <x:v>Champion</x:v>
      </x:c>
      <x:c r="G5" s="18" t="str">
        <x:v>Runner-up</x:v>
      </x:c>
      <x:c r="H5" s="2"/>
    </x:row>
    <x:row r="6" ht="22" customHeight="1">
      <x:c r="A6" s="22" t="n">
        <x:v>2015</x:v>
      </x:c>
      <x:c r="B6" s="22" t="n">
        <x:v>10</x:v>
      </x:c>
      <x:c r="C6" s="22" t="n">
        <x:f>COUNTIF('2015'!$B$24:$B$96,"Regular")</x:f>
        <x:v>70</x:v>
      </x:c>
      <x:c r="D6" s="22" t="n">
        <x:f>COUNTIF('2015'!$B$24:$B$96,"Unconfirmed")</x:f>
        <x:v>0</x:v>
      </x:c>
      <x:c r="E6" s="22" t="n">
        <x:f>COUNTIF('2015'!$B$24:$B$96,"Playoffs")</x:f>
        <x:v>3</x:v>
      </x:c>
      <x:c r="F6" s="22" t="str">
        <x:v>Taylor</x:v>
      </x:c>
      <x:c r="G6" s="22" t="str">
        <x:v>James B.</x:v>
      </x:c>
      <x:c r="H6" s="2"/>
    </x:row>
    <x:row r="7" ht="22" customHeight="1">
      <x:c r="A7" s="2" t="n">
        <x:v>2016</x:v>
      </x:c>
      <x:c r="B7" s="2" t="n">
        <x:v>10</x:v>
      </x:c>
      <x:c r="C7" s="2" t="n">
        <x:f>COUNTIF('2016'!$B$24:$B$96,"Regular")</x:f>
        <x:v>70</x:v>
      </x:c>
      <x:c r="D7" s="2" t="n">
        <x:f>COUNTIF('2016'!$B$24:$B$96,"Unconfirmed")</x:f>
        <x:v>0</x:v>
      </x:c>
      <x:c r="E7" s="2" t="n">
        <x:f>COUNTIF('2016'!$B$24:$B$96,"Playoffs")</x:f>
        <x:v>3</x:v>
      </x:c>
      <x:c r="F7" s="2" t="str">
        <x:v>James B.</x:v>
      </x:c>
      <x:c r="G7" s="2" t="str">
        <x:v>Matt</x:v>
      </x:c>
      <x:c r="H7" s="2"/>
    </x:row>
    <x:row r="8" ht="22" customHeight="1">
      <x:c r="A8" s="22" t="n">
        <x:v>2017</x:v>
      </x:c>
      <x:c r="B8" s="22" t="n">
        <x:v>12</x:v>
      </x:c>
      <x:c r="C8" s="22" t="n">
        <x:f>COUNTIF('2017'!$B$24:$B$106,"Regular")</x:f>
        <x:v>78</x:v>
      </x:c>
      <x:c r="D8" s="22" t="n">
        <x:f>COUNTIF('2017'!$B$24:$B$106,"Unconfirmed")</x:f>
        <x:v>0</x:v>
      </x:c>
      <x:c r="E8" s="22" t="n">
        <x:f>COUNTIF('2017'!$B$24:$B$106,"Playoffs")</x:f>
        <x:v>5</x:v>
      </x:c>
      <x:c r="F8" s="22" t="str">
        <x:v>Andrew</x:v>
      </x:c>
      <x:c r="G8" s="22" t="str">
        <x:v>Taylor</x:v>
      </x:c>
      <x:c r="H8" s="2"/>
    </x:row>
    <x:row r="9" ht="22" customHeight="1">
      <x:c r="A9" s="2" t="n">
        <x:v>2018</x:v>
      </x:c>
      <x:c r="B9" s="2" t="n">
        <x:v>12</x:v>
      </x:c>
      <x:c r="C9" s="2" t="n">
        <x:f>COUNTIF('2018'!$B$24:$B$106,"Regular")</x:f>
        <x:v>78</x:v>
      </x:c>
      <x:c r="D9" s="2" t="n">
        <x:f>COUNTIF('2018'!$B$24:$B$106,"Unconfirmed")</x:f>
        <x:v>0</x:v>
      </x:c>
      <x:c r="E9" s="2" t="n">
        <x:f>COUNTIF('2018'!$B$24:$B$106,"Playoffs")</x:f>
        <x:v>5</x:v>
      </x:c>
      <x:c r="F9" s="2" t="str">
        <x:v>Ben</x:v>
      </x:c>
      <x:c r="G9" s="2" t="str">
        <x:v>Frank</x:v>
      </x:c>
      <x:c r="H9" s="2"/>
    </x:row>
    <x:row r="10" ht="22" customHeight="1">
      <x:c r="A10" s="22" t="n">
        <x:v>2019</x:v>
      </x:c>
      <x:c r="B10" s="22" t="n">
        <x:v>12</x:v>
      </x:c>
      <x:c r="C10" s="22" t="n">
        <x:f>COUNTIF('2019'!$B$24:$B$106,"Regular")</x:f>
        <x:v>78</x:v>
      </x:c>
      <x:c r="D10" s="22" t="n">
        <x:f>COUNTIF('2019'!$B$24:$B$106,"Unconfirmed")</x:f>
        <x:v>0</x:v>
      </x:c>
      <x:c r="E10" s="22" t="n">
        <x:f>COUNTIF('2019'!$B$24:$B$106,"Playoffs")</x:f>
        <x:v>5</x:v>
      </x:c>
      <x:c r="F10" s="22" t="str">
        <x:v>Craig</x:v>
      </x:c>
      <x:c r="G10" s="22" t="str">
        <x:v>Paul</x:v>
      </x:c>
      <x:c r="H10" s="2"/>
    </x:row>
    <x:row r="11" ht="22" customHeight="1">
      <x:c r="A11" s="2" t="n">
        <x:v>2020</x:v>
      </x:c>
      <x:c r="B11" s="2" t="n">
        <x:v>12</x:v>
      </x:c>
      <x:c r="C11" s="2" t="n">
        <x:f>COUNTIF('2020'!$B$24:$B$106,"Regular")</x:f>
        <x:v>78</x:v>
      </x:c>
      <x:c r="D11" s="2" t="n">
        <x:f>COUNTIF('2020'!$B$24:$B$106,"Unconfirmed")</x:f>
        <x:v>0</x:v>
      </x:c>
      <x:c r="E11" s="2" t="n">
        <x:f>COUNTIF('2020'!$B$24:$B$106,"Playoffs")</x:f>
        <x:v>5</x:v>
      </x:c>
      <x:c r="F11" s="2" t="str">
        <x:v>Matt</x:v>
      </x:c>
      <x:c r="G11" s="2" t="str">
        <x:v>Ben</x:v>
      </x:c>
      <x:c r="H11" s="2"/>
    </x:row>
    <x:row r="12" ht="22" customHeight="1">
      <x:c r="A12" s="22" t="n">
        <x:v>2021</x:v>
      </x:c>
      <x:c r="B12" s="22" t="n">
        <x:v>12</x:v>
      </x:c>
      <x:c r="C12" s="22" t="n">
        <x:f>COUNTIF('2021'!$B$24:$B$112,"Regular")</x:f>
        <x:v>84</x:v>
      </x:c>
      <x:c r="D12" s="22" t="n">
        <x:f>COUNTIF('2021'!$B$24:$B$112,"Unconfirmed")</x:f>
        <x:v>0</x:v>
      </x:c>
      <x:c r="E12" s="22" t="n">
        <x:f>COUNTIF('2021'!$B$24:$B$112,"Playoffs")</x:f>
        <x:v>5</x:v>
      </x:c>
      <x:c r="F12" s="22" t="str">
        <x:v>Poker Dude</x:v>
      </x:c>
      <x:c r="G12" s="22" t="str">
        <x:v>Paul</x:v>
      </x:c>
      <x:c r="H12" s="2"/>
    </x:row>
    <x:row r="13" ht="22" customHeight="1">
      <x:c r="A13" s="2" t="n">
        <x:v>2022</x:v>
      </x:c>
      <x:c r="B13" s="2" t="n">
        <x:v>12</x:v>
      </x:c>
      <x:c r="C13" s="2" t="n">
        <x:f>COUNTIF('2022'!$B$24:$B$112,"Regular")</x:f>
        <x:v>84</x:v>
      </x:c>
      <x:c r="D13" s="2" t="n">
        <x:f>COUNTIF('2022'!$B$24:$B$112,"Unconfirmed")</x:f>
        <x:v>0</x:v>
      </x:c>
      <x:c r="E13" s="2" t="n">
        <x:f>COUNTIF('2022'!$B$24:$B$112,"Playoffs")</x:f>
        <x:v>5</x:v>
      </x:c>
      <x:c r="F13" s="2" t="str">
        <x:v>Mike</x:v>
      </x:c>
      <x:c r="G13" s="2" t="str">
        <x:v>Paul</x:v>
      </x:c>
      <x:c r="H13" s="2"/>
    </x:row>
    <x:row r="14" ht="22" customHeight="1">
      <x:c r="A14" s="22" t="n">
        <x:v>2023</x:v>
      </x:c>
      <x:c r="B14" s="22" t="n">
        <x:v>12</x:v>
      </x:c>
      <x:c r="C14" s="22" t="n">
        <x:f>COUNTIF('2023'!$B$24:$B$112,"Regular")</x:f>
        <x:v>84</x:v>
      </x:c>
      <x:c r="D14" s="22" t="n">
        <x:f>COUNTIF('2023'!$B$24:$B$112,"Unconfirmed")</x:f>
        <x:v>0</x:v>
      </x:c>
      <x:c r="E14" s="22" t="n">
        <x:f>COUNTIF('2023'!$B$24:$B$112,"Playoffs")</x:f>
        <x:v>5</x:v>
      </x:c>
      <x:c r="F14" s="22" t="str">
        <x:v>Paul</x:v>
      </x:c>
      <x:c r="G14" s="22" t="str">
        <x:v>Josh</x:v>
      </x:c>
      <x:c r="H14" s="2"/>
    </x:row>
    <x:row r="15" ht="22" customHeight="1">
      <x:c r="A15" s="2" t="n">
        <x:v>2024</x:v>
      </x:c>
      <x:c r="B15" s="2" t="n">
        <x:v>12</x:v>
      </x:c>
      <x:c r="C15" s="2" t="n">
        <x:f>COUNTIF('2024'!$B$24:$B$112,"Regular")</x:f>
        <x:v>84</x:v>
      </x:c>
      <x:c r="D15" s="2" t="n">
        <x:f>COUNTIF('2024'!$B$24:$B$112,"Unconfirmed")</x:f>
        <x:v>0</x:v>
      </x:c>
      <x:c r="E15" s="2" t="n">
        <x:f>COUNTIF('2024'!$B$24:$B$112,"Playoffs")</x:f>
        <x:v>5</x:v>
      </x:c>
      <x:c r="F15" s="2" t="str">
        <x:v>Craig</x:v>
      </x:c>
      <x:c r="G15" s="2" t="str">
        <x:v>Michael</x:v>
      </x:c>
      <x:c r="H15" s="2"/>
    </x:row>
    <x:row r="16" ht="22" customHeight="1">
      <x:c r="A16" s="22" t="n">
        <x:v>2025</x:v>
      </x:c>
      <x:c r="B16" s="22" t="n">
        <x:v>12</x:v>
      </x:c>
      <x:c r="C16" s="22" t="n">
        <x:f>COUNTIF('2025'!$B$24:$B$112,"Regular")</x:f>
        <x:v>84</x:v>
      </x:c>
      <x:c r="D16" s="22" t="n">
        <x:f>COUNTIF('2025'!$B$24:$B$112,"Unconfirmed")</x:f>
        <x:v>0</x:v>
      </x:c>
      <x:c r="E16" s="22" t="n">
        <x:f>COUNTIF('2025'!$B$24:$B$112,"Playoffs")</x:f>
        <x:v>5</x:v>
      </x:c>
      <x:c r="F16" s="22" t="str">
        <x:v>Ed</x:v>
      </x:c>
      <x:c r="G16" s="22" t="str">
        <x:v>Mark</x:v>
      </x:c>
      <x:c r="H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</x:row>
    <x:row r="18" ht="22" customHeight="1">
      <x:c r="A18" s="2" t="str">
        <x:v>Total recorded matchups</x:v>
      </x:c>
      <x:c r="B18" s="2"/>
      <x:c r="C18" s="2" t="n">
        <x:f>SUM(C6:E16)</x:f>
        <x:v>923</x:v>
      </x:c>
      <x:c r="D18" s="2"/>
      <x:c r="E18" s="2"/>
      <x:c r="F18" s="2"/>
      <x:c r="G18" s="2"/>
      <x:c r="H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</x:row>
    <x:row r="21" ht="22" customHeight="1">
      <x:c r="A21" s="2" t="str">
        <x:v>Review notes</x:v>
      </x:c>
      <x:c r="B21" s="2"/>
      <x:c r="C21" s="2"/>
      <x:c r="D21" s="2"/>
      <x:c r="E21" s="2"/>
      <x:c r="F21" s="2"/>
      <x:c r="G21" s="2"/>
      <x:c r="H21" s="2"/>
    </x:row>
    <x:row r="22" ht="22" customHeight="1">
      <x:c r="A22" s="2" t="str">
        <x:v>All 2017–2025 regular-season fixtures cross-checked against both teams.</x:v>
      </x:c>
      <x:c r="B22" s="2"/>
      <x:c r="C22" s="2"/>
      <x:c r="D22" s="2"/>
      <x:c r="E22" s="2"/>
      <x:c r="F22" s="2"/>
      <x:c r="G22" s="2"/>
      <x:c r="H22" s="2"/>
    </x:row>
    <x:row r="23" ht="22" customHeight="1">
      <x:c r="A23" s="2" t="str">
        <x:v>2016 Weeks 1–14 confirmed regular season by Josh on October 9, 2026.</x:v>
      </x:c>
      <x:c r="B23" s="2"/>
      <x:c r="C23" s="2"/>
      <x:c r="D23" s="2"/>
      <x:c r="E23" s="2"/>
      <x:c r="F23" s="2"/>
      <x:c r="G23" s="2"/>
      <x:c r="H23" s="2"/>
    </x:row>
    <x:row r="24" ht="22" customHeight="1">
      <x:c r="A24" s="2" t="str">
        <x:v>Only supplied championship playoff games included. Consolation and third-place games omitted.</x:v>
      </x:c>
      <x:c r="B24" s="2"/>
      <x:c r="C24" s="2"/>
      <x:c r="D24" s="2"/>
      <x:c r="E24" s="2"/>
      <x:c r="F24" s="2"/>
      <x:c r="G24" s="2"/>
      <x:c r="H24" s="2"/>
    </x:row>
    <x:row r="25" ht="22" customHeight="1">
      <x:c r="A25" s="2" t="str">
        <x:v>2017 The Entourage is James B. 2019–2022 james’s Team is Poker Dude.</x:v>
      </x:c>
      <x:c r="B25" s="2"/>
      <x:c r="C25" s="2"/>
      <x:c r="D25" s="2"/>
      <x:c r="E25" s="2"/>
      <x:c r="F25" s="2"/>
      <x:c r="G25" s="2"/>
      <x:c r="H25" s="2"/>
    </x:row>
    <x:row r="26" ht="22" customHeight="1">
      <x:c r="A26" s="2" t="str">
        <x:v>Week labels inferred from playoff sequence are marked in the season tables.</x:v>
      </x:c>
      <x:c r="B26" s="2"/>
      <x:c r="C26" s="2"/>
      <x:c r="D26" s="2"/>
      <x:c r="E26" s="2"/>
      <x:c r="F26" s="2"/>
      <x:c r="G26" s="2"/>
      <x:c r="H26" s="2"/>
    </x:row>
    <x:row r="27" ht="22" customHeight="1">
      <x:c r="A27" s="2" t="str">
        <x:v>Head-to-head includes all recorded games, with separate counts for each phase.</x:v>
      </x:c>
      <x:c r="B27" s="2"/>
      <x:c r="C27" s="2"/>
      <x:c r="D27" s="2"/>
      <x:c r="E27" s="2"/>
      <x:c r="F27" s="2"/>
      <x:c r="G27" s="2"/>
      <x:c r="H27" s="2"/>
    </x:row>
    <x:row r="28" ht="22" customHeight="1">
      <x:c r="A28" s="2" t="str">
        <x:v>Season standings are alphabetical, not official Yahoo playoff seeding.</x:v>
      </x:c>
      <x:c r="B28" s="2"/>
      <x:c r="C28" s="2"/>
      <x:c r="D28" s="2"/>
      <x:c r="E28" s="2"/>
      <x:c r="F28" s="2"/>
      <x:c r="G28" s="2"/>
      <x:c r="H28" s="2"/>
    </x:row>
    <x:row r="29" ht="22" customHeight="1">
      <x:c r="A29" s="2" t="str">
        <x:v>Asterisks preserved as source markers. Their meaning has not been confirmed.</x:v>
      </x:c>
      <x:c r="B29" s="2"/>
      <x:c r="C29" s="2"/>
      <x:c r="D29" s="2"/>
      <x:c r="E29" s="2"/>
      <x:c r="F29" s="2"/>
      <x:c r="G29" s="2"/>
      <x:c r="H29" s="2"/>
    </x:row>
    <x:row r="30" ht="22" customHeight="1">
      <x:c r="A30" s="2" t="str">
        <x:v>Source: Yahoo results pasted by Josh and saved 2015–2016 history.</x:v>
      </x:c>
      <x:c r="B30" s="2"/>
      <x:c r="C30" s="2"/>
      <x:c r="D30" s="2"/>
      <x:c r="E30" s="2"/>
      <x:c r="F30" s="2"/>
      <x:c r="G30" s="2"/>
      <x:c r="H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All-time Head-to-Head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Includes all supplied games from 2015–2025. W / L / T shown from Manager A’s perspective.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18" t="str">
        <x:v>Manager A</x:v>
      </x:c>
      <x:c r="B5" s="18" t="str">
        <x:v>Manager B</x:v>
      </x:c>
      <x:c r="C5" s="18" t="str">
        <x:v>Games</x:v>
      </x:c>
      <x:c r="D5" s="18" t="str">
        <x:v>A wins</x:v>
      </x:c>
      <x:c r="E5" s="18" t="str">
        <x:v>B wins</x:v>
      </x:c>
      <x:c r="F5" s="18" t="str">
        <x:v>Ties</x:v>
      </x:c>
      <x:c r="G5" s="18" t="str">
        <x:v>A points</x:v>
      </x:c>
      <x:c r="H5" s="18" t="str">
        <x:v>B points</x:v>
      </x:c>
      <x:c r="I5" s="18" t="str">
        <x:v>A win %</x:v>
      </x:c>
      <x:c r="J5" s="18" t="str">
        <x:v>Regular</x:v>
      </x:c>
      <x:c r="K5" s="18" t="str">
        <x:v>Playoffs</x:v>
      </x:c>
      <x:c r="L5" s="18" t="str">
        <x:v>Unconfirmed</x:v>
      </x:c>
    </x:row>
    <x:row r="6" ht="22" customHeight="1">
      <x:c r="A6" s="2" t="str">
        <x:v>Andrew</x:v>
      </x:c>
      <x:c r="B6" s="2" t="str">
        <x:v>Ben</x:v>
      </x:c>
      <x:c r="C6" s="2" t="n">
        <x:f>COUNTIFS('2015'!$L$24:$L$96,A6&amp;" / "&amp;B6)+COUNTIFS('2016'!$L$24:$L$96,A6&amp;" / "&amp;B6)+COUNTIFS('2017'!$L$24:$L$106,A6&amp;" / "&amp;B6)+COUNTIFS('2018'!$L$24:$L$106,A6&amp;" / "&amp;B6)+COUNTIFS('2019'!$L$24:$L$106,A6&amp;" / "&amp;B6)+COUNTIFS('2020'!$L$24:$L$106,A6&amp;" / "&amp;B6)+COUNTIFS('2021'!$L$24:$L$112,A6&amp;" / "&amp;B6)+COUNTIFS('2022'!$L$24:$L$112,A6&amp;" / "&amp;B6)+COUNTIFS('2023'!$L$24:$L$112,A6&amp;" / "&amp;B6)+COUNTIFS('2024'!$L$24:$L$112,A6&amp;" / "&amp;B6)+COUNTIFS('2025'!$L$24:$L$112,A6&amp;" / "&amp;B6)</x:f>
        <x:v>2</x:v>
      </x:c>
      <x:c r="D6" s="2" t="n">
        <x:f>COUNTIFS('2015'!$L$24:$L$96,A6&amp;" / "&amp;B6,'2015'!$I$24:$I$96,A6)+COUNTIFS('2016'!$L$24:$L$96,A6&amp;" / "&amp;B6,'2016'!$I$24:$I$96,A6)+COUNTIFS('2017'!$L$24:$L$106,A6&amp;" / "&amp;B6,'2017'!$I$24:$I$106,A6)+COUNTIFS('2018'!$L$24:$L$106,A6&amp;" / "&amp;B6,'2018'!$I$24:$I$106,A6)+COUNTIFS('2019'!$L$24:$L$106,A6&amp;" / "&amp;B6,'2019'!$I$24:$I$106,A6)+COUNTIFS('2020'!$L$24:$L$106,A6&amp;" / "&amp;B6,'2020'!$I$24:$I$106,A6)+COUNTIFS('2021'!$L$24:$L$112,A6&amp;" / "&amp;B6,'2021'!$I$24:$I$112,A6)+COUNTIFS('2022'!$L$24:$L$112,A6&amp;" / "&amp;B6,'2022'!$I$24:$I$112,A6)+COUNTIFS('2023'!$L$24:$L$112,A6&amp;" / "&amp;B6,'2023'!$I$24:$I$112,A6)+COUNTIFS('2024'!$L$24:$L$112,A6&amp;" / "&amp;B6,'2024'!$I$24:$I$112,A6)+COUNTIFS('2025'!$L$24:$L$112,A6&amp;" / "&amp;B6,'2025'!$I$24:$I$112,A6)</x:f>
        <x:v>0</x:v>
      </x:c>
      <x:c r="E6" s="2" t="n">
        <x:f>COUNTIFS('2015'!$L$24:$L$96,A6&amp;" / "&amp;B6,'2015'!$I$24:$I$96,B6)+COUNTIFS('2016'!$L$24:$L$96,A6&amp;" / "&amp;B6,'2016'!$I$24:$I$96,B6)+COUNTIFS('2017'!$L$24:$L$106,A6&amp;" / "&amp;B6,'2017'!$I$24:$I$106,B6)+COUNTIFS('2018'!$L$24:$L$106,A6&amp;" / "&amp;B6,'2018'!$I$24:$I$106,B6)+COUNTIFS('2019'!$L$24:$L$106,A6&amp;" / "&amp;B6,'2019'!$I$24:$I$106,B6)+COUNTIFS('2020'!$L$24:$L$106,A6&amp;" / "&amp;B6,'2020'!$I$24:$I$106,B6)+COUNTIFS('2021'!$L$24:$L$112,A6&amp;" / "&amp;B6,'2021'!$I$24:$I$112,B6)+COUNTIFS('2022'!$L$24:$L$112,A6&amp;" / "&amp;B6,'2022'!$I$24:$I$112,B6)+COUNTIFS('2023'!$L$24:$L$112,A6&amp;" / "&amp;B6,'2023'!$I$24:$I$112,B6)+COUNTIFS('2024'!$L$24:$L$112,A6&amp;" / "&amp;B6,'2024'!$I$24:$I$112,B6)+COUNTIFS('2025'!$L$24:$L$112,A6&amp;" / "&amp;B6,'2025'!$I$24:$I$112,B6)</x:f>
        <x:v>2</x:v>
      </x:c>
      <x:c r="F6" s="2" t="n">
        <x:f>COUNTIFS('2015'!$L$24:$L$96,A6&amp;" / "&amp;B6,'2015'!$K$24:$K$96,1)+COUNTIFS('2016'!$L$24:$L$96,A6&amp;" / "&amp;B6,'2016'!$K$24:$K$96,1)+COUNTIFS('2017'!$L$24:$L$106,A6&amp;" / "&amp;B6,'2017'!$K$24:$K$106,1)+COUNTIFS('2018'!$L$24:$L$106,A6&amp;" / "&amp;B6,'2018'!$K$24:$K$106,1)+COUNTIFS('2019'!$L$24:$L$106,A6&amp;" / "&amp;B6,'2019'!$K$24:$K$106,1)+COUNTIFS('2020'!$L$24:$L$106,A6&amp;" / "&amp;B6,'2020'!$K$24:$K$106,1)+COUNTIFS('2021'!$L$24:$L$112,A6&amp;" / "&amp;B6,'2021'!$K$24:$K$112,1)+COUNTIFS('2022'!$L$24:$L$112,A6&amp;" / "&amp;B6,'2022'!$K$24:$K$112,1)+COUNTIFS('2023'!$L$24:$L$112,A6&amp;" / "&amp;B6,'2023'!$K$24:$K$112,1)+COUNTIFS('2024'!$L$24:$L$112,A6&amp;" / "&amp;B6,'2024'!$K$24:$K$112,1)+COUNTIFS('2025'!$L$24:$L$112,A6&amp;" / "&amp;B6,'2025'!$K$24:$K$112,1)</x:f>
        <x:v>0</x:v>
      </x:c>
      <x:c r="G6" s="25" t="n">
        <x:f>SUMIFS('2015'!$E$24:$E$96,'2015'!$L$24:$L$96,A6&amp;" / "&amp;B6,'2015'!$C$24:$C$96,A6)+SUMIFS('2015'!$H$24:$H$96,'2015'!$L$24:$L$96,A6&amp;" / "&amp;B6,'2015'!$F$24:$F$96,A6)+SUMIFS('2016'!$E$24:$E$96,'2016'!$L$24:$L$96,A6&amp;" / "&amp;B6,'2016'!$C$24:$C$96,A6)+SUMIFS('2016'!$H$24:$H$96,'2016'!$L$24:$L$96,A6&amp;" / "&amp;B6,'2016'!$F$24:$F$96,A6)+SUMIFS('2017'!$E$24:$E$106,'2017'!$L$24:$L$106,A6&amp;" / "&amp;B6,'2017'!$C$24:$C$106,A6)+SUMIFS('2017'!$H$24:$H$106,'2017'!$L$24:$L$106,A6&amp;" / "&amp;B6,'2017'!$F$24:$F$106,A6)+SUMIFS('2018'!$E$24:$E$106,'2018'!$L$24:$L$106,A6&amp;" / "&amp;B6,'2018'!$C$24:$C$106,A6)+SUMIFS('2018'!$H$24:$H$106,'2018'!$L$24:$L$106,A6&amp;" / "&amp;B6,'2018'!$F$24:$F$106,A6)+SUMIFS('2019'!$E$24:$E$106,'2019'!$L$24:$L$106,A6&amp;" / "&amp;B6,'2019'!$C$24:$C$106,A6)+SUMIFS('2019'!$H$24:$H$106,'2019'!$L$24:$L$106,A6&amp;" / "&amp;B6,'2019'!$F$24:$F$106,A6)+SUMIFS('2020'!$E$24:$E$106,'2020'!$L$24:$L$106,A6&amp;" / "&amp;B6,'2020'!$C$24:$C$106,A6)+SUMIFS('2020'!$H$24:$H$106,'2020'!$L$24:$L$106,A6&amp;" / "&amp;B6,'2020'!$F$24:$F$106,A6)+SUMIFS('2021'!$E$24:$E$112,'2021'!$L$24:$L$112,A6&amp;" / "&amp;B6,'2021'!$C$24:$C$112,A6)+SUMIFS('2021'!$H$24:$H$112,'2021'!$L$24:$L$112,A6&amp;" / "&amp;B6,'2021'!$F$24:$F$112,A6)+SUMIFS('2022'!$E$24:$E$112,'2022'!$L$24:$L$112,A6&amp;" / "&amp;B6,'2022'!$C$24:$C$112,A6)+SUMIFS('2022'!$H$24:$H$112,'2022'!$L$24:$L$112,A6&amp;" / "&amp;B6,'2022'!$F$24:$F$112,A6)+SUMIFS('2023'!$E$24:$E$112,'2023'!$L$24:$L$112,A6&amp;" / "&amp;B6,'2023'!$C$24:$C$112,A6)+SUMIFS('2023'!$H$24:$H$112,'2023'!$L$24:$L$112,A6&amp;" / "&amp;B6,'2023'!$F$24:$F$112,A6)+SUMIFS('2024'!$E$24:$E$112,'2024'!$L$24:$L$112,A6&amp;" / "&amp;B6,'2024'!$C$24:$C$112,A6)+SUMIFS('2024'!$H$24:$H$112,'2024'!$L$24:$L$112,A6&amp;" / "&amp;B6,'2024'!$F$24:$F$112,A6)+SUMIFS('2025'!$E$24:$E$112,'2025'!$L$24:$L$112,A6&amp;" / "&amp;B6,'2025'!$C$24:$C$112,A6)+SUMIFS('2025'!$H$24:$H$112,'2025'!$L$24:$L$112,A6&amp;" / "&amp;B6,'2025'!$F$24:$F$112,A6)</x:f>
        <x:v>243</x:v>
      </x:c>
      <x:c r="H6" s="25" t="n">
        <x:f>SUMIFS('2015'!$E$24:$E$96,'2015'!$L$24:$L$96,A6&amp;" / "&amp;B6,'2015'!$C$24:$C$96,B6)+SUMIFS('2015'!$H$24:$H$96,'2015'!$L$24:$L$96,A6&amp;" / "&amp;B6,'2015'!$F$24:$F$96,B6)+SUMIFS('2016'!$E$24:$E$96,'2016'!$L$24:$L$96,A6&amp;" / "&amp;B6,'2016'!$C$24:$C$96,B6)+SUMIFS('2016'!$H$24:$H$96,'2016'!$L$24:$L$96,A6&amp;" / "&amp;B6,'2016'!$F$24:$F$96,B6)+SUMIFS('2017'!$E$24:$E$106,'2017'!$L$24:$L$106,A6&amp;" / "&amp;B6,'2017'!$C$24:$C$106,B6)+SUMIFS('2017'!$H$24:$H$106,'2017'!$L$24:$L$106,A6&amp;" / "&amp;B6,'2017'!$F$24:$F$106,B6)+SUMIFS('2018'!$E$24:$E$106,'2018'!$L$24:$L$106,A6&amp;" / "&amp;B6,'2018'!$C$24:$C$106,B6)+SUMIFS('2018'!$H$24:$H$106,'2018'!$L$24:$L$106,A6&amp;" / "&amp;B6,'2018'!$F$24:$F$106,B6)+SUMIFS('2019'!$E$24:$E$106,'2019'!$L$24:$L$106,A6&amp;" / "&amp;B6,'2019'!$C$24:$C$106,B6)+SUMIFS('2019'!$H$24:$H$106,'2019'!$L$24:$L$106,A6&amp;" / "&amp;B6,'2019'!$F$24:$F$106,B6)+SUMIFS('2020'!$E$24:$E$106,'2020'!$L$24:$L$106,A6&amp;" / "&amp;B6,'2020'!$C$24:$C$106,B6)+SUMIFS('2020'!$H$24:$H$106,'2020'!$L$24:$L$106,A6&amp;" / "&amp;B6,'2020'!$F$24:$F$106,B6)+SUMIFS('2021'!$E$24:$E$112,'2021'!$L$24:$L$112,A6&amp;" / "&amp;B6,'2021'!$C$24:$C$112,B6)+SUMIFS('2021'!$H$24:$H$112,'2021'!$L$24:$L$112,A6&amp;" / "&amp;B6,'2021'!$F$24:$F$112,B6)+SUMIFS('2022'!$E$24:$E$112,'2022'!$L$24:$L$112,A6&amp;" / "&amp;B6,'2022'!$C$24:$C$112,B6)+SUMIFS('2022'!$H$24:$H$112,'2022'!$L$24:$L$112,A6&amp;" / "&amp;B6,'2022'!$F$24:$F$112,B6)+SUMIFS('2023'!$E$24:$E$112,'2023'!$L$24:$L$112,A6&amp;" / "&amp;B6,'2023'!$C$24:$C$112,B6)+SUMIFS('2023'!$H$24:$H$112,'2023'!$L$24:$L$112,A6&amp;" / "&amp;B6,'2023'!$F$24:$F$112,B6)+SUMIFS('2024'!$E$24:$E$112,'2024'!$L$24:$L$112,A6&amp;" / "&amp;B6,'2024'!$C$24:$C$112,B6)+SUMIFS('2024'!$H$24:$H$112,'2024'!$L$24:$L$112,A6&amp;" / "&amp;B6,'2024'!$F$24:$F$112,B6)+SUMIFS('2025'!$E$24:$E$112,'2025'!$L$24:$L$112,A6&amp;" / "&amp;B6,'2025'!$C$24:$C$112,B6)+SUMIFS('2025'!$H$24:$H$112,'2025'!$L$24:$L$112,A6&amp;" / "&amp;B6,'2025'!$F$24:$F$112,B6)</x:f>
        <x:v>264</x:v>
      </x:c>
      <x:c r="I6" s="11" t="n">
        <x:f>IF(C6=0,0,(D6+0.5*F6)/C6)</x:f>
        <x:v>0</x:v>
      </x:c>
      <x:c r="J6" s="2" t="n">
        <x:f>COUNTIFS('2015'!$L$24:$L$96,A6&amp;" / "&amp;B6,'2015'!$B$24:$B$96,"Regular")+COUNTIFS('2016'!$L$24:$L$96,A6&amp;" / "&amp;B6,'2016'!$B$24:$B$96,"Regular")+COUNTIFS('2017'!$L$24:$L$106,A6&amp;" / "&amp;B6,'2017'!$B$24:$B$106,"Regular")+COUNTIFS('2018'!$L$24:$L$106,A6&amp;" / "&amp;B6,'2018'!$B$24:$B$106,"Regular")+COUNTIFS('2019'!$L$24:$L$106,A6&amp;" / "&amp;B6,'2019'!$B$24:$B$106,"Regular")+COUNTIFS('2020'!$L$24:$L$106,A6&amp;" / "&amp;B6,'2020'!$B$24:$B$106,"Regular")+COUNTIFS('2021'!$L$24:$L$112,A6&amp;" / "&amp;B6,'2021'!$B$24:$B$112,"Regular")+COUNTIFS('2022'!$L$24:$L$112,A6&amp;" / "&amp;B6,'2022'!$B$24:$B$112,"Regular")+COUNTIFS('2023'!$L$24:$L$112,A6&amp;" / "&amp;B6,'2023'!$B$24:$B$112,"Regular")+COUNTIFS('2024'!$L$24:$L$112,A6&amp;" / "&amp;B6,'2024'!$B$24:$B$112,"Regular")+COUNTIFS('2025'!$L$24:$L$112,A6&amp;" / "&amp;B6,'2025'!$B$24:$B$112,"Regular")</x:f>
        <x:v>2</x:v>
      </x:c>
      <x:c r="K6" s="2" t="n">
        <x:f>COUNTIFS('2015'!$L$24:$L$96,A6&amp;" / "&amp;B6,'2015'!$B$24:$B$96,"Playoffs")+COUNTIFS('2016'!$L$24:$L$96,A6&amp;" / "&amp;B6,'2016'!$B$24:$B$96,"Playoffs")+COUNTIFS('2017'!$L$24:$L$106,A6&amp;" / "&amp;B6,'2017'!$B$24:$B$106,"Playoffs")+COUNTIFS('2018'!$L$24:$L$106,A6&amp;" / "&amp;B6,'2018'!$B$24:$B$106,"Playoffs")+COUNTIFS('2019'!$L$24:$L$106,A6&amp;" / "&amp;B6,'2019'!$B$24:$B$106,"Playoffs")+COUNTIFS('2020'!$L$24:$L$106,A6&amp;" / "&amp;B6,'2020'!$B$24:$B$106,"Playoffs")+COUNTIFS('2021'!$L$24:$L$112,A6&amp;" / "&amp;B6,'2021'!$B$24:$B$112,"Playoffs")+COUNTIFS('2022'!$L$24:$L$112,A6&amp;" / "&amp;B6,'2022'!$B$24:$B$112,"Playoffs")+COUNTIFS('2023'!$L$24:$L$112,A6&amp;" / "&amp;B6,'2023'!$B$24:$B$112,"Playoffs")+COUNTIFS('2024'!$L$24:$L$112,A6&amp;" / "&amp;B6,'2024'!$B$24:$B$112,"Playoffs")+COUNTIFS('2025'!$L$24:$L$112,A6&amp;" / "&amp;B6,'2025'!$B$24:$B$112,"Playoffs")</x:f>
        <x:v>0</x:v>
      </x:c>
      <x:c r="L6" s="2" t="n">
        <x:f>COUNTIFS('2015'!$L$24:$L$96,A6&amp;" / "&amp;B6,'2015'!$B$24:$B$96,"Unconfirmed")+COUNTIFS('2016'!$L$24:$L$96,A6&amp;" / "&amp;B6,'2016'!$B$24:$B$96,"Unconfirmed")+COUNTIFS('2017'!$L$24:$L$106,A6&amp;" / "&amp;B6,'2017'!$B$24:$B$106,"Unconfirmed")+COUNTIFS('2018'!$L$24:$L$106,A6&amp;" / "&amp;B6,'2018'!$B$24:$B$106,"Unconfirmed")+COUNTIFS('2019'!$L$24:$L$106,A6&amp;" / "&amp;B6,'2019'!$B$24:$B$106,"Unconfirmed")+COUNTIFS('2020'!$L$24:$L$106,A6&amp;" / "&amp;B6,'2020'!$B$24:$B$106,"Unconfirmed")+COUNTIFS('2021'!$L$24:$L$112,A6&amp;" / "&amp;B6,'2021'!$B$24:$B$112,"Unconfirmed")+COUNTIFS('2022'!$L$24:$L$112,A6&amp;" / "&amp;B6,'2022'!$B$24:$B$112,"Unconfirmed")+COUNTIFS('2023'!$L$24:$L$112,A6&amp;" / "&amp;B6,'2023'!$B$24:$B$112,"Unconfirmed")+COUNTIFS('2024'!$L$24:$L$112,A6&amp;" / "&amp;B6,'2024'!$B$24:$B$112,"Unconfirmed")+COUNTIFS('2025'!$L$24:$L$112,A6&amp;" / "&amp;B6,'2025'!$B$24:$B$112,"Unconfirmed")</x:f>
        <x:v>0</x:v>
      </x:c>
    </x:row>
    <x:row r="7" ht="22" customHeight="1">
      <x:c r="A7" s="2" t="str">
        <x:v>Andrew</x:v>
      </x:c>
      <x:c r="B7" s="2" t="str">
        <x:v>Bruce</x:v>
      </x:c>
      <x:c r="C7" s="2" t="n">
        <x:f>COUNTIFS('2015'!$L$24:$L$96,A7&amp;" / "&amp;B7)+COUNTIFS('2016'!$L$24:$L$96,A7&amp;" / "&amp;B7)+COUNTIFS('2017'!$L$24:$L$106,A7&amp;" / "&amp;B7)+COUNTIFS('2018'!$L$24:$L$106,A7&amp;" / "&amp;B7)+COUNTIFS('2019'!$L$24:$L$106,A7&amp;" / "&amp;B7)+COUNTIFS('2020'!$L$24:$L$106,A7&amp;" / "&amp;B7)+COUNTIFS('2021'!$L$24:$L$112,A7&amp;" / "&amp;B7)+COUNTIFS('2022'!$L$24:$L$112,A7&amp;" / "&amp;B7)+COUNTIFS('2023'!$L$24:$L$112,A7&amp;" / "&amp;B7)+COUNTIFS('2024'!$L$24:$L$112,A7&amp;" / "&amp;B7)+COUNTIFS('2025'!$L$24:$L$112,A7&amp;" / "&amp;B7)</x:f>
        <x:v>3</x:v>
      </x:c>
      <x:c r="D7" s="2" t="n">
        <x:f>COUNTIFS('2015'!$L$24:$L$96,A7&amp;" / "&amp;B7,'2015'!$I$24:$I$96,A7)+COUNTIFS('2016'!$L$24:$L$96,A7&amp;" / "&amp;B7,'2016'!$I$24:$I$96,A7)+COUNTIFS('2017'!$L$24:$L$106,A7&amp;" / "&amp;B7,'2017'!$I$24:$I$106,A7)+COUNTIFS('2018'!$L$24:$L$106,A7&amp;" / "&amp;B7,'2018'!$I$24:$I$106,A7)+COUNTIFS('2019'!$L$24:$L$106,A7&amp;" / "&amp;B7,'2019'!$I$24:$I$106,A7)+COUNTIFS('2020'!$L$24:$L$106,A7&amp;" / "&amp;B7,'2020'!$I$24:$I$106,A7)+COUNTIFS('2021'!$L$24:$L$112,A7&amp;" / "&amp;B7,'2021'!$I$24:$I$112,A7)+COUNTIFS('2022'!$L$24:$L$112,A7&amp;" / "&amp;B7,'2022'!$I$24:$I$112,A7)+COUNTIFS('2023'!$L$24:$L$112,A7&amp;" / "&amp;B7,'2023'!$I$24:$I$112,A7)+COUNTIFS('2024'!$L$24:$L$112,A7&amp;" / "&amp;B7,'2024'!$I$24:$I$112,A7)+COUNTIFS('2025'!$L$24:$L$112,A7&amp;" / "&amp;B7,'2025'!$I$24:$I$112,A7)</x:f>
        <x:v>2</x:v>
      </x:c>
      <x:c r="E7" s="2" t="n">
        <x:f>COUNTIFS('2015'!$L$24:$L$96,A7&amp;" / "&amp;B7,'2015'!$I$24:$I$96,B7)+COUNTIFS('2016'!$L$24:$L$96,A7&amp;" / "&amp;B7,'2016'!$I$24:$I$96,B7)+COUNTIFS('2017'!$L$24:$L$106,A7&amp;" / "&amp;B7,'2017'!$I$24:$I$106,B7)+COUNTIFS('2018'!$L$24:$L$106,A7&amp;" / "&amp;B7,'2018'!$I$24:$I$106,B7)+COUNTIFS('2019'!$L$24:$L$106,A7&amp;" / "&amp;B7,'2019'!$I$24:$I$106,B7)+COUNTIFS('2020'!$L$24:$L$106,A7&amp;" / "&amp;B7,'2020'!$I$24:$I$106,B7)+COUNTIFS('2021'!$L$24:$L$112,A7&amp;" / "&amp;B7,'2021'!$I$24:$I$112,B7)+COUNTIFS('2022'!$L$24:$L$112,A7&amp;" / "&amp;B7,'2022'!$I$24:$I$112,B7)+COUNTIFS('2023'!$L$24:$L$112,A7&amp;" / "&amp;B7,'2023'!$I$24:$I$112,B7)+COUNTIFS('2024'!$L$24:$L$112,A7&amp;" / "&amp;B7,'2024'!$I$24:$I$112,B7)+COUNTIFS('2025'!$L$24:$L$112,A7&amp;" / "&amp;B7,'2025'!$I$24:$I$112,B7)</x:f>
        <x:v>1</x:v>
      </x:c>
      <x:c r="F7" s="2" t="n">
        <x:f>COUNTIFS('2015'!$L$24:$L$96,A7&amp;" / "&amp;B7,'2015'!$K$24:$K$96,1)+COUNTIFS('2016'!$L$24:$L$96,A7&amp;" / "&amp;B7,'2016'!$K$24:$K$96,1)+COUNTIFS('2017'!$L$24:$L$106,A7&amp;" / "&amp;B7,'2017'!$K$24:$K$106,1)+COUNTIFS('2018'!$L$24:$L$106,A7&amp;" / "&amp;B7,'2018'!$K$24:$K$106,1)+COUNTIFS('2019'!$L$24:$L$106,A7&amp;" / "&amp;B7,'2019'!$K$24:$K$106,1)+COUNTIFS('2020'!$L$24:$L$106,A7&amp;" / "&amp;B7,'2020'!$K$24:$K$106,1)+COUNTIFS('2021'!$L$24:$L$112,A7&amp;" / "&amp;B7,'2021'!$K$24:$K$112,1)+COUNTIFS('2022'!$L$24:$L$112,A7&amp;" / "&amp;B7,'2022'!$K$24:$K$112,1)+COUNTIFS('2023'!$L$24:$L$112,A7&amp;" / "&amp;B7,'2023'!$K$24:$K$112,1)+COUNTIFS('2024'!$L$24:$L$112,A7&amp;" / "&amp;B7,'2024'!$K$24:$K$112,1)+COUNTIFS('2025'!$L$24:$L$112,A7&amp;" / "&amp;B7,'2025'!$K$24:$K$112,1)</x:f>
        <x:v>0</x:v>
      </x:c>
      <x:c r="G7" s="25" t="n">
        <x:f>SUMIFS('2015'!$E$24:$E$96,'2015'!$L$24:$L$96,A7&amp;" / "&amp;B7,'2015'!$C$24:$C$96,A7)+SUMIFS('2015'!$H$24:$H$96,'2015'!$L$24:$L$96,A7&amp;" / "&amp;B7,'2015'!$F$24:$F$96,A7)+SUMIFS('2016'!$E$24:$E$96,'2016'!$L$24:$L$96,A7&amp;" / "&amp;B7,'2016'!$C$24:$C$96,A7)+SUMIFS('2016'!$H$24:$H$96,'2016'!$L$24:$L$96,A7&amp;" / "&amp;B7,'2016'!$F$24:$F$96,A7)+SUMIFS('2017'!$E$24:$E$106,'2017'!$L$24:$L$106,A7&amp;" / "&amp;B7,'2017'!$C$24:$C$106,A7)+SUMIFS('2017'!$H$24:$H$106,'2017'!$L$24:$L$106,A7&amp;" / "&amp;B7,'2017'!$F$24:$F$106,A7)+SUMIFS('2018'!$E$24:$E$106,'2018'!$L$24:$L$106,A7&amp;" / "&amp;B7,'2018'!$C$24:$C$106,A7)+SUMIFS('2018'!$H$24:$H$106,'2018'!$L$24:$L$106,A7&amp;" / "&amp;B7,'2018'!$F$24:$F$106,A7)+SUMIFS('2019'!$E$24:$E$106,'2019'!$L$24:$L$106,A7&amp;" / "&amp;B7,'2019'!$C$24:$C$106,A7)+SUMIFS('2019'!$H$24:$H$106,'2019'!$L$24:$L$106,A7&amp;" / "&amp;B7,'2019'!$F$24:$F$106,A7)+SUMIFS('2020'!$E$24:$E$106,'2020'!$L$24:$L$106,A7&amp;" / "&amp;B7,'2020'!$C$24:$C$106,A7)+SUMIFS('2020'!$H$24:$H$106,'2020'!$L$24:$L$106,A7&amp;" / "&amp;B7,'2020'!$F$24:$F$106,A7)+SUMIFS('2021'!$E$24:$E$112,'2021'!$L$24:$L$112,A7&amp;" / "&amp;B7,'2021'!$C$24:$C$112,A7)+SUMIFS('2021'!$H$24:$H$112,'2021'!$L$24:$L$112,A7&amp;" / "&amp;B7,'2021'!$F$24:$F$112,A7)+SUMIFS('2022'!$E$24:$E$112,'2022'!$L$24:$L$112,A7&amp;" / "&amp;B7,'2022'!$C$24:$C$112,A7)+SUMIFS('2022'!$H$24:$H$112,'2022'!$L$24:$L$112,A7&amp;" / "&amp;B7,'2022'!$F$24:$F$112,A7)+SUMIFS('2023'!$E$24:$E$112,'2023'!$L$24:$L$112,A7&amp;" / "&amp;B7,'2023'!$C$24:$C$112,A7)+SUMIFS('2023'!$H$24:$H$112,'2023'!$L$24:$L$112,A7&amp;" / "&amp;B7,'2023'!$F$24:$F$112,A7)+SUMIFS('2024'!$E$24:$E$112,'2024'!$L$24:$L$112,A7&amp;" / "&amp;B7,'2024'!$C$24:$C$112,A7)+SUMIFS('2024'!$H$24:$H$112,'2024'!$L$24:$L$112,A7&amp;" / "&amp;B7,'2024'!$F$24:$F$112,A7)+SUMIFS('2025'!$E$24:$E$112,'2025'!$L$24:$L$112,A7&amp;" / "&amp;B7,'2025'!$C$24:$C$112,A7)+SUMIFS('2025'!$H$24:$H$112,'2025'!$L$24:$L$112,A7&amp;" / "&amp;B7,'2025'!$F$24:$F$112,A7)</x:f>
        <x:v>419</x:v>
      </x:c>
      <x:c r="H7" s="25" t="n">
        <x:f>SUMIFS('2015'!$E$24:$E$96,'2015'!$L$24:$L$96,A7&amp;" / "&amp;B7,'2015'!$C$24:$C$96,B7)+SUMIFS('2015'!$H$24:$H$96,'2015'!$L$24:$L$96,A7&amp;" / "&amp;B7,'2015'!$F$24:$F$96,B7)+SUMIFS('2016'!$E$24:$E$96,'2016'!$L$24:$L$96,A7&amp;" / "&amp;B7,'2016'!$C$24:$C$96,B7)+SUMIFS('2016'!$H$24:$H$96,'2016'!$L$24:$L$96,A7&amp;" / "&amp;B7,'2016'!$F$24:$F$96,B7)+SUMIFS('2017'!$E$24:$E$106,'2017'!$L$24:$L$106,A7&amp;" / "&amp;B7,'2017'!$C$24:$C$106,B7)+SUMIFS('2017'!$H$24:$H$106,'2017'!$L$24:$L$106,A7&amp;" / "&amp;B7,'2017'!$F$24:$F$106,B7)+SUMIFS('2018'!$E$24:$E$106,'2018'!$L$24:$L$106,A7&amp;" / "&amp;B7,'2018'!$C$24:$C$106,B7)+SUMIFS('2018'!$H$24:$H$106,'2018'!$L$24:$L$106,A7&amp;" / "&amp;B7,'2018'!$F$24:$F$106,B7)+SUMIFS('2019'!$E$24:$E$106,'2019'!$L$24:$L$106,A7&amp;" / "&amp;B7,'2019'!$C$24:$C$106,B7)+SUMIFS('2019'!$H$24:$H$106,'2019'!$L$24:$L$106,A7&amp;" / "&amp;B7,'2019'!$F$24:$F$106,B7)+SUMIFS('2020'!$E$24:$E$106,'2020'!$L$24:$L$106,A7&amp;" / "&amp;B7,'2020'!$C$24:$C$106,B7)+SUMIFS('2020'!$H$24:$H$106,'2020'!$L$24:$L$106,A7&amp;" / "&amp;B7,'2020'!$F$24:$F$106,B7)+SUMIFS('2021'!$E$24:$E$112,'2021'!$L$24:$L$112,A7&amp;" / "&amp;B7,'2021'!$C$24:$C$112,B7)+SUMIFS('2021'!$H$24:$H$112,'2021'!$L$24:$L$112,A7&amp;" / "&amp;B7,'2021'!$F$24:$F$112,B7)+SUMIFS('2022'!$E$24:$E$112,'2022'!$L$24:$L$112,A7&amp;" / "&amp;B7,'2022'!$C$24:$C$112,B7)+SUMIFS('2022'!$H$24:$H$112,'2022'!$L$24:$L$112,A7&amp;" / "&amp;B7,'2022'!$F$24:$F$112,B7)+SUMIFS('2023'!$E$24:$E$112,'2023'!$L$24:$L$112,A7&amp;" / "&amp;B7,'2023'!$C$24:$C$112,B7)+SUMIFS('2023'!$H$24:$H$112,'2023'!$L$24:$L$112,A7&amp;" / "&amp;B7,'2023'!$F$24:$F$112,B7)+SUMIFS('2024'!$E$24:$E$112,'2024'!$L$24:$L$112,A7&amp;" / "&amp;B7,'2024'!$C$24:$C$112,B7)+SUMIFS('2024'!$H$24:$H$112,'2024'!$L$24:$L$112,A7&amp;" / "&amp;B7,'2024'!$F$24:$F$112,B7)+SUMIFS('2025'!$E$24:$E$112,'2025'!$L$24:$L$112,A7&amp;" / "&amp;B7,'2025'!$C$24:$C$112,B7)+SUMIFS('2025'!$H$24:$H$112,'2025'!$L$24:$L$112,A7&amp;" / "&amp;B7,'2025'!$F$24:$F$112,B7)</x:f>
        <x:v>346</x:v>
      </x:c>
      <x:c r="I7" s="11" t="n">
        <x:f>IF(C7=0,0,(D7+0.5*F7)/C7)</x:f>
        <x:v>0.6666666666666666</x:v>
      </x:c>
      <x:c r="J7" s="2" t="n">
        <x:f>COUNTIFS('2015'!$L$24:$L$96,A7&amp;" / "&amp;B7,'2015'!$B$24:$B$96,"Regular")+COUNTIFS('2016'!$L$24:$L$96,A7&amp;" / "&amp;B7,'2016'!$B$24:$B$96,"Regular")+COUNTIFS('2017'!$L$24:$L$106,A7&amp;" / "&amp;B7,'2017'!$B$24:$B$106,"Regular")+COUNTIFS('2018'!$L$24:$L$106,A7&amp;" / "&amp;B7,'2018'!$B$24:$B$106,"Regular")+COUNTIFS('2019'!$L$24:$L$106,A7&amp;" / "&amp;B7,'2019'!$B$24:$B$106,"Regular")+COUNTIFS('2020'!$L$24:$L$106,A7&amp;" / "&amp;B7,'2020'!$B$24:$B$106,"Regular")+COUNTIFS('2021'!$L$24:$L$112,A7&amp;" / "&amp;B7,'2021'!$B$24:$B$112,"Regular")+COUNTIFS('2022'!$L$24:$L$112,A7&amp;" / "&amp;B7,'2022'!$B$24:$B$112,"Regular")+COUNTIFS('2023'!$L$24:$L$112,A7&amp;" / "&amp;B7,'2023'!$B$24:$B$112,"Regular")+COUNTIFS('2024'!$L$24:$L$112,A7&amp;" / "&amp;B7,'2024'!$B$24:$B$112,"Regular")+COUNTIFS('2025'!$L$24:$L$112,A7&amp;" / "&amp;B7,'2025'!$B$24:$B$112,"Regular")</x:f>
        <x:v>3</x:v>
      </x:c>
      <x:c r="K7" s="2" t="n">
        <x:f>COUNTIFS('2015'!$L$24:$L$96,A7&amp;" / "&amp;B7,'2015'!$B$24:$B$96,"Playoffs")+COUNTIFS('2016'!$L$24:$L$96,A7&amp;" / "&amp;B7,'2016'!$B$24:$B$96,"Playoffs")+COUNTIFS('2017'!$L$24:$L$106,A7&amp;" / "&amp;B7,'2017'!$B$24:$B$106,"Playoffs")+COUNTIFS('2018'!$L$24:$L$106,A7&amp;" / "&amp;B7,'2018'!$B$24:$B$106,"Playoffs")+COUNTIFS('2019'!$L$24:$L$106,A7&amp;" / "&amp;B7,'2019'!$B$24:$B$106,"Playoffs")+COUNTIFS('2020'!$L$24:$L$106,A7&amp;" / "&amp;B7,'2020'!$B$24:$B$106,"Playoffs")+COUNTIFS('2021'!$L$24:$L$112,A7&amp;" / "&amp;B7,'2021'!$B$24:$B$112,"Playoffs")+COUNTIFS('2022'!$L$24:$L$112,A7&amp;" / "&amp;B7,'2022'!$B$24:$B$112,"Playoffs")+COUNTIFS('2023'!$L$24:$L$112,A7&amp;" / "&amp;B7,'2023'!$B$24:$B$112,"Playoffs")+COUNTIFS('2024'!$L$24:$L$112,A7&amp;" / "&amp;B7,'2024'!$B$24:$B$112,"Playoffs")+COUNTIFS('2025'!$L$24:$L$112,A7&amp;" / "&amp;B7,'2025'!$B$24:$B$112,"Playoffs")</x:f>
        <x:v>0</x:v>
      </x:c>
      <x:c r="L7" s="2" t="n">
        <x:f>COUNTIFS('2015'!$L$24:$L$96,A7&amp;" / "&amp;B7,'2015'!$B$24:$B$96,"Unconfirmed")+COUNTIFS('2016'!$L$24:$L$96,A7&amp;" / "&amp;B7,'2016'!$B$24:$B$96,"Unconfirmed")+COUNTIFS('2017'!$L$24:$L$106,A7&amp;" / "&amp;B7,'2017'!$B$24:$B$106,"Unconfirmed")+COUNTIFS('2018'!$L$24:$L$106,A7&amp;" / "&amp;B7,'2018'!$B$24:$B$106,"Unconfirmed")+COUNTIFS('2019'!$L$24:$L$106,A7&amp;" / "&amp;B7,'2019'!$B$24:$B$106,"Unconfirmed")+COUNTIFS('2020'!$L$24:$L$106,A7&amp;" / "&amp;B7,'2020'!$B$24:$B$106,"Unconfirmed")+COUNTIFS('2021'!$L$24:$L$112,A7&amp;" / "&amp;B7,'2021'!$B$24:$B$112,"Unconfirmed")+COUNTIFS('2022'!$L$24:$L$112,A7&amp;" / "&amp;B7,'2022'!$B$24:$B$112,"Unconfirmed")+COUNTIFS('2023'!$L$24:$L$112,A7&amp;" / "&amp;B7,'2023'!$B$24:$B$112,"Unconfirmed")+COUNTIFS('2024'!$L$24:$L$112,A7&amp;" / "&amp;B7,'2024'!$B$24:$B$112,"Unconfirmed")+COUNTIFS('2025'!$L$24:$L$112,A7&amp;" / "&amp;B7,'2025'!$B$24:$B$112,"Unconfirmed")</x:f>
        <x:v>0</x:v>
      </x:c>
    </x:row>
    <x:row r="8" ht="22" customHeight="1">
      <x:c r="A8" s="2" t="str">
        <x:v>Andrew</x:v>
      </x:c>
      <x:c r="B8" s="2" t="str">
        <x:v>Chas</x:v>
      </x:c>
      <x:c r="C8" s="2" t="n">
        <x:f>COUNTIFS('2015'!$L$24:$L$96,A8&amp;" / "&amp;B8)+COUNTIFS('2016'!$L$24:$L$96,A8&amp;" / "&amp;B8)+COUNTIFS('2017'!$L$24:$L$106,A8&amp;" / "&amp;B8)+COUNTIFS('2018'!$L$24:$L$106,A8&amp;" / "&amp;B8)+COUNTIFS('2019'!$L$24:$L$106,A8&amp;" / "&amp;B8)+COUNTIFS('2020'!$L$24:$L$106,A8&amp;" / "&amp;B8)+COUNTIFS('2021'!$L$24:$L$112,A8&amp;" / "&amp;B8)+COUNTIFS('2022'!$L$24:$L$112,A8&amp;" / "&amp;B8)+COUNTIFS('2023'!$L$24:$L$112,A8&amp;" / "&amp;B8)+COUNTIFS('2024'!$L$24:$L$112,A8&amp;" / "&amp;B8)+COUNTIFS('2025'!$L$24:$L$112,A8&amp;" / "&amp;B8)</x:f>
        <x:v>1</x:v>
      </x:c>
      <x:c r="D8" s="2" t="n">
        <x:f>COUNTIFS('2015'!$L$24:$L$96,A8&amp;" / "&amp;B8,'2015'!$I$24:$I$96,A8)+COUNTIFS('2016'!$L$24:$L$96,A8&amp;" / "&amp;B8,'2016'!$I$24:$I$96,A8)+COUNTIFS('2017'!$L$24:$L$106,A8&amp;" / "&amp;B8,'2017'!$I$24:$I$106,A8)+COUNTIFS('2018'!$L$24:$L$106,A8&amp;" / "&amp;B8,'2018'!$I$24:$I$106,A8)+COUNTIFS('2019'!$L$24:$L$106,A8&amp;" / "&amp;B8,'2019'!$I$24:$I$106,A8)+COUNTIFS('2020'!$L$24:$L$106,A8&amp;" / "&amp;B8,'2020'!$I$24:$I$106,A8)+COUNTIFS('2021'!$L$24:$L$112,A8&amp;" / "&amp;B8,'2021'!$I$24:$I$112,A8)+COUNTIFS('2022'!$L$24:$L$112,A8&amp;" / "&amp;B8,'2022'!$I$24:$I$112,A8)+COUNTIFS('2023'!$L$24:$L$112,A8&amp;" / "&amp;B8,'2023'!$I$24:$I$112,A8)+COUNTIFS('2024'!$L$24:$L$112,A8&amp;" / "&amp;B8,'2024'!$I$24:$I$112,A8)+COUNTIFS('2025'!$L$24:$L$112,A8&amp;" / "&amp;B8,'2025'!$I$24:$I$112,A8)</x:f>
        <x:v>1</x:v>
      </x:c>
      <x:c r="E8" s="2" t="n">
        <x:f>COUNTIFS('2015'!$L$24:$L$96,A8&amp;" / "&amp;B8,'2015'!$I$24:$I$96,B8)+COUNTIFS('2016'!$L$24:$L$96,A8&amp;" / "&amp;B8,'2016'!$I$24:$I$96,B8)+COUNTIFS('2017'!$L$24:$L$106,A8&amp;" / "&amp;B8,'2017'!$I$24:$I$106,B8)+COUNTIFS('2018'!$L$24:$L$106,A8&amp;" / "&amp;B8,'2018'!$I$24:$I$106,B8)+COUNTIFS('2019'!$L$24:$L$106,A8&amp;" / "&amp;B8,'2019'!$I$24:$I$106,B8)+COUNTIFS('2020'!$L$24:$L$106,A8&amp;" / "&amp;B8,'2020'!$I$24:$I$106,B8)+COUNTIFS('2021'!$L$24:$L$112,A8&amp;" / "&amp;B8,'2021'!$I$24:$I$112,B8)+COUNTIFS('2022'!$L$24:$L$112,A8&amp;" / "&amp;B8,'2022'!$I$24:$I$112,B8)+COUNTIFS('2023'!$L$24:$L$112,A8&amp;" / "&amp;B8,'2023'!$I$24:$I$112,B8)+COUNTIFS('2024'!$L$24:$L$112,A8&amp;" / "&amp;B8,'2024'!$I$24:$I$112,B8)+COUNTIFS('2025'!$L$24:$L$112,A8&amp;" / "&amp;B8,'2025'!$I$24:$I$112,B8)</x:f>
        <x:v>0</x:v>
      </x:c>
      <x:c r="F8" s="2" t="n">
        <x:f>COUNTIFS('2015'!$L$24:$L$96,A8&amp;" / "&amp;B8,'2015'!$K$24:$K$96,1)+COUNTIFS('2016'!$L$24:$L$96,A8&amp;" / "&amp;B8,'2016'!$K$24:$K$96,1)+COUNTIFS('2017'!$L$24:$L$106,A8&amp;" / "&amp;B8,'2017'!$K$24:$K$106,1)+COUNTIFS('2018'!$L$24:$L$106,A8&amp;" / "&amp;B8,'2018'!$K$24:$K$106,1)+COUNTIFS('2019'!$L$24:$L$106,A8&amp;" / "&amp;B8,'2019'!$K$24:$K$106,1)+COUNTIFS('2020'!$L$24:$L$106,A8&amp;" / "&amp;B8,'2020'!$K$24:$K$106,1)+COUNTIFS('2021'!$L$24:$L$112,A8&amp;" / "&amp;B8,'2021'!$K$24:$K$112,1)+COUNTIFS('2022'!$L$24:$L$112,A8&amp;" / "&amp;B8,'2022'!$K$24:$K$112,1)+COUNTIFS('2023'!$L$24:$L$112,A8&amp;" / "&amp;B8,'2023'!$K$24:$K$112,1)+COUNTIFS('2024'!$L$24:$L$112,A8&amp;" / "&amp;B8,'2024'!$K$24:$K$112,1)+COUNTIFS('2025'!$L$24:$L$112,A8&amp;" / "&amp;B8,'2025'!$K$24:$K$112,1)</x:f>
        <x:v>0</x:v>
      </x:c>
      <x:c r="G8" s="25" t="n">
        <x:f>SUMIFS('2015'!$E$24:$E$96,'2015'!$L$24:$L$96,A8&amp;" / "&amp;B8,'2015'!$C$24:$C$96,A8)+SUMIFS('2015'!$H$24:$H$96,'2015'!$L$24:$L$96,A8&amp;" / "&amp;B8,'2015'!$F$24:$F$96,A8)+SUMIFS('2016'!$E$24:$E$96,'2016'!$L$24:$L$96,A8&amp;" / "&amp;B8,'2016'!$C$24:$C$96,A8)+SUMIFS('2016'!$H$24:$H$96,'2016'!$L$24:$L$96,A8&amp;" / "&amp;B8,'2016'!$F$24:$F$96,A8)+SUMIFS('2017'!$E$24:$E$106,'2017'!$L$24:$L$106,A8&amp;" / "&amp;B8,'2017'!$C$24:$C$106,A8)+SUMIFS('2017'!$H$24:$H$106,'2017'!$L$24:$L$106,A8&amp;" / "&amp;B8,'2017'!$F$24:$F$106,A8)+SUMIFS('2018'!$E$24:$E$106,'2018'!$L$24:$L$106,A8&amp;" / "&amp;B8,'2018'!$C$24:$C$106,A8)+SUMIFS('2018'!$H$24:$H$106,'2018'!$L$24:$L$106,A8&amp;" / "&amp;B8,'2018'!$F$24:$F$106,A8)+SUMIFS('2019'!$E$24:$E$106,'2019'!$L$24:$L$106,A8&amp;" / "&amp;B8,'2019'!$C$24:$C$106,A8)+SUMIFS('2019'!$H$24:$H$106,'2019'!$L$24:$L$106,A8&amp;" / "&amp;B8,'2019'!$F$24:$F$106,A8)+SUMIFS('2020'!$E$24:$E$106,'2020'!$L$24:$L$106,A8&amp;" / "&amp;B8,'2020'!$C$24:$C$106,A8)+SUMIFS('2020'!$H$24:$H$106,'2020'!$L$24:$L$106,A8&amp;" / "&amp;B8,'2020'!$F$24:$F$106,A8)+SUMIFS('2021'!$E$24:$E$112,'2021'!$L$24:$L$112,A8&amp;" / "&amp;B8,'2021'!$C$24:$C$112,A8)+SUMIFS('2021'!$H$24:$H$112,'2021'!$L$24:$L$112,A8&amp;" / "&amp;B8,'2021'!$F$24:$F$112,A8)+SUMIFS('2022'!$E$24:$E$112,'2022'!$L$24:$L$112,A8&amp;" / "&amp;B8,'2022'!$C$24:$C$112,A8)+SUMIFS('2022'!$H$24:$H$112,'2022'!$L$24:$L$112,A8&amp;" / "&amp;B8,'2022'!$F$24:$F$112,A8)+SUMIFS('2023'!$E$24:$E$112,'2023'!$L$24:$L$112,A8&amp;" / "&amp;B8,'2023'!$C$24:$C$112,A8)+SUMIFS('2023'!$H$24:$H$112,'2023'!$L$24:$L$112,A8&amp;" / "&amp;B8,'2023'!$F$24:$F$112,A8)+SUMIFS('2024'!$E$24:$E$112,'2024'!$L$24:$L$112,A8&amp;" / "&amp;B8,'2024'!$C$24:$C$112,A8)+SUMIFS('2024'!$H$24:$H$112,'2024'!$L$24:$L$112,A8&amp;" / "&amp;B8,'2024'!$F$24:$F$112,A8)+SUMIFS('2025'!$E$24:$E$112,'2025'!$L$24:$L$112,A8&amp;" / "&amp;B8,'2025'!$C$24:$C$112,A8)+SUMIFS('2025'!$H$24:$H$112,'2025'!$L$24:$L$112,A8&amp;" / "&amp;B8,'2025'!$F$24:$F$112,A8)</x:f>
        <x:v>110</x:v>
      </x:c>
      <x:c r="H8" s="25" t="n">
        <x:f>SUMIFS('2015'!$E$24:$E$96,'2015'!$L$24:$L$96,A8&amp;" / "&amp;B8,'2015'!$C$24:$C$96,B8)+SUMIFS('2015'!$H$24:$H$96,'2015'!$L$24:$L$96,A8&amp;" / "&amp;B8,'2015'!$F$24:$F$96,B8)+SUMIFS('2016'!$E$24:$E$96,'2016'!$L$24:$L$96,A8&amp;" / "&amp;B8,'2016'!$C$24:$C$96,B8)+SUMIFS('2016'!$H$24:$H$96,'2016'!$L$24:$L$96,A8&amp;" / "&amp;B8,'2016'!$F$24:$F$96,B8)+SUMIFS('2017'!$E$24:$E$106,'2017'!$L$24:$L$106,A8&amp;" / "&amp;B8,'2017'!$C$24:$C$106,B8)+SUMIFS('2017'!$H$24:$H$106,'2017'!$L$24:$L$106,A8&amp;" / "&amp;B8,'2017'!$F$24:$F$106,B8)+SUMIFS('2018'!$E$24:$E$106,'2018'!$L$24:$L$106,A8&amp;" / "&amp;B8,'2018'!$C$24:$C$106,B8)+SUMIFS('2018'!$H$24:$H$106,'2018'!$L$24:$L$106,A8&amp;" / "&amp;B8,'2018'!$F$24:$F$106,B8)+SUMIFS('2019'!$E$24:$E$106,'2019'!$L$24:$L$106,A8&amp;" / "&amp;B8,'2019'!$C$24:$C$106,B8)+SUMIFS('2019'!$H$24:$H$106,'2019'!$L$24:$L$106,A8&amp;" / "&amp;B8,'2019'!$F$24:$F$106,B8)+SUMIFS('2020'!$E$24:$E$106,'2020'!$L$24:$L$106,A8&amp;" / "&amp;B8,'2020'!$C$24:$C$106,B8)+SUMIFS('2020'!$H$24:$H$106,'2020'!$L$24:$L$106,A8&amp;" / "&amp;B8,'2020'!$F$24:$F$106,B8)+SUMIFS('2021'!$E$24:$E$112,'2021'!$L$24:$L$112,A8&amp;" / "&amp;B8,'2021'!$C$24:$C$112,B8)+SUMIFS('2021'!$H$24:$H$112,'2021'!$L$24:$L$112,A8&amp;" / "&amp;B8,'2021'!$F$24:$F$112,B8)+SUMIFS('2022'!$E$24:$E$112,'2022'!$L$24:$L$112,A8&amp;" / "&amp;B8,'2022'!$C$24:$C$112,B8)+SUMIFS('2022'!$H$24:$H$112,'2022'!$L$24:$L$112,A8&amp;" / "&amp;B8,'2022'!$F$24:$F$112,B8)+SUMIFS('2023'!$E$24:$E$112,'2023'!$L$24:$L$112,A8&amp;" / "&amp;B8,'2023'!$C$24:$C$112,B8)+SUMIFS('2023'!$H$24:$H$112,'2023'!$L$24:$L$112,A8&amp;" / "&amp;B8,'2023'!$F$24:$F$112,B8)+SUMIFS('2024'!$E$24:$E$112,'2024'!$L$24:$L$112,A8&amp;" / "&amp;B8,'2024'!$C$24:$C$112,B8)+SUMIFS('2024'!$H$24:$H$112,'2024'!$L$24:$L$112,A8&amp;" / "&amp;B8,'2024'!$F$24:$F$112,B8)+SUMIFS('2025'!$E$24:$E$112,'2025'!$L$24:$L$112,A8&amp;" / "&amp;B8,'2025'!$C$24:$C$112,B8)+SUMIFS('2025'!$H$24:$H$112,'2025'!$L$24:$L$112,A8&amp;" / "&amp;B8,'2025'!$F$24:$F$112,B8)</x:f>
        <x:v>78</x:v>
      </x:c>
      <x:c r="I8" s="11" t="n">
        <x:f>IF(C8=0,0,(D8+0.5*F8)/C8)</x:f>
        <x:v>1</x:v>
      </x:c>
      <x:c r="J8" s="2" t="n">
        <x:f>COUNTIFS('2015'!$L$24:$L$96,A8&amp;" / "&amp;B8,'2015'!$B$24:$B$96,"Regular")+COUNTIFS('2016'!$L$24:$L$96,A8&amp;" / "&amp;B8,'2016'!$B$24:$B$96,"Regular")+COUNTIFS('2017'!$L$24:$L$106,A8&amp;" / "&amp;B8,'2017'!$B$24:$B$106,"Regular")+COUNTIFS('2018'!$L$24:$L$106,A8&amp;" / "&amp;B8,'2018'!$B$24:$B$106,"Regular")+COUNTIFS('2019'!$L$24:$L$106,A8&amp;" / "&amp;B8,'2019'!$B$24:$B$106,"Regular")+COUNTIFS('2020'!$L$24:$L$106,A8&amp;" / "&amp;B8,'2020'!$B$24:$B$106,"Regular")+COUNTIFS('2021'!$L$24:$L$112,A8&amp;" / "&amp;B8,'2021'!$B$24:$B$112,"Regular")+COUNTIFS('2022'!$L$24:$L$112,A8&amp;" / "&amp;B8,'2022'!$B$24:$B$112,"Regular")+COUNTIFS('2023'!$L$24:$L$112,A8&amp;" / "&amp;B8,'2023'!$B$24:$B$112,"Regular")+COUNTIFS('2024'!$L$24:$L$112,A8&amp;" / "&amp;B8,'2024'!$B$24:$B$112,"Regular")+COUNTIFS('2025'!$L$24:$L$112,A8&amp;" / "&amp;B8,'2025'!$B$24:$B$112,"Regular")</x:f>
        <x:v>1</x:v>
      </x:c>
      <x:c r="K8" s="2" t="n">
        <x:f>COUNTIFS('2015'!$L$24:$L$96,A8&amp;" / "&amp;B8,'2015'!$B$24:$B$96,"Playoffs")+COUNTIFS('2016'!$L$24:$L$96,A8&amp;" / "&amp;B8,'2016'!$B$24:$B$96,"Playoffs")+COUNTIFS('2017'!$L$24:$L$106,A8&amp;" / "&amp;B8,'2017'!$B$24:$B$106,"Playoffs")+COUNTIFS('2018'!$L$24:$L$106,A8&amp;" / "&amp;B8,'2018'!$B$24:$B$106,"Playoffs")+COUNTIFS('2019'!$L$24:$L$106,A8&amp;" / "&amp;B8,'2019'!$B$24:$B$106,"Playoffs")+COUNTIFS('2020'!$L$24:$L$106,A8&amp;" / "&amp;B8,'2020'!$B$24:$B$106,"Playoffs")+COUNTIFS('2021'!$L$24:$L$112,A8&amp;" / "&amp;B8,'2021'!$B$24:$B$112,"Playoffs")+COUNTIFS('2022'!$L$24:$L$112,A8&amp;" / "&amp;B8,'2022'!$B$24:$B$112,"Playoffs")+COUNTIFS('2023'!$L$24:$L$112,A8&amp;" / "&amp;B8,'2023'!$B$24:$B$112,"Playoffs")+COUNTIFS('2024'!$L$24:$L$112,A8&amp;" / "&amp;B8,'2024'!$B$24:$B$112,"Playoffs")+COUNTIFS('2025'!$L$24:$L$112,A8&amp;" / "&amp;B8,'2025'!$B$24:$B$112,"Playoffs")</x:f>
        <x:v>0</x:v>
      </x:c>
      <x:c r="L8" s="2" t="n">
        <x:f>COUNTIFS('2015'!$L$24:$L$96,A8&amp;" / "&amp;B8,'2015'!$B$24:$B$96,"Unconfirmed")+COUNTIFS('2016'!$L$24:$L$96,A8&amp;" / "&amp;B8,'2016'!$B$24:$B$96,"Unconfirmed")+COUNTIFS('2017'!$L$24:$L$106,A8&amp;" / "&amp;B8,'2017'!$B$24:$B$106,"Unconfirmed")+COUNTIFS('2018'!$L$24:$L$106,A8&amp;" / "&amp;B8,'2018'!$B$24:$B$106,"Unconfirmed")+COUNTIFS('2019'!$L$24:$L$106,A8&amp;" / "&amp;B8,'2019'!$B$24:$B$106,"Unconfirmed")+COUNTIFS('2020'!$L$24:$L$106,A8&amp;" / "&amp;B8,'2020'!$B$24:$B$106,"Unconfirmed")+COUNTIFS('2021'!$L$24:$L$112,A8&amp;" / "&amp;B8,'2021'!$B$24:$B$112,"Unconfirmed")+COUNTIFS('2022'!$L$24:$L$112,A8&amp;" / "&amp;B8,'2022'!$B$24:$B$112,"Unconfirmed")+COUNTIFS('2023'!$L$24:$L$112,A8&amp;" / "&amp;B8,'2023'!$B$24:$B$112,"Unconfirmed")+COUNTIFS('2024'!$L$24:$L$112,A8&amp;" / "&amp;B8,'2024'!$B$24:$B$112,"Unconfirmed")+COUNTIFS('2025'!$L$24:$L$112,A8&amp;" / "&amp;B8,'2025'!$B$24:$B$112,"Unconfirmed")</x:f>
        <x:v>0</x:v>
      </x:c>
    </x:row>
    <x:row r="9" ht="22" customHeight="1">
      <x:c r="A9" s="2" t="str">
        <x:v>Andrew</x:v>
      </x:c>
      <x:c r="B9" s="2" t="str">
        <x:v>Craig</x:v>
      </x:c>
      <x:c r="C9" s="2" t="n">
        <x:f>COUNTIFS('2015'!$L$24:$L$96,A9&amp;" / "&amp;B9)+COUNTIFS('2016'!$L$24:$L$96,A9&amp;" / "&amp;B9)+COUNTIFS('2017'!$L$24:$L$106,A9&amp;" / "&amp;B9)+COUNTIFS('2018'!$L$24:$L$106,A9&amp;" / "&amp;B9)+COUNTIFS('2019'!$L$24:$L$106,A9&amp;" / "&amp;B9)+COUNTIFS('2020'!$L$24:$L$106,A9&amp;" / "&amp;B9)+COUNTIFS('2021'!$L$24:$L$112,A9&amp;" / "&amp;B9)+COUNTIFS('2022'!$L$24:$L$112,A9&amp;" / "&amp;B9)+COUNTIFS('2023'!$L$24:$L$112,A9&amp;" / "&amp;B9)+COUNTIFS('2024'!$L$24:$L$112,A9&amp;" / "&amp;B9)+COUNTIFS('2025'!$L$24:$L$112,A9&amp;" / "&amp;B9)</x:f>
        <x:v>3</x:v>
      </x:c>
      <x:c r="D9" s="2" t="n">
        <x:f>COUNTIFS('2015'!$L$24:$L$96,A9&amp;" / "&amp;B9,'2015'!$I$24:$I$96,A9)+COUNTIFS('2016'!$L$24:$L$96,A9&amp;" / "&amp;B9,'2016'!$I$24:$I$96,A9)+COUNTIFS('2017'!$L$24:$L$106,A9&amp;" / "&amp;B9,'2017'!$I$24:$I$106,A9)+COUNTIFS('2018'!$L$24:$L$106,A9&amp;" / "&amp;B9,'2018'!$I$24:$I$106,A9)+COUNTIFS('2019'!$L$24:$L$106,A9&amp;" / "&amp;B9,'2019'!$I$24:$I$106,A9)+COUNTIFS('2020'!$L$24:$L$106,A9&amp;" / "&amp;B9,'2020'!$I$24:$I$106,A9)+COUNTIFS('2021'!$L$24:$L$112,A9&amp;" / "&amp;B9,'2021'!$I$24:$I$112,A9)+COUNTIFS('2022'!$L$24:$L$112,A9&amp;" / "&amp;B9,'2022'!$I$24:$I$112,A9)+COUNTIFS('2023'!$L$24:$L$112,A9&amp;" / "&amp;B9,'2023'!$I$24:$I$112,A9)+COUNTIFS('2024'!$L$24:$L$112,A9&amp;" / "&amp;B9,'2024'!$I$24:$I$112,A9)+COUNTIFS('2025'!$L$24:$L$112,A9&amp;" / "&amp;B9,'2025'!$I$24:$I$112,A9)</x:f>
        <x:v>2</x:v>
      </x:c>
      <x:c r="E9" s="2" t="n">
        <x:f>COUNTIFS('2015'!$L$24:$L$96,A9&amp;" / "&amp;B9,'2015'!$I$24:$I$96,B9)+COUNTIFS('2016'!$L$24:$L$96,A9&amp;" / "&amp;B9,'2016'!$I$24:$I$96,B9)+COUNTIFS('2017'!$L$24:$L$106,A9&amp;" / "&amp;B9,'2017'!$I$24:$I$106,B9)+COUNTIFS('2018'!$L$24:$L$106,A9&amp;" / "&amp;B9,'2018'!$I$24:$I$106,B9)+COUNTIFS('2019'!$L$24:$L$106,A9&amp;" / "&amp;B9,'2019'!$I$24:$I$106,B9)+COUNTIFS('2020'!$L$24:$L$106,A9&amp;" / "&amp;B9,'2020'!$I$24:$I$106,B9)+COUNTIFS('2021'!$L$24:$L$112,A9&amp;" / "&amp;B9,'2021'!$I$24:$I$112,B9)+COUNTIFS('2022'!$L$24:$L$112,A9&amp;" / "&amp;B9,'2022'!$I$24:$I$112,B9)+COUNTIFS('2023'!$L$24:$L$112,A9&amp;" / "&amp;B9,'2023'!$I$24:$I$112,B9)+COUNTIFS('2024'!$L$24:$L$112,A9&amp;" / "&amp;B9,'2024'!$I$24:$I$112,B9)+COUNTIFS('2025'!$L$24:$L$112,A9&amp;" / "&amp;B9,'2025'!$I$24:$I$112,B9)</x:f>
        <x:v>1</x:v>
      </x:c>
      <x:c r="F9" s="2" t="n">
        <x:f>COUNTIFS('2015'!$L$24:$L$96,A9&amp;" / "&amp;B9,'2015'!$K$24:$K$96,1)+COUNTIFS('2016'!$L$24:$L$96,A9&amp;" / "&amp;B9,'2016'!$K$24:$K$96,1)+COUNTIFS('2017'!$L$24:$L$106,A9&amp;" / "&amp;B9,'2017'!$K$24:$K$106,1)+COUNTIFS('2018'!$L$24:$L$106,A9&amp;" / "&amp;B9,'2018'!$K$24:$K$106,1)+COUNTIFS('2019'!$L$24:$L$106,A9&amp;" / "&amp;B9,'2019'!$K$24:$K$106,1)+COUNTIFS('2020'!$L$24:$L$106,A9&amp;" / "&amp;B9,'2020'!$K$24:$K$106,1)+COUNTIFS('2021'!$L$24:$L$112,A9&amp;" / "&amp;B9,'2021'!$K$24:$K$112,1)+COUNTIFS('2022'!$L$24:$L$112,A9&amp;" / "&amp;B9,'2022'!$K$24:$K$112,1)+COUNTIFS('2023'!$L$24:$L$112,A9&amp;" / "&amp;B9,'2023'!$K$24:$K$112,1)+COUNTIFS('2024'!$L$24:$L$112,A9&amp;" / "&amp;B9,'2024'!$K$24:$K$112,1)+COUNTIFS('2025'!$L$24:$L$112,A9&amp;" / "&amp;B9,'2025'!$K$24:$K$112,1)</x:f>
        <x:v>0</x:v>
      </x:c>
      <x:c r="G9" s="25" t="n">
        <x:f>SUMIFS('2015'!$E$24:$E$96,'2015'!$L$24:$L$96,A9&amp;" / "&amp;B9,'2015'!$C$24:$C$96,A9)+SUMIFS('2015'!$H$24:$H$96,'2015'!$L$24:$L$96,A9&amp;" / "&amp;B9,'2015'!$F$24:$F$96,A9)+SUMIFS('2016'!$E$24:$E$96,'2016'!$L$24:$L$96,A9&amp;" / "&amp;B9,'2016'!$C$24:$C$96,A9)+SUMIFS('2016'!$H$24:$H$96,'2016'!$L$24:$L$96,A9&amp;" / "&amp;B9,'2016'!$F$24:$F$96,A9)+SUMIFS('2017'!$E$24:$E$106,'2017'!$L$24:$L$106,A9&amp;" / "&amp;B9,'2017'!$C$24:$C$106,A9)+SUMIFS('2017'!$H$24:$H$106,'2017'!$L$24:$L$106,A9&amp;" / "&amp;B9,'2017'!$F$24:$F$106,A9)+SUMIFS('2018'!$E$24:$E$106,'2018'!$L$24:$L$106,A9&amp;" / "&amp;B9,'2018'!$C$24:$C$106,A9)+SUMIFS('2018'!$H$24:$H$106,'2018'!$L$24:$L$106,A9&amp;" / "&amp;B9,'2018'!$F$24:$F$106,A9)+SUMIFS('2019'!$E$24:$E$106,'2019'!$L$24:$L$106,A9&amp;" / "&amp;B9,'2019'!$C$24:$C$106,A9)+SUMIFS('2019'!$H$24:$H$106,'2019'!$L$24:$L$106,A9&amp;" / "&amp;B9,'2019'!$F$24:$F$106,A9)+SUMIFS('2020'!$E$24:$E$106,'2020'!$L$24:$L$106,A9&amp;" / "&amp;B9,'2020'!$C$24:$C$106,A9)+SUMIFS('2020'!$H$24:$H$106,'2020'!$L$24:$L$106,A9&amp;" / "&amp;B9,'2020'!$F$24:$F$106,A9)+SUMIFS('2021'!$E$24:$E$112,'2021'!$L$24:$L$112,A9&amp;" / "&amp;B9,'2021'!$C$24:$C$112,A9)+SUMIFS('2021'!$H$24:$H$112,'2021'!$L$24:$L$112,A9&amp;" / "&amp;B9,'2021'!$F$24:$F$112,A9)+SUMIFS('2022'!$E$24:$E$112,'2022'!$L$24:$L$112,A9&amp;" / "&amp;B9,'2022'!$C$24:$C$112,A9)+SUMIFS('2022'!$H$24:$H$112,'2022'!$L$24:$L$112,A9&amp;" / "&amp;B9,'2022'!$F$24:$F$112,A9)+SUMIFS('2023'!$E$24:$E$112,'2023'!$L$24:$L$112,A9&amp;" / "&amp;B9,'2023'!$C$24:$C$112,A9)+SUMIFS('2023'!$H$24:$H$112,'2023'!$L$24:$L$112,A9&amp;" / "&amp;B9,'2023'!$F$24:$F$112,A9)+SUMIFS('2024'!$E$24:$E$112,'2024'!$L$24:$L$112,A9&amp;" / "&amp;B9,'2024'!$C$24:$C$112,A9)+SUMIFS('2024'!$H$24:$H$112,'2024'!$L$24:$L$112,A9&amp;" / "&amp;B9,'2024'!$F$24:$F$112,A9)+SUMIFS('2025'!$E$24:$E$112,'2025'!$L$24:$L$112,A9&amp;" / "&amp;B9,'2025'!$C$24:$C$112,A9)+SUMIFS('2025'!$H$24:$H$112,'2025'!$L$24:$L$112,A9&amp;" / "&amp;B9,'2025'!$F$24:$F$112,A9)</x:f>
        <x:v>396</x:v>
      </x:c>
      <x:c r="H9" s="25" t="n">
        <x:f>SUMIFS('2015'!$E$24:$E$96,'2015'!$L$24:$L$96,A9&amp;" / "&amp;B9,'2015'!$C$24:$C$96,B9)+SUMIFS('2015'!$H$24:$H$96,'2015'!$L$24:$L$96,A9&amp;" / "&amp;B9,'2015'!$F$24:$F$96,B9)+SUMIFS('2016'!$E$24:$E$96,'2016'!$L$24:$L$96,A9&amp;" / "&amp;B9,'2016'!$C$24:$C$96,B9)+SUMIFS('2016'!$H$24:$H$96,'2016'!$L$24:$L$96,A9&amp;" / "&amp;B9,'2016'!$F$24:$F$96,B9)+SUMIFS('2017'!$E$24:$E$106,'2017'!$L$24:$L$106,A9&amp;" / "&amp;B9,'2017'!$C$24:$C$106,B9)+SUMIFS('2017'!$H$24:$H$106,'2017'!$L$24:$L$106,A9&amp;" / "&amp;B9,'2017'!$F$24:$F$106,B9)+SUMIFS('2018'!$E$24:$E$106,'2018'!$L$24:$L$106,A9&amp;" / "&amp;B9,'2018'!$C$24:$C$106,B9)+SUMIFS('2018'!$H$24:$H$106,'2018'!$L$24:$L$106,A9&amp;" / "&amp;B9,'2018'!$F$24:$F$106,B9)+SUMIFS('2019'!$E$24:$E$106,'2019'!$L$24:$L$106,A9&amp;" / "&amp;B9,'2019'!$C$24:$C$106,B9)+SUMIFS('2019'!$H$24:$H$106,'2019'!$L$24:$L$106,A9&amp;" / "&amp;B9,'2019'!$F$24:$F$106,B9)+SUMIFS('2020'!$E$24:$E$106,'2020'!$L$24:$L$106,A9&amp;" / "&amp;B9,'2020'!$C$24:$C$106,B9)+SUMIFS('2020'!$H$24:$H$106,'2020'!$L$24:$L$106,A9&amp;" / "&amp;B9,'2020'!$F$24:$F$106,B9)+SUMIFS('2021'!$E$24:$E$112,'2021'!$L$24:$L$112,A9&amp;" / "&amp;B9,'2021'!$C$24:$C$112,B9)+SUMIFS('2021'!$H$24:$H$112,'2021'!$L$24:$L$112,A9&amp;" / "&amp;B9,'2021'!$F$24:$F$112,B9)+SUMIFS('2022'!$E$24:$E$112,'2022'!$L$24:$L$112,A9&amp;" / "&amp;B9,'2022'!$C$24:$C$112,B9)+SUMIFS('2022'!$H$24:$H$112,'2022'!$L$24:$L$112,A9&amp;" / "&amp;B9,'2022'!$F$24:$F$112,B9)+SUMIFS('2023'!$E$24:$E$112,'2023'!$L$24:$L$112,A9&amp;" / "&amp;B9,'2023'!$C$24:$C$112,B9)+SUMIFS('2023'!$H$24:$H$112,'2023'!$L$24:$L$112,A9&amp;" / "&amp;B9,'2023'!$F$24:$F$112,B9)+SUMIFS('2024'!$E$24:$E$112,'2024'!$L$24:$L$112,A9&amp;" / "&amp;B9,'2024'!$C$24:$C$112,B9)+SUMIFS('2024'!$H$24:$H$112,'2024'!$L$24:$L$112,A9&amp;" / "&amp;B9,'2024'!$F$24:$F$112,B9)+SUMIFS('2025'!$E$24:$E$112,'2025'!$L$24:$L$112,A9&amp;" / "&amp;B9,'2025'!$C$24:$C$112,B9)+SUMIFS('2025'!$H$24:$H$112,'2025'!$L$24:$L$112,A9&amp;" / "&amp;B9,'2025'!$F$24:$F$112,B9)</x:f>
        <x:v>356</x:v>
      </x:c>
      <x:c r="I9" s="11" t="n">
        <x:f>IF(C9=0,0,(D9+0.5*F9)/C9)</x:f>
        <x:v>0.6666666666666666</x:v>
      </x:c>
      <x:c r="J9" s="2" t="n">
        <x:f>COUNTIFS('2015'!$L$24:$L$96,A9&amp;" / "&amp;B9,'2015'!$B$24:$B$96,"Regular")+COUNTIFS('2016'!$L$24:$L$96,A9&amp;" / "&amp;B9,'2016'!$B$24:$B$96,"Regular")+COUNTIFS('2017'!$L$24:$L$106,A9&amp;" / "&amp;B9,'2017'!$B$24:$B$106,"Regular")+COUNTIFS('2018'!$L$24:$L$106,A9&amp;" / "&amp;B9,'2018'!$B$24:$B$106,"Regular")+COUNTIFS('2019'!$L$24:$L$106,A9&amp;" / "&amp;B9,'2019'!$B$24:$B$106,"Regular")+COUNTIFS('2020'!$L$24:$L$106,A9&amp;" / "&amp;B9,'2020'!$B$24:$B$106,"Regular")+COUNTIFS('2021'!$L$24:$L$112,A9&amp;" / "&amp;B9,'2021'!$B$24:$B$112,"Regular")+COUNTIFS('2022'!$L$24:$L$112,A9&amp;" / "&amp;B9,'2022'!$B$24:$B$112,"Regular")+COUNTIFS('2023'!$L$24:$L$112,A9&amp;" / "&amp;B9,'2023'!$B$24:$B$112,"Regular")+COUNTIFS('2024'!$L$24:$L$112,A9&amp;" / "&amp;B9,'2024'!$B$24:$B$112,"Regular")+COUNTIFS('2025'!$L$24:$L$112,A9&amp;" / "&amp;B9,'2025'!$B$24:$B$112,"Regular")</x:f>
        <x:v>3</x:v>
      </x:c>
      <x:c r="K9" s="2" t="n">
        <x:f>COUNTIFS('2015'!$L$24:$L$96,A9&amp;" / "&amp;B9,'2015'!$B$24:$B$96,"Playoffs")+COUNTIFS('2016'!$L$24:$L$96,A9&amp;" / "&amp;B9,'2016'!$B$24:$B$96,"Playoffs")+COUNTIFS('2017'!$L$24:$L$106,A9&amp;" / "&amp;B9,'2017'!$B$24:$B$106,"Playoffs")+COUNTIFS('2018'!$L$24:$L$106,A9&amp;" / "&amp;B9,'2018'!$B$24:$B$106,"Playoffs")+COUNTIFS('2019'!$L$24:$L$106,A9&amp;" / "&amp;B9,'2019'!$B$24:$B$106,"Playoffs")+COUNTIFS('2020'!$L$24:$L$106,A9&amp;" / "&amp;B9,'2020'!$B$24:$B$106,"Playoffs")+COUNTIFS('2021'!$L$24:$L$112,A9&amp;" / "&amp;B9,'2021'!$B$24:$B$112,"Playoffs")+COUNTIFS('2022'!$L$24:$L$112,A9&amp;" / "&amp;B9,'2022'!$B$24:$B$112,"Playoffs")+COUNTIFS('2023'!$L$24:$L$112,A9&amp;" / "&amp;B9,'2023'!$B$24:$B$112,"Playoffs")+COUNTIFS('2024'!$L$24:$L$112,A9&amp;" / "&amp;B9,'2024'!$B$24:$B$112,"Playoffs")+COUNTIFS('2025'!$L$24:$L$112,A9&amp;" / "&amp;B9,'2025'!$B$24:$B$112,"Playoffs")</x:f>
        <x:v>0</x:v>
      </x:c>
      <x:c r="L9" s="2" t="n">
        <x:f>COUNTIFS('2015'!$L$24:$L$96,A9&amp;" / "&amp;B9,'2015'!$B$24:$B$96,"Unconfirmed")+COUNTIFS('2016'!$L$24:$L$96,A9&amp;" / "&amp;B9,'2016'!$B$24:$B$96,"Unconfirmed")+COUNTIFS('2017'!$L$24:$L$106,A9&amp;" / "&amp;B9,'2017'!$B$24:$B$106,"Unconfirmed")+COUNTIFS('2018'!$L$24:$L$106,A9&amp;" / "&amp;B9,'2018'!$B$24:$B$106,"Unconfirmed")+COUNTIFS('2019'!$L$24:$L$106,A9&amp;" / "&amp;B9,'2019'!$B$24:$B$106,"Unconfirmed")+COUNTIFS('2020'!$L$24:$L$106,A9&amp;" / "&amp;B9,'2020'!$B$24:$B$106,"Unconfirmed")+COUNTIFS('2021'!$L$24:$L$112,A9&amp;" / "&amp;B9,'2021'!$B$24:$B$112,"Unconfirmed")+COUNTIFS('2022'!$L$24:$L$112,A9&amp;" / "&amp;B9,'2022'!$B$24:$B$112,"Unconfirmed")+COUNTIFS('2023'!$L$24:$L$112,A9&amp;" / "&amp;B9,'2023'!$B$24:$B$112,"Unconfirmed")+COUNTIFS('2024'!$L$24:$L$112,A9&amp;" / "&amp;B9,'2024'!$B$24:$B$112,"Unconfirmed")+COUNTIFS('2025'!$L$24:$L$112,A9&amp;" / "&amp;B9,'2025'!$B$24:$B$112,"Unconfirmed")</x:f>
        <x:v>0</x:v>
      </x:c>
    </x:row>
    <x:row r="10" ht="22" customHeight="1">
      <x:c r="A10" s="2" t="str">
        <x:v>Andrew</x:v>
      </x:c>
      <x:c r="B10" s="2" t="str">
        <x:v>Ed</x:v>
      </x:c>
      <x:c r="C10" s="2" t="n">
        <x:f>COUNTIFS('2015'!$L$24:$L$96,A10&amp;" / "&amp;B10)+COUNTIFS('2016'!$L$24:$L$96,A10&amp;" / "&amp;B10)+COUNTIFS('2017'!$L$24:$L$106,A10&amp;" / "&amp;B10)+COUNTIFS('2018'!$L$24:$L$106,A10&amp;" / "&amp;B10)+COUNTIFS('2019'!$L$24:$L$106,A10&amp;" / "&amp;B10)+COUNTIFS('2020'!$L$24:$L$106,A10&amp;" / "&amp;B10)+COUNTIFS('2021'!$L$24:$L$112,A10&amp;" / "&amp;B10)+COUNTIFS('2022'!$L$24:$L$112,A10&amp;" / "&amp;B10)+COUNTIFS('2023'!$L$24:$L$112,A10&amp;" / "&amp;B10)+COUNTIFS('2024'!$L$24:$L$112,A10&amp;" / "&amp;B10)+COUNTIFS('2025'!$L$24:$L$112,A10&amp;" / "&amp;B10)</x:f>
        <x:v>2</x:v>
      </x:c>
      <x:c r="D10" s="2" t="n">
        <x:f>COUNTIFS('2015'!$L$24:$L$96,A10&amp;" / "&amp;B10,'2015'!$I$24:$I$96,A10)+COUNTIFS('2016'!$L$24:$L$96,A10&amp;" / "&amp;B10,'2016'!$I$24:$I$96,A10)+COUNTIFS('2017'!$L$24:$L$106,A10&amp;" / "&amp;B10,'2017'!$I$24:$I$106,A10)+COUNTIFS('2018'!$L$24:$L$106,A10&amp;" / "&amp;B10,'2018'!$I$24:$I$106,A10)+COUNTIFS('2019'!$L$24:$L$106,A10&amp;" / "&amp;B10,'2019'!$I$24:$I$106,A10)+COUNTIFS('2020'!$L$24:$L$106,A10&amp;" / "&amp;B10,'2020'!$I$24:$I$106,A10)+COUNTIFS('2021'!$L$24:$L$112,A10&amp;" / "&amp;B10,'2021'!$I$24:$I$112,A10)+COUNTIFS('2022'!$L$24:$L$112,A10&amp;" / "&amp;B10,'2022'!$I$24:$I$112,A10)+COUNTIFS('2023'!$L$24:$L$112,A10&amp;" / "&amp;B10,'2023'!$I$24:$I$112,A10)+COUNTIFS('2024'!$L$24:$L$112,A10&amp;" / "&amp;B10,'2024'!$I$24:$I$112,A10)+COUNTIFS('2025'!$L$24:$L$112,A10&amp;" / "&amp;B10,'2025'!$I$24:$I$112,A10)</x:f>
        <x:v>1</x:v>
      </x:c>
      <x:c r="E10" s="2" t="n">
        <x:f>COUNTIFS('2015'!$L$24:$L$96,A10&amp;" / "&amp;B10,'2015'!$I$24:$I$96,B10)+COUNTIFS('2016'!$L$24:$L$96,A10&amp;" / "&amp;B10,'2016'!$I$24:$I$96,B10)+COUNTIFS('2017'!$L$24:$L$106,A10&amp;" / "&amp;B10,'2017'!$I$24:$I$106,B10)+COUNTIFS('2018'!$L$24:$L$106,A10&amp;" / "&amp;B10,'2018'!$I$24:$I$106,B10)+COUNTIFS('2019'!$L$24:$L$106,A10&amp;" / "&amp;B10,'2019'!$I$24:$I$106,B10)+COUNTIFS('2020'!$L$24:$L$106,A10&amp;" / "&amp;B10,'2020'!$I$24:$I$106,B10)+COUNTIFS('2021'!$L$24:$L$112,A10&amp;" / "&amp;B10,'2021'!$I$24:$I$112,B10)+COUNTIFS('2022'!$L$24:$L$112,A10&amp;" / "&amp;B10,'2022'!$I$24:$I$112,B10)+COUNTIFS('2023'!$L$24:$L$112,A10&amp;" / "&amp;B10,'2023'!$I$24:$I$112,B10)+COUNTIFS('2024'!$L$24:$L$112,A10&amp;" / "&amp;B10,'2024'!$I$24:$I$112,B10)+COUNTIFS('2025'!$L$24:$L$112,A10&amp;" / "&amp;B10,'2025'!$I$24:$I$112,B10)</x:f>
        <x:v>1</x:v>
      </x:c>
      <x:c r="F10" s="2" t="n">
        <x:f>COUNTIFS('2015'!$L$24:$L$96,A10&amp;" / "&amp;B10,'2015'!$K$24:$K$96,1)+COUNTIFS('2016'!$L$24:$L$96,A10&amp;" / "&amp;B10,'2016'!$K$24:$K$96,1)+COUNTIFS('2017'!$L$24:$L$106,A10&amp;" / "&amp;B10,'2017'!$K$24:$K$106,1)+COUNTIFS('2018'!$L$24:$L$106,A10&amp;" / "&amp;B10,'2018'!$K$24:$K$106,1)+COUNTIFS('2019'!$L$24:$L$106,A10&amp;" / "&amp;B10,'2019'!$K$24:$K$106,1)+COUNTIFS('2020'!$L$24:$L$106,A10&amp;" / "&amp;B10,'2020'!$K$24:$K$106,1)+COUNTIFS('2021'!$L$24:$L$112,A10&amp;" / "&amp;B10,'2021'!$K$24:$K$112,1)+COUNTIFS('2022'!$L$24:$L$112,A10&amp;" / "&amp;B10,'2022'!$K$24:$K$112,1)+COUNTIFS('2023'!$L$24:$L$112,A10&amp;" / "&amp;B10,'2023'!$K$24:$K$112,1)+COUNTIFS('2024'!$L$24:$L$112,A10&amp;" / "&amp;B10,'2024'!$K$24:$K$112,1)+COUNTIFS('2025'!$L$24:$L$112,A10&amp;" / "&amp;B10,'2025'!$K$24:$K$112,1)</x:f>
        <x:v>0</x:v>
      </x:c>
      <x:c r="G10" s="25" t="n">
        <x:f>SUMIFS('2015'!$E$24:$E$96,'2015'!$L$24:$L$96,A10&amp;" / "&amp;B10,'2015'!$C$24:$C$96,A10)+SUMIFS('2015'!$H$24:$H$96,'2015'!$L$24:$L$96,A10&amp;" / "&amp;B10,'2015'!$F$24:$F$96,A10)+SUMIFS('2016'!$E$24:$E$96,'2016'!$L$24:$L$96,A10&amp;" / "&amp;B10,'2016'!$C$24:$C$96,A10)+SUMIFS('2016'!$H$24:$H$96,'2016'!$L$24:$L$96,A10&amp;" / "&amp;B10,'2016'!$F$24:$F$96,A10)+SUMIFS('2017'!$E$24:$E$106,'2017'!$L$24:$L$106,A10&amp;" / "&amp;B10,'2017'!$C$24:$C$106,A10)+SUMIFS('2017'!$H$24:$H$106,'2017'!$L$24:$L$106,A10&amp;" / "&amp;B10,'2017'!$F$24:$F$106,A10)+SUMIFS('2018'!$E$24:$E$106,'2018'!$L$24:$L$106,A10&amp;" / "&amp;B10,'2018'!$C$24:$C$106,A10)+SUMIFS('2018'!$H$24:$H$106,'2018'!$L$24:$L$106,A10&amp;" / "&amp;B10,'2018'!$F$24:$F$106,A10)+SUMIFS('2019'!$E$24:$E$106,'2019'!$L$24:$L$106,A10&amp;" / "&amp;B10,'2019'!$C$24:$C$106,A10)+SUMIFS('2019'!$H$24:$H$106,'2019'!$L$24:$L$106,A10&amp;" / "&amp;B10,'2019'!$F$24:$F$106,A10)+SUMIFS('2020'!$E$24:$E$106,'2020'!$L$24:$L$106,A10&amp;" / "&amp;B10,'2020'!$C$24:$C$106,A10)+SUMIFS('2020'!$H$24:$H$106,'2020'!$L$24:$L$106,A10&amp;" / "&amp;B10,'2020'!$F$24:$F$106,A10)+SUMIFS('2021'!$E$24:$E$112,'2021'!$L$24:$L$112,A10&amp;" / "&amp;B10,'2021'!$C$24:$C$112,A10)+SUMIFS('2021'!$H$24:$H$112,'2021'!$L$24:$L$112,A10&amp;" / "&amp;B10,'2021'!$F$24:$F$112,A10)+SUMIFS('2022'!$E$24:$E$112,'2022'!$L$24:$L$112,A10&amp;" / "&amp;B10,'2022'!$C$24:$C$112,A10)+SUMIFS('2022'!$H$24:$H$112,'2022'!$L$24:$L$112,A10&amp;" / "&amp;B10,'2022'!$F$24:$F$112,A10)+SUMIFS('2023'!$E$24:$E$112,'2023'!$L$24:$L$112,A10&amp;" / "&amp;B10,'2023'!$C$24:$C$112,A10)+SUMIFS('2023'!$H$24:$H$112,'2023'!$L$24:$L$112,A10&amp;" / "&amp;B10,'2023'!$F$24:$F$112,A10)+SUMIFS('2024'!$E$24:$E$112,'2024'!$L$24:$L$112,A10&amp;" / "&amp;B10,'2024'!$C$24:$C$112,A10)+SUMIFS('2024'!$H$24:$H$112,'2024'!$L$24:$L$112,A10&amp;" / "&amp;B10,'2024'!$F$24:$F$112,A10)+SUMIFS('2025'!$E$24:$E$112,'2025'!$L$24:$L$112,A10&amp;" / "&amp;B10,'2025'!$C$24:$C$112,A10)+SUMIFS('2025'!$H$24:$H$112,'2025'!$L$24:$L$112,A10&amp;" / "&amp;B10,'2025'!$F$24:$F$112,A10)</x:f>
        <x:v>214</x:v>
      </x:c>
      <x:c r="H10" s="25" t="n">
        <x:f>SUMIFS('2015'!$E$24:$E$96,'2015'!$L$24:$L$96,A10&amp;" / "&amp;B10,'2015'!$C$24:$C$96,B10)+SUMIFS('2015'!$H$24:$H$96,'2015'!$L$24:$L$96,A10&amp;" / "&amp;B10,'2015'!$F$24:$F$96,B10)+SUMIFS('2016'!$E$24:$E$96,'2016'!$L$24:$L$96,A10&amp;" / "&amp;B10,'2016'!$C$24:$C$96,B10)+SUMIFS('2016'!$H$24:$H$96,'2016'!$L$24:$L$96,A10&amp;" / "&amp;B10,'2016'!$F$24:$F$96,B10)+SUMIFS('2017'!$E$24:$E$106,'2017'!$L$24:$L$106,A10&amp;" / "&amp;B10,'2017'!$C$24:$C$106,B10)+SUMIFS('2017'!$H$24:$H$106,'2017'!$L$24:$L$106,A10&amp;" / "&amp;B10,'2017'!$F$24:$F$106,B10)+SUMIFS('2018'!$E$24:$E$106,'2018'!$L$24:$L$106,A10&amp;" / "&amp;B10,'2018'!$C$24:$C$106,B10)+SUMIFS('2018'!$H$24:$H$106,'2018'!$L$24:$L$106,A10&amp;" / "&amp;B10,'2018'!$F$24:$F$106,B10)+SUMIFS('2019'!$E$24:$E$106,'2019'!$L$24:$L$106,A10&amp;" / "&amp;B10,'2019'!$C$24:$C$106,B10)+SUMIFS('2019'!$H$24:$H$106,'2019'!$L$24:$L$106,A10&amp;" / "&amp;B10,'2019'!$F$24:$F$106,B10)+SUMIFS('2020'!$E$24:$E$106,'2020'!$L$24:$L$106,A10&amp;" / "&amp;B10,'2020'!$C$24:$C$106,B10)+SUMIFS('2020'!$H$24:$H$106,'2020'!$L$24:$L$106,A10&amp;" / "&amp;B10,'2020'!$F$24:$F$106,B10)+SUMIFS('2021'!$E$24:$E$112,'2021'!$L$24:$L$112,A10&amp;" / "&amp;B10,'2021'!$C$24:$C$112,B10)+SUMIFS('2021'!$H$24:$H$112,'2021'!$L$24:$L$112,A10&amp;" / "&amp;B10,'2021'!$F$24:$F$112,B10)+SUMIFS('2022'!$E$24:$E$112,'2022'!$L$24:$L$112,A10&amp;" / "&amp;B10,'2022'!$C$24:$C$112,B10)+SUMIFS('2022'!$H$24:$H$112,'2022'!$L$24:$L$112,A10&amp;" / "&amp;B10,'2022'!$F$24:$F$112,B10)+SUMIFS('2023'!$E$24:$E$112,'2023'!$L$24:$L$112,A10&amp;" / "&amp;B10,'2023'!$C$24:$C$112,B10)+SUMIFS('2023'!$H$24:$H$112,'2023'!$L$24:$L$112,A10&amp;" / "&amp;B10,'2023'!$F$24:$F$112,B10)+SUMIFS('2024'!$E$24:$E$112,'2024'!$L$24:$L$112,A10&amp;" / "&amp;B10,'2024'!$C$24:$C$112,B10)+SUMIFS('2024'!$H$24:$H$112,'2024'!$L$24:$L$112,A10&amp;" / "&amp;B10,'2024'!$F$24:$F$112,B10)+SUMIFS('2025'!$E$24:$E$112,'2025'!$L$24:$L$112,A10&amp;" / "&amp;B10,'2025'!$C$24:$C$112,B10)+SUMIFS('2025'!$H$24:$H$112,'2025'!$L$24:$L$112,A10&amp;" / "&amp;B10,'2025'!$F$24:$F$112,B10)</x:f>
        <x:v>220</x:v>
      </x:c>
      <x:c r="I10" s="11" t="n">
        <x:f>IF(C10=0,0,(D10+0.5*F10)/C10)</x:f>
        <x:v>0.5</x:v>
      </x:c>
      <x:c r="J10" s="2" t="n">
        <x:f>COUNTIFS('2015'!$L$24:$L$96,A10&amp;" / "&amp;B10,'2015'!$B$24:$B$96,"Regular")+COUNTIFS('2016'!$L$24:$L$96,A10&amp;" / "&amp;B10,'2016'!$B$24:$B$96,"Regular")+COUNTIFS('2017'!$L$24:$L$106,A10&amp;" / "&amp;B10,'2017'!$B$24:$B$106,"Regular")+COUNTIFS('2018'!$L$24:$L$106,A10&amp;" / "&amp;B10,'2018'!$B$24:$B$106,"Regular")+COUNTIFS('2019'!$L$24:$L$106,A10&amp;" / "&amp;B10,'2019'!$B$24:$B$106,"Regular")+COUNTIFS('2020'!$L$24:$L$106,A10&amp;" / "&amp;B10,'2020'!$B$24:$B$106,"Regular")+COUNTIFS('2021'!$L$24:$L$112,A10&amp;" / "&amp;B10,'2021'!$B$24:$B$112,"Regular")+COUNTIFS('2022'!$L$24:$L$112,A10&amp;" / "&amp;B10,'2022'!$B$24:$B$112,"Regular")+COUNTIFS('2023'!$L$24:$L$112,A10&amp;" / "&amp;B10,'2023'!$B$24:$B$112,"Regular")+COUNTIFS('2024'!$L$24:$L$112,A10&amp;" / "&amp;B10,'2024'!$B$24:$B$112,"Regular")+COUNTIFS('2025'!$L$24:$L$112,A10&amp;" / "&amp;B10,'2025'!$B$24:$B$112,"Regular")</x:f>
        <x:v>2</x:v>
      </x:c>
      <x:c r="K10" s="2" t="n">
        <x:f>COUNTIFS('2015'!$L$24:$L$96,A10&amp;" / "&amp;B10,'2015'!$B$24:$B$96,"Playoffs")+COUNTIFS('2016'!$L$24:$L$96,A10&amp;" / "&amp;B10,'2016'!$B$24:$B$96,"Playoffs")+COUNTIFS('2017'!$L$24:$L$106,A10&amp;" / "&amp;B10,'2017'!$B$24:$B$106,"Playoffs")+COUNTIFS('2018'!$L$24:$L$106,A10&amp;" / "&amp;B10,'2018'!$B$24:$B$106,"Playoffs")+COUNTIFS('2019'!$L$24:$L$106,A10&amp;" / "&amp;B10,'2019'!$B$24:$B$106,"Playoffs")+COUNTIFS('2020'!$L$24:$L$106,A10&amp;" / "&amp;B10,'2020'!$B$24:$B$106,"Playoffs")+COUNTIFS('2021'!$L$24:$L$112,A10&amp;" / "&amp;B10,'2021'!$B$24:$B$112,"Playoffs")+COUNTIFS('2022'!$L$24:$L$112,A10&amp;" / "&amp;B10,'2022'!$B$24:$B$112,"Playoffs")+COUNTIFS('2023'!$L$24:$L$112,A10&amp;" / "&amp;B10,'2023'!$B$24:$B$112,"Playoffs")+COUNTIFS('2024'!$L$24:$L$112,A10&amp;" / "&amp;B10,'2024'!$B$24:$B$112,"Playoffs")+COUNTIFS('2025'!$L$24:$L$112,A10&amp;" / "&amp;B10,'2025'!$B$24:$B$112,"Playoffs")</x:f>
        <x:v>0</x:v>
      </x:c>
      <x:c r="L10" s="2" t="n">
        <x:f>COUNTIFS('2015'!$L$24:$L$96,A10&amp;" / "&amp;B10,'2015'!$B$24:$B$96,"Unconfirmed")+COUNTIFS('2016'!$L$24:$L$96,A10&amp;" / "&amp;B10,'2016'!$B$24:$B$96,"Unconfirmed")+COUNTIFS('2017'!$L$24:$L$106,A10&amp;" / "&amp;B10,'2017'!$B$24:$B$106,"Unconfirmed")+COUNTIFS('2018'!$L$24:$L$106,A10&amp;" / "&amp;B10,'2018'!$B$24:$B$106,"Unconfirmed")+COUNTIFS('2019'!$L$24:$L$106,A10&amp;" / "&amp;B10,'2019'!$B$24:$B$106,"Unconfirmed")+COUNTIFS('2020'!$L$24:$L$106,A10&amp;" / "&amp;B10,'2020'!$B$24:$B$106,"Unconfirmed")+COUNTIFS('2021'!$L$24:$L$112,A10&amp;" / "&amp;B10,'2021'!$B$24:$B$112,"Unconfirmed")+COUNTIFS('2022'!$L$24:$L$112,A10&amp;" / "&amp;B10,'2022'!$B$24:$B$112,"Unconfirmed")+COUNTIFS('2023'!$L$24:$L$112,A10&amp;" / "&amp;B10,'2023'!$B$24:$B$112,"Unconfirmed")+COUNTIFS('2024'!$L$24:$L$112,A10&amp;" / "&amp;B10,'2024'!$B$24:$B$112,"Unconfirmed")+COUNTIFS('2025'!$L$24:$L$112,A10&amp;" / "&amp;B10,'2025'!$B$24:$B$112,"Unconfirmed")</x:f>
        <x:v>0</x:v>
      </x:c>
    </x:row>
    <x:row r="11" ht="22" customHeight="1">
      <x:c r="A11" s="2" t="str">
        <x:v>Andrew</x:v>
      </x:c>
      <x:c r="B11" s="2" t="str">
        <x:v>James B.</x:v>
      </x:c>
      <x:c r="C11" s="2" t="n">
        <x:f>COUNTIFS('2015'!$L$24:$L$96,A11&amp;" / "&amp;B11)+COUNTIFS('2016'!$L$24:$L$96,A11&amp;" / "&amp;B11)+COUNTIFS('2017'!$L$24:$L$106,A11&amp;" / "&amp;B11)+COUNTIFS('2018'!$L$24:$L$106,A11&amp;" / "&amp;B11)+COUNTIFS('2019'!$L$24:$L$106,A11&amp;" / "&amp;B11)+COUNTIFS('2020'!$L$24:$L$106,A11&amp;" / "&amp;B11)+COUNTIFS('2021'!$L$24:$L$112,A11&amp;" / "&amp;B11)+COUNTIFS('2022'!$L$24:$L$112,A11&amp;" / "&amp;B11)+COUNTIFS('2023'!$L$24:$L$112,A11&amp;" / "&amp;B11)+COUNTIFS('2024'!$L$24:$L$112,A11&amp;" / "&amp;B11)+COUNTIFS('2025'!$L$24:$L$112,A11&amp;" / "&amp;B11)</x:f>
        <x:v>4</x:v>
      </x:c>
      <x:c r="D11" s="2" t="n">
        <x:f>COUNTIFS('2015'!$L$24:$L$96,A11&amp;" / "&amp;B11,'2015'!$I$24:$I$96,A11)+COUNTIFS('2016'!$L$24:$L$96,A11&amp;" / "&amp;B11,'2016'!$I$24:$I$96,A11)+COUNTIFS('2017'!$L$24:$L$106,A11&amp;" / "&amp;B11,'2017'!$I$24:$I$106,A11)+COUNTIFS('2018'!$L$24:$L$106,A11&amp;" / "&amp;B11,'2018'!$I$24:$I$106,A11)+COUNTIFS('2019'!$L$24:$L$106,A11&amp;" / "&amp;B11,'2019'!$I$24:$I$106,A11)+COUNTIFS('2020'!$L$24:$L$106,A11&amp;" / "&amp;B11,'2020'!$I$24:$I$106,A11)+COUNTIFS('2021'!$L$24:$L$112,A11&amp;" / "&amp;B11,'2021'!$I$24:$I$112,A11)+COUNTIFS('2022'!$L$24:$L$112,A11&amp;" / "&amp;B11,'2022'!$I$24:$I$112,A11)+COUNTIFS('2023'!$L$24:$L$112,A11&amp;" / "&amp;B11,'2023'!$I$24:$I$112,A11)+COUNTIFS('2024'!$L$24:$L$112,A11&amp;" / "&amp;B11,'2024'!$I$24:$I$112,A11)+COUNTIFS('2025'!$L$24:$L$112,A11&amp;" / "&amp;B11,'2025'!$I$24:$I$112,A11)</x:f>
        <x:v>4</x:v>
      </x:c>
      <x:c r="E11" s="2" t="n">
        <x:f>COUNTIFS('2015'!$L$24:$L$96,A11&amp;" / "&amp;B11,'2015'!$I$24:$I$96,B11)+COUNTIFS('2016'!$L$24:$L$96,A11&amp;" / "&amp;B11,'2016'!$I$24:$I$96,B11)+COUNTIFS('2017'!$L$24:$L$106,A11&amp;" / "&amp;B11,'2017'!$I$24:$I$106,B11)+COUNTIFS('2018'!$L$24:$L$106,A11&amp;" / "&amp;B11,'2018'!$I$24:$I$106,B11)+COUNTIFS('2019'!$L$24:$L$106,A11&amp;" / "&amp;B11,'2019'!$I$24:$I$106,B11)+COUNTIFS('2020'!$L$24:$L$106,A11&amp;" / "&amp;B11,'2020'!$I$24:$I$106,B11)+COUNTIFS('2021'!$L$24:$L$112,A11&amp;" / "&amp;B11,'2021'!$I$24:$I$112,B11)+COUNTIFS('2022'!$L$24:$L$112,A11&amp;" / "&amp;B11,'2022'!$I$24:$I$112,B11)+COUNTIFS('2023'!$L$24:$L$112,A11&amp;" / "&amp;B11,'2023'!$I$24:$I$112,B11)+COUNTIFS('2024'!$L$24:$L$112,A11&amp;" / "&amp;B11,'2024'!$I$24:$I$112,B11)+COUNTIFS('2025'!$L$24:$L$112,A11&amp;" / "&amp;B11,'2025'!$I$24:$I$112,B11)</x:f>
        <x:v>0</x:v>
      </x:c>
      <x:c r="F11" s="2" t="n">
        <x:f>COUNTIFS('2015'!$L$24:$L$96,A11&amp;" / "&amp;B11,'2015'!$K$24:$K$96,1)+COUNTIFS('2016'!$L$24:$L$96,A11&amp;" / "&amp;B11,'2016'!$K$24:$K$96,1)+COUNTIFS('2017'!$L$24:$L$106,A11&amp;" / "&amp;B11,'2017'!$K$24:$K$106,1)+COUNTIFS('2018'!$L$24:$L$106,A11&amp;" / "&amp;B11,'2018'!$K$24:$K$106,1)+COUNTIFS('2019'!$L$24:$L$106,A11&amp;" / "&amp;B11,'2019'!$K$24:$K$106,1)+COUNTIFS('2020'!$L$24:$L$106,A11&amp;" / "&amp;B11,'2020'!$K$24:$K$106,1)+COUNTIFS('2021'!$L$24:$L$112,A11&amp;" / "&amp;B11,'2021'!$K$24:$K$112,1)+COUNTIFS('2022'!$L$24:$L$112,A11&amp;" / "&amp;B11,'2022'!$K$24:$K$112,1)+COUNTIFS('2023'!$L$24:$L$112,A11&amp;" / "&amp;B11,'2023'!$K$24:$K$112,1)+COUNTIFS('2024'!$L$24:$L$112,A11&amp;" / "&amp;B11,'2024'!$K$24:$K$112,1)+COUNTIFS('2025'!$L$24:$L$112,A11&amp;" / "&amp;B11,'2025'!$K$24:$K$112,1)</x:f>
        <x:v>0</x:v>
      </x:c>
      <x:c r="G11" s="25" t="n">
        <x:f>SUMIFS('2015'!$E$24:$E$96,'2015'!$L$24:$L$96,A11&amp;" / "&amp;B11,'2015'!$C$24:$C$96,A11)+SUMIFS('2015'!$H$24:$H$96,'2015'!$L$24:$L$96,A11&amp;" / "&amp;B11,'2015'!$F$24:$F$96,A11)+SUMIFS('2016'!$E$24:$E$96,'2016'!$L$24:$L$96,A11&amp;" / "&amp;B11,'2016'!$C$24:$C$96,A11)+SUMIFS('2016'!$H$24:$H$96,'2016'!$L$24:$L$96,A11&amp;" / "&amp;B11,'2016'!$F$24:$F$96,A11)+SUMIFS('2017'!$E$24:$E$106,'2017'!$L$24:$L$106,A11&amp;" / "&amp;B11,'2017'!$C$24:$C$106,A11)+SUMIFS('2017'!$H$24:$H$106,'2017'!$L$24:$L$106,A11&amp;" / "&amp;B11,'2017'!$F$24:$F$106,A11)+SUMIFS('2018'!$E$24:$E$106,'2018'!$L$24:$L$106,A11&amp;" / "&amp;B11,'2018'!$C$24:$C$106,A11)+SUMIFS('2018'!$H$24:$H$106,'2018'!$L$24:$L$106,A11&amp;" / "&amp;B11,'2018'!$F$24:$F$106,A11)+SUMIFS('2019'!$E$24:$E$106,'2019'!$L$24:$L$106,A11&amp;" / "&amp;B11,'2019'!$C$24:$C$106,A11)+SUMIFS('2019'!$H$24:$H$106,'2019'!$L$24:$L$106,A11&amp;" / "&amp;B11,'2019'!$F$24:$F$106,A11)+SUMIFS('2020'!$E$24:$E$106,'2020'!$L$24:$L$106,A11&amp;" / "&amp;B11,'2020'!$C$24:$C$106,A11)+SUMIFS('2020'!$H$24:$H$106,'2020'!$L$24:$L$106,A11&amp;" / "&amp;B11,'2020'!$F$24:$F$106,A11)+SUMIFS('2021'!$E$24:$E$112,'2021'!$L$24:$L$112,A11&amp;" / "&amp;B11,'2021'!$C$24:$C$112,A11)+SUMIFS('2021'!$H$24:$H$112,'2021'!$L$24:$L$112,A11&amp;" / "&amp;B11,'2021'!$F$24:$F$112,A11)+SUMIFS('2022'!$E$24:$E$112,'2022'!$L$24:$L$112,A11&amp;" / "&amp;B11,'2022'!$C$24:$C$112,A11)+SUMIFS('2022'!$H$24:$H$112,'2022'!$L$24:$L$112,A11&amp;" / "&amp;B11,'2022'!$F$24:$F$112,A11)+SUMIFS('2023'!$E$24:$E$112,'2023'!$L$24:$L$112,A11&amp;" / "&amp;B11,'2023'!$C$24:$C$112,A11)+SUMIFS('2023'!$H$24:$H$112,'2023'!$L$24:$L$112,A11&amp;" / "&amp;B11,'2023'!$F$24:$F$112,A11)+SUMIFS('2024'!$E$24:$E$112,'2024'!$L$24:$L$112,A11&amp;" / "&amp;B11,'2024'!$C$24:$C$112,A11)+SUMIFS('2024'!$H$24:$H$112,'2024'!$L$24:$L$112,A11&amp;" / "&amp;B11,'2024'!$F$24:$F$112,A11)+SUMIFS('2025'!$E$24:$E$112,'2025'!$L$24:$L$112,A11&amp;" / "&amp;B11,'2025'!$C$24:$C$112,A11)+SUMIFS('2025'!$H$24:$H$112,'2025'!$L$24:$L$112,A11&amp;" / "&amp;B11,'2025'!$F$24:$F$112,A11)</x:f>
        <x:v>444</x:v>
      </x:c>
      <x:c r="H11" s="25" t="n">
        <x:f>SUMIFS('2015'!$E$24:$E$96,'2015'!$L$24:$L$96,A11&amp;" / "&amp;B11,'2015'!$C$24:$C$96,B11)+SUMIFS('2015'!$H$24:$H$96,'2015'!$L$24:$L$96,A11&amp;" / "&amp;B11,'2015'!$F$24:$F$96,B11)+SUMIFS('2016'!$E$24:$E$96,'2016'!$L$24:$L$96,A11&amp;" / "&amp;B11,'2016'!$C$24:$C$96,B11)+SUMIFS('2016'!$H$24:$H$96,'2016'!$L$24:$L$96,A11&amp;" / "&amp;B11,'2016'!$F$24:$F$96,B11)+SUMIFS('2017'!$E$24:$E$106,'2017'!$L$24:$L$106,A11&amp;" / "&amp;B11,'2017'!$C$24:$C$106,B11)+SUMIFS('2017'!$H$24:$H$106,'2017'!$L$24:$L$106,A11&amp;" / "&amp;B11,'2017'!$F$24:$F$106,B11)+SUMIFS('2018'!$E$24:$E$106,'2018'!$L$24:$L$106,A11&amp;" / "&amp;B11,'2018'!$C$24:$C$106,B11)+SUMIFS('2018'!$H$24:$H$106,'2018'!$L$24:$L$106,A11&amp;" / "&amp;B11,'2018'!$F$24:$F$106,B11)+SUMIFS('2019'!$E$24:$E$106,'2019'!$L$24:$L$106,A11&amp;" / "&amp;B11,'2019'!$C$24:$C$106,B11)+SUMIFS('2019'!$H$24:$H$106,'2019'!$L$24:$L$106,A11&amp;" / "&amp;B11,'2019'!$F$24:$F$106,B11)+SUMIFS('2020'!$E$24:$E$106,'2020'!$L$24:$L$106,A11&amp;" / "&amp;B11,'2020'!$C$24:$C$106,B11)+SUMIFS('2020'!$H$24:$H$106,'2020'!$L$24:$L$106,A11&amp;" / "&amp;B11,'2020'!$F$24:$F$106,B11)+SUMIFS('2021'!$E$24:$E$112,'2021'!$L$24:$L$112,A11&amp;" / "&amp;B11,'2021'!$C$24:$C$112,B11)+SUMIFS('2021'!$H$24:$H$112,'2021'!$L$24:$L$112,A11&amp;" / "&amp;B11,'2021'!$F$24:$F$112,B11)+SUMIFS('2022'!$E$24:$E$112,'2022'!$L$24:$L$112,A11&amp;" / "&amp;B11,'2022'!$C$24:$C$112,B11)+SUMIFS('2022'!$H$24:$H$112,'2022'!$L$24:$L$112,A11&amp;" / "&amp;B11,'2022'!$F$24:$F$112,B11)+SUMIFS('2023'!$E$24:$E$112,'2023'!$L$24:$L$112,A11&amp;" / "&amp;B11,'2023'!$C$24:$C$112,B11)+SUMIFS('2023'!$H$24:$H$112,'2023'!$L$24:$L$112,A11&amp;" / "&amp;B11,'2023'!$F$24:$F$112,B11)+SUMIFS('2024'!$E$24:$E$112,'2024'!$L$24:$L$112,A11&amp;" / "&amp;B11,'2024'!$C$24:$C$112,B11)+SUMIFS('2024'!$H$24:$H$112,'2024'!$L$24:$L$112,A11&amp;" / "&amp;B11,'2024'!$F$24:$F$112,B11)+SUMIFS('2025'!$E$24:$E$112,'2025'!$L$24:$L$112,A11&amp;" / "&amp;B11,'2025'!$C$24:$C$112,B11)+SUMIFS('2025'!$H$24:$H$112,'2025'!$L$24:$L$112,A11&amp;" / "&amp;B11,'2025'!$F$24:$F$112,B11)</x:f>
        <x:v>372</x:v>
      </x:c>
      <x:c r="I11" s="11" t="n">
        <x:f>IF(C11=0,0,(D11+0.5*F11)/C11)</x:f>
        <x:v>1</x:v>
      </x:c>
      <x:c r="J11" s="2" t="n">
        <x:f>COUNTIFS('2015'!$L$24:$L$96,A11&amp;" / "&amp;B11,'2015'!$B$24:$B$96,"Regular")+COUNTIFS('2016'!$L$24:$L$96,A11&amp;" / "&amp;B11,'2016'!$B$24:$B$96,"Regular")+COUNTIFS('2017'!$L$24:$L$106,A11&amp;" / "&amp;B11,'2017'!$B$24:$B$106,"Regular")+COUNTIFS('2018'!$L$24:$L$106,A11&amp;" / "&amp;B11,'2018'!$B$24:$B$106,"Regular")+COUNTIFS('2019'!$L$24:$L$106,A11&amp;" / "&amp;B11,'2019'!$B$24:$B$106,"Regular")+COUNTIFS('2020'!$L$24:$L$106,A11&amp;" / "&amp;B11,'2020'!$B$24:$B$106,"Regular")+COUNTIFS('2021'!$L$24:$L$112,A11&amp;" / "&amp;B11,'2021'!$B$24:$B$112,"Regular")+COUNTIFS('2022'!$L$24:$L$112,A11&amp;" / "&amp;B11,'2022'!$B$24:$B$112,"Regular")+COUNTIFS('2023'!$L$24:$L$112,A11&amp;" / "&amp;B11,'2023'!$B$24:$B$112,"Regular")+COUNTIFS('2024'!$L$24:$L$112,A11&amp;" / "&amp;B11,'2024'!$B$24:$B$112,"Regular")+COUNTIFS('2025'!$L$24:$L$112,A11&amp;" / "&amp;B11,'2025'!$B$24:$B$112,"Regular")</x:f>
        <x:v>3</x:v>
      </x:c>
      <x:c r="K11" s="2" t="n">
        <x:f>COUNTIFS('2015'!$L$24:$L$96,A11&amp;" / "&amp;B11,'2015'!$B$24:$B$96,"Playoffs")+COUNTIFS('2016'!$L$24:$L$96,A11&amp;" / "&amp;B11,'2016'!$B$24:$B$96,"Playoffs")+COUNTIFS('2017'!$L$24:$L$106,A11&amp;" / "&amp;B11,'2017'!$B$24:$B$106,"Playoffs")+COUNTIFS('2018'!$L$24:$L$106,A11&amp;" / "&amp;B11,'2018'!$B$24:$B$106,"Playoffs")+COUNTIFS('2019'!$L$24:$L$106,A11&amp;" / "&amp;B11,'2019'!$B$24:$B$106,"Playoffs")+COUNTIFS('2020'!$L$24:$L$106,A11&amp;" / "&amp;B11,'2020'!$B$24:$B$106,"Playoffs")+COUNTIFS('2021'!$L$24:$L$112,A11&amp;" / "&amp;B11,'2021'!$B$24:$B$112,"Playoffs")+COUNTIFS('2022'!$L$24:$L$112,A11&amp;" / "&amp;B11,'2022'!$B$24:$B$112,"Playoffs")+COUNTIFS('2023'!$L$24:$L$112,A11&amp;" / "&amp;B11,'2023'!$B$24:$B$112,"Playoffs")+COUNTIFS('2024'!$L$24:$L$112,A11&amp;" / "&amp;B11,'2024'!$B$24:$B$112,"Playoffs")+COUNTIFS('2025'!$L$24:$L$112,A11&amp;" / "&amp;B11,'2025'!$B$24:$B$112,"Playoffs")</x:f>
        <x:v>1</x:v>
      </x:c>
      <x:c r="L11" s="2" t="n">
        <x:f>COUNTIFS('2015'!$L$24:$L$96,A11&amp;" / "&amp;B11,'2015'!$B$24:$B$96,"Unconfirmed")+COUNTIFS('2016'!$L$24:$L$96,A11&amp;" / "&amp;B11,'2016'!$B$24:$B$96,"Unconfirmed")+COUNTIFS('2017'!$L$24:$L$106,A11&amp;" / "&amp;B11,'2017'!$B$24:$B$106,"Unconfirmed")+COUNTIFS('2018'!$L$24:$L$106,A11&amp;" / "&amp;B11,'2018'!$B$24:$B$106,"Unconfirmed")+COUNTIFS('2019'!$L$24:$L$106,A11&amp;" / "&amp;B11,'2019'!$B$24:$B$106,"Unconfirmed")+COUNTIFS('2020'!$L$24:$L$106,A11&amp;" / "&amp;B11,'2020'!$B$24:$B$106,"Unconfirmed")+COUNTIFS('2021'!$L$24:$L$112,A11&amp;" / "&amp;B11,'2021'!$B$24:$B$112,"Unconfirmed")+COUNTIFS('2022'!$L$24:$L$112,A11&amp;" / "&amp;B11,'2022'!$B$24:$B$112,"Unconfirmed")+COUNTIFS('2023'!$L$24:$L$112,A11&amp;" / "&amp;B11,'2023'!$B$24:$B$112,"Unconfirmed")+COUNTIFS('2024'!$L$24:$L$112,A11&amp;" / "&amp;B11,'2024'!$B$24:$B$112,"Unconfirmed")+COUNTIFS('2025'!$L$24:$L$112,A11&amp;" / "&amp;B11,'2025'!$B$24:$B$112,"Unconfirmed")</x:f>
        <x:v>0</x:v>
      </x:c>
    </x:row>
    <x:row r="12" ht="22" customHeight="1">
      <x:c r="A12" s="2" t="str">
        <x:v>Andrew</x:v>
      </x:c>
      <x:c r="B12" s="2" t="str">
        <x:v>Josh</x:v>
      </x:c>
      <x:c r="C12" s="2" t="n">
        <x:f>COUNTIFS('2015'!$L$24:$L$96,A12&amp;" / "&amp;B12)+COUNTIFS('2016'!$L$24:$L$96,A12&amp;" / "&amp;B12)+COUNTIFS('2017'!$L$24:$L$106,A12&amp;" / "&amp;B12)+COUNTIFS('2018'!$L$24:$L$106,A12&amp;" / "&amp;B12)+COUNTIFS('2019'!$L$24:$L$106,A12&amp;" / "&amp;B12)+COUNTIFS('2020'!$L$24:$L$106,A12&amp;" / "&amp;B12)+COUNTIFS('2021'!$L$24:$L$112,A12&amp;" / "&amp;B12)+COUNTIFS('2022'!$L$24:$L$112,A12&amp;" / "&amp;B12)+COUNTIFS('2023'!$L$24:$L$112,A12&amp;" / "&amp;B12)+COUNTIFS('2024'!$L$24:$L$112,A12&amp;" / "&amp;B12)+COUNTIFS('2025'!$L$24:$L$112,A12&amp;" / "&amp;B12)</x:f>
        <x:v>3</x:v>
      </x:c>
      <x:c r="D12" s="2" t="n">
        <x:f>COUNTIFS('2015'!$L$24:$L$96,A12&amp;" / "&amp;B12,'2015'!$I$24:$I$96,A12)+COUNTIFS('2016'!$L$24:$L$96,A12&amp;" / "&amp;B12,'2016'!$I$24:$I$96,A12)+COUNTIFS('2017'!$L$24:$L$106,A12&amp;" / "&amp;B12,'2017'!$I$24:$I$106,A12)+COUNTIFS('2018'!$L$24:$L$106,A12&amp;" / "&amp;B12,'2018'!$I$24:$I$106,A12)+COUNTIFS('2019'!$L$24:$L$106,A12&amp;" / "&amp;B12,'2019'!$I$24:$I$106,A12)+COUNTIFS('2020'!$L$24:$L$106,A12&amp;" / "&amp;B12,'2020'!$I$24:$I$106,A12)+COUNTIFS('2021'!$L$24:$L$112,A12&amp;" / "&amp;B12,'2021'!$I$24:$I$112,A12)+COUNTIFS('2022'!$L$24:$L$112,A12&amp;" / "&amp;B12,'2022'!$I$24:$I$112,A12)+COUNTIFS('2023'!$L$24:$L$112,A12&amp;" / "&amp;B12,'2023'!$I$24:$I$112,A12)+COUNTIFS('2024'!$L$24:$L$112,A12&amp;" / "&amp;B12,'2024'!$I$24:$I$112,A12)+COUNTIFS('2025'!$L$24:$L$112,A12&amp;" / "&amp;B12,'2025'!$I$24:$I$112,A12)</x:f>
        <x:v>2</x:v>
      </x:c>
      <x:c r="E12" s="2" t="n">
        <x:f>COUNTIFS('2015'!$L$24:$L$96,A12&amp;" / "&amp;B12,'2015'!$I$24:$I$96,B12)+COUNTIFS('2016'!$L$24:$L$96,A12&amp;" / "&amp;B12,'2016'!$I$24:$I$96,B12)+COUNTIFS('2017'!$L$24:$L$106,A12&amp;" / "&amp;B12,'2017'!$I$24:$I$106,B12)+COUNTIFS('2018'!$L$24:$L$106,A12&amp;" / "&amp;B12,'2018'!$I$24:$I$106,B12)+COUNTIFS('2019'!$L$24:$L$106,A12&amp;" / "&amp;B12,'2019'!$I$24:$I$106,B12)+COUNTIFS('2020'!$L$24:$L$106,A12&amp;" / "&amp;B12,'2020'!$I$24:$I$106,B12)+COUNTIFS('2021'!$L$24:$L$112,A12&amp;" / "&amp;B12,'2021'!$I$24:$I$112,B12)+COUNTIFS('2022'!$L$24:$L$112,A12&amp;" / "&amp;B12,'2022'!$I$24:$I$112,B12)+COUNTIFS('2023'!$L$24:$L$112,A12&amp;" / "&amp;B12,'2023'!$I$24:$I$112,B12)+COUNTIFS('2024'!$L$24:$L$112,A12&amp;" / "&amp;B12,'2024'!$I$24:$I$112,B12)+COUNTIFS('2025'!$L$24:$L$112,A12&amp;" / "&amp;B12,'2025'!$I$24:$I$112,B12)</x:f>
        <x:v>1</x:v>
      </x:c>
      <x:c r="F12" s="2" t="n">
        <x:f>COUNTIFS('2015'!$L$24:$L$96,A12&amp;" / "&amp;B12,'2015'!$K$24:$K$96,1)+COUNTIFS('2016'!$L$24:$L$96,A12&amp;" / "&amp;B12,'2016'!$K$24:$K$96,1)+COUNTIFS('2017'!$L$24:$L$106,A12&amp;" / "&amp;B12,'2017'!$K$24:$K$106,1)+COUNTIFS('2018'!$L$24:$L$106,A12&amp;" / "&amp;B12,'2018'!$K$24:$K$106,1)+COUNTIFS('2019'!$L$24:$L$106,A12&amp;" / "&amp;B12,'2019'!$K$24:$K$106,1)+COUNTIFS('2020'!$L$24:$L$106,A12&amp;" / "&amp;B12,'2020'!$K$24:$K$106,1)+COUNTIFS('2021'!$L$24:$L$112,A12&amp;" / "&amp;B12,'2021'!$K$24:$K$112,1)+COUNTIFS('2022'!$L$24:$L$112,A12&amp;" / "&amp;B12,'2022'!$K$24:$K$112,1)+COUNTIFS('2023'!$L$24:$L$112,A12&amp;" / "&amp;B12,'2023'!$K$24:$K$112,1)+COUNTIFS('2024'!$L$24:$L$112,A12&amp;" / "&amp;B12,'2024'!$K$24:$K$112,1)+COUNTIFS('2025'!$L$24:$L$112,A12&amp;" / "&amp;B12,'2025'!$K$24:$K$112,1)</x:f>
        <x:v>0</x:v>
      </x:c>
      <x:c r="G12" s="25" t="n">
        <x:f>SUMIFS('2015'!$E$24:$E$96,'2015'!$L$24:$L$96,A12&amp;" / "&amp;B12,'2015'!$C$24:$C$96,A12)+SUMIFS('2015'!$H$24:$H$96,'2015'!$L$24:$L$96,A12&amp;" / "&amp;B12,'2015'!$F$24:$F$96,A12)+SUMIFS('2016'!$E$24:$E$96,'2016'!$L$24:$L$96,A12&amp;" / "&amp;B12,'2016'!$C$24:$C$96,A12)+SUMIFS('2016'!$H$24:$H$96,'2016'!$L$24:$L$96,A12&amp;" / "&amp;B12,'2016'!$F$24:$F$96,A12)+SUMIFS('2017'!$E$24:$E$106,'2017'!$L$24:$L$106,A12&amp;" / "&amp;B12,'2017'!$C$24:$C$106,A12)+SUMIFS('2017'!$H$24:$H$106,'2017'!$L$24:$L$106,A12&amp;" / "&amp;B12,'2017'!$F$24:$F$106,A12)+SUMIFS('2018'!$E$24:$E$106,'2018'!$L$24:$L$106,A12&amp;" / "&amp;B12,'2018'!$C$24:$C$106,A12)+SUMIFS('2018'!$H$24:$H$106,'2018'!$L$24:$L$106,A12&amp;" / "&amp;B12,'2018'!$F$24:$F$106,A12)+SUMIFS('2019'!$E$24:$E$106,'2019'!$L$24:$L$106,A12&amp;" / "&amp;B12,'2019'!$C$24:$C$106,A12)+SUMIFS('2019'!$H$24:$H$106,'2019'!$L$24:$L$106,A12&amp;" / "&amp;B12,'2019'!$F$24:$F$106,A12)+SUMIFS('2020'!$E$24:$E$106,'2020'!$L$24:$L$106,A12&amp;" / "&amp;B12,'2020'!$C$24:$C$106,A12)+SUMIFS('2020'!$H$24:$H$106,'2020'!$L$24:$L$106,A12&amp;" / "&amp;B12,'2020'!$F$24:$F$106,A12)+SUMIFS('2021'!$E$24:$E$112,'2021'!$L$24:$L$112,A12&amp;" / "&amp;B12,'2021'!$C$24:$C$112,A12)+SUMIFS('2021'!$H$24:$H$112,'2021'!$L$24:$L$112,A12&amp;" / "&amp;B12,'2021'!$F$24:$F$112,A12)+SUMIFS('2022'!$E$24:$E$112,'2022'!$L$24:$L$112,A12&amp;" / "&amp;B12,'2022'!$C$24:$C$112,A12)+SUMIFS('2022'!$H$24:$H$112,'2022'!$L$24:$L$112,A12&amp;" / "&amp;B12,'2022'!$F$24:$F$112,A12)+SUMIFS('2023'!$E$24:$E$112,'2023'!$L$24:$L$112,A12&amp;" / "&amp;B12,'2023'!$C$24:$C$112,A12)+SUMIFS('2023'!$H$24:$H$112,'2023'!$L$24:$L$112,A12&amp;" / "&amp;B12,'2023'!$F$24:$F$112,A12)+SUMIFS('2024'!$E$24:$E$112,'2024'!$L$24:$L$112,A12&amp;" / "&amp;B12,'2024'!$C$24:$C$112,A12)+SUMIFS('2024'!$H$24:$H$112,'2024'!$L$24:$L$112,A12&amp;" / "&amp;B12,'2024'!$F$24:$F$112,A12)+SUMIFS('2025'!$E$24:$E$112,'2025'!$L$24:$L$112,A12&amp;" / "&amp;B12,'2025'!$C$24:$C$112,A12)+SUMIFS('2025'!$H$24:$H$112,'2025'!$L$24:$L$112,A12&amp;" / "&amp;B12,'2025'!$F$24:$F$112,A12)</x:f>
        <x:v>328</x:v>
      </x:c>
      <x:c r="H12" s="25" t="n">
        <x:f>SUMIFS('2015'!$E$24:$E$96,'2015'!$L$24:$L$96,A12&amp;" / "&amp;B12,'2015'!$C$24:$C$96,B12)+SUMIFS('2015'!$H$24:$H$96,'2015'!$L$24:$L$96,A12&amp;" / "&amp;B12,'2015'!$F$24:$F$96,B12)+SUMIFS('2016'!$E$24:$E$96,'2016'!$L$24:$L$96,A12&amp;" / "&amp;B12,'2016'!$C$24:$C$96,B12)+SUMIFS('2016'!$H$24:$H$96,'2016'!$L$24:$L$96,A12&amp;" / "&amp;B12,'2016'!$F$24:$F$96,B12)+SUMIFS('2017'!$E$24:$E$106,'2017'!$L$24:$L$106,A12&amp;" / "&amp;B12,'2017'!$C$24:$C$106,B12)+SUMIFS('2017'!$H$24:$H$106,'2017'!$L$24:$L$106,A12&amp;" / "&amp;B12,'2017'!$F$24:$F$106,B12)+SUMIFS('2018'!$E$24:$E$106,'2018'!$L$24:$L$106,A12&amp;" / "&amp;B12,'2018'!$C$24:$C$106,B12)+SUMIFS('2018'!$H$24:$H$106,'2018'!$L$24:$L$106,A12&amp;" / "&amp;B12,'2018'!$F$24:$F$106,B12)+SUMIFS('2019'!$E$24:$E$106,'2019'!$L$24:$L$106,A12&amp;" / "&amp;B12,'2019'!$C$24:$C$106,B12)+SUMIFS('2019'!$H$24:$H$106,'2019'!$L$24:$L$106,A12&amp;" / "&amp;B12,'2019'!$F$24:$F$106,B12)+SUMIFS('2020'!$E$24:$E$106,'2020'!$L$24:$L$106,A12&amp;" / "&amp;B12,'2020'!$C$24:$C$106,B12)+SUMIFS('2020'!$H$24:$H$106,'2020'!$L$24:$L$106,A12&amp;" / "&amp;B12,'2020'!$F$24:$F$106,B12)+SUMIFS('2021'!$E$24:$E$112,'2021'!$L$24:$L$112,A12&amp;" / "&amp;B12,'2021'!$C$24:$C$112,B12)+SUMIFS('2021'!$H$24:$H$112,'2021'!$L$24:$L$112,A12&amp;" / "&amp;B12,'2021'!$F$24:$F$112,B12)+SUMIFS('2022'!$E$24:$E$112,'2022'!$L$24:$L$112,A12&amp;" / "&amp;B12,'2022'!$C$24:$C$112,B12)+SUMIFS('2022'!$H$24:$H$112,'2022'!$L$24:$L$112,A12&amp;" / "&amp;B12,'2022'!$F$24:$F$112,B12)+SUMIFS('2023'!$E$24:$E$112,'2023'!$L$24:$L$112,A12&amp;" / "&amp;B12,'2023'!$C$24:$C$112,B12)+SUMIFS('2023'!$H$24:$H$112,'2023'!$L$24:$L$112,A12&amp;" / "&amp;B12,'2023'!$F$24:$F$112,B12)+SUMIFS('2024'!$E$24:$E$112,'2024'!$L$24:$L$112,A12&amp;" / "&amp;B12,'2024'!$C$24:$C$112,B12)+SUMIFS('2024'!$H$24:$H$112,'2024'!$L$24:$L$112,A12&amp;" / "&amp;B12,'2024'!$F$24:$F$112,B12)+SUMIFS('2025'!$E$24:$E$112,'2025'!$L$24:$L$112,A12&amp;" / "&amp;B12,'2025'!$C$24:$C$112,B12)+SUMIFS('2025'!$H$24:$H$112,'2025'!$L$24:$L$112,A12&amp;" / "&amp;B12,'2025'!$F$24:$F$112,B12)</x:f>
        <x:v>299</x:v>
      </x:c>
      <x:c r="I12" s="11" t="n">
        <x:f>IF(C12=0,0,(D12+0.5*F12)/C12)</x:f>
        <x:v>0.6666666666666666</x:v>
      </x:c>
      <x:c r="J12" s="2" t="n">
        <x:f>COUNTIFS('2015'!$L$24:$L$96,A12&amp;" / "&amp;B12,'2015'!$B$24:$B$96,"Regular")+COUNTIFS('2016'!$L$24:$L$96,A12&amp;" / "&amp;B12,'2016'!$B$24:$B$96,"Regular")+COUNTIFS('2017'!$L$24:$L$106,A12&amp;" / "&amp;B12,'2017'!$B$24:$B$106,"Regular")+COUNTIFS('2018'!$L$24:$L$106,A12&amp;" / "&amp;B12,'2018'!$B$24:$B$106,"Regular")+COUNTIFS('2019'!$L$24:$L$106,A12&amp;" / "&amp;B12,'2019'!$B$24:$B$106,"Regular")+COUNTIFS('2020'!$L$24:$L$106,A12&amp;" / "&amp;B12,'2020'!$B$24:$B$106,"Regular")+COUNTIFS('2021'!$L$24:$L$112,A12&amp;" / "&amp;B12,'2021'!$B$24:$B$112,"Regular")+COUNTIFS('2022'!$L$24:$L$112,A12&amp;" / "&amp;B12,'2022'!$B$24:$B$112,"Regular")+COUNTIFS('2023'!$L$24:$L$112,A12&amp;" / "&amp;B12,'2023'!$B$24:$B$112,"Regular")+COUNTIFS('2024'!$L$24:$L$112,A12&amp;" / "&amp;B12,'2024'!$B$24:$B$112,"Regular")+COUNTIFS('2025'!$L$24:$L$112,A12&amp;" / "&amp;B12,'2025'!$B$24:$B$112,"Regular")</x:f>
        <x:v>3</x:v>
      </x:c>
      <x:c r="K12" s="2" t="n">
        <x:f>COUNTIFS('2015'!$L$24:$L$96,A12&amp;" / "&amp;B12,'2015'!$B$24:$B$96,"Playoffs")+COUNTIFS('2016'!$L$24:$L$96,A12&amp;" / "&amp;B12,'2016'!$B$24:$B$96,"Playoffs")+COUNTIFS('2017'!$L$24:$L$106,A12&amp;" / "&amp;B12,'2017'!$B$24:$B$106,"Playoffs")+COUNTIFS('2018'!$L$24:$L$106,A12&amp;" / "&amp;B12,'2018'!$B$24:$B$106,"Playoffs")+COUNTIFS('2019'!$L$24:$L$106,A12&amp;" / "&amp;B12,'2019'!$B$24:$B$106,"Playoffs")+COUNTIFS('2020'!$L$24:$L$106,A12&amp;" / "&amp;B12,'2020'!$B$24:$B$106,"Playoffs")+COUNTIFS('2021'!$L$24:$L$112,A12&amp;" / "&amp;B12,'2021'!$B$24:$B$112,"Playoffs")+COUNTIFS('2022'!$L$24:$L$112,A12&amp;" / "&amp;B12,'2022'!$B$24:$B$112,"Playoffs")+COUNTIFS('2023'!$L$24:$L$112,A12&amp;" / "&amp;B12,'2023'!$B$24:$B$112,"Playoffs")+COUNTIFS('2024'!$L$24:$L$112,A12&amp;" / "&amp;B12,'2024'!$B$24:$B$112,"Playoffs")+COUNTIFS('2025'!$L$24:$L$112,A12&amp;" / "&amp;B12,'2025'!$B$24:$B$112,"Playoffs")</x:f>
        <x:v>0</x:v>
      </x:c>
      <x:c r="L12" s="2" t="n">
        <x:f>COUNTIFS('2015'!$L$24:$L$96,A12&amp;" / "&amp;B12,'2015'!$B$24:$B$96,"Unconfirmed")+COUNTIFS('2016'!$L$24:$L$96,A12&amp;" / "&amp;B12,'2016'!$B$24:$B$96,"Unconfirmed")+COUNTIFS('2017'!$L$24:$L$106,A12&amp;" / "&amp;B12,'2017'!$B$24:$B$106,"Unconfirmed")+COUNTIFS('2018'!$L$24:$L$106,A12&amp;" / "&amp;B12,'2018'!$B$24:$B$106,"Unconfirmed")+COUNTIFS('2019'!$L$24:$L$106,A12&amp;" / "&amp;B12,'2019'!$B$24:$B$106,"Unconfirmed")+COUNTIFS('2020'!$L$24:$L$106,A12&amp;" / "&amp;B12,'2020'!$B$24:$B$106,"Unconfirmed")+COUNTIFS('2021'!$L$24:$L$112,A12&amp;" / "&amp;B12,'2021'!$B$24:$B$112,"Unconfirmed")+COUNTIFS('2022'!$L$24:$L$112,A12&amp;" / "&amp;B12,'2022'!$B$24:$B$112,"Unconfirmed")+COUNTIFS('2023'!$L$24:$L$112,A12&amp;" / "&amp;B12,'2023'!$B$24:$B$112,"Unconfirmed")+COUNTIFS('2024'!$L$24:$L$112,A12&amp;" / "&amp;B12,'2024'!$B$24:$B$112,"Unconfirmed")+COUNTIFS('2025'!$L$24:$L$112,A12&amp;" / "&amp;B12,'2025'!$B$24:$B$112,"Unconfirmed")</x:f>
        <x:v>0</x:v>
      </x:c>
    </x:row>
    <x:row r="13" ht="22" customHeight="1">
      <x:c r="A13" s="2" t="str">
        <x:v>Andrew</x:v>
      </x:c>
      <x:c r="B13" s="2" t="str">
        <x:v>Mark</x:v>
      </x:c>
      <x:c r="C13" s="2" t="n">
        <x:f>COUNTIFS('2015'!$L$24:$L$96,A13&amp;" / "&amp;B13)+COUNTIFS('2016'!$L$24:$L$96,A13&amp;" / "&amp;B13)+COUNTIFS('2017'!$L$24:$L$106,A13&amp;" / "&amp;B13)+COUNTIFS('2018'!$L$24:$L$106,A13&amp;" / "&amp;B13)+COUNTIFS('2019'!$L$24:$L$106,A13&amp;" / "&amp;B13)+COUNTIFS('2020'!$L$24:$L$106,A13&amp;" / "&amp;B13)+COUNTIFS('2021'!$L$24:$L$112,A13&amp;" / "&amp;B13)+COUNTIFS('2022'!$L$24:$L$112,A13&amp;" / "&amp;B13)+COUNTIFS('2023'!$L$24:$L$112,A13&amp;" / "&amp;B13)+COUNTIFS('2024'!$L$24:$L$112,A13&amp;" / "&amp;B13)+COUNTIFS('2025'!$L$24:$L$112,A13&amp;" / "&amp;B13)</x:f>
        <x:v>3</x:v>
      </x:c>
      <x:c r="D13" s="2" t="n">
        <x:f>COUNTIFS('2015'!$L$24:$L$96,A13&amp;" / "&amp;B13,'2015'!$I$24:$I$96,A13)+COUNTIFS('2016'!$L$24:$L$96,A13&amp;" / "&amp;B13,'2016'!$I$24:$I$96,A13)+COUNTIFS('2017'!$L$24:$L$106,A13&amp;" / "&amp;B13,'2017'!$I$24:$I$106,A13)+COUNTIFS('2018'!$L$24:$L$106,A13&amp;" / "&amp;B13,'2018'!$I$24:$I$106,A13)+COUNTIFS('2019'!$L$24:$L$106,A13&amp;" / "&amp;B13,'2019'!$I$24:$I$106,A13)+COUNTIFS('2020'!$L$24:$L$106,A13&amp;" / "&amp;B13,'2020'!$I$24:$I$106,A13)+COUNTIFS('2021'!$L$24:$L$112,A13&amp;" / "&amp;B13,'2021'!$I$24:$I$112,A13)+COUNTIFS('2022'!$L$24:$L$112,A13&amp;" / "&amp;B13,'2022'!$I$24:$I$112,A13)+COUNTIFS('2023'!$L$24:$L$112,A13&amp;" / "&amp;B13,'2023'!$I$24:$I$112,A13)+COUNTIFS('2024'!$L$24:$L$112,A13&amp;" / "&amp;B13,'2024'!$I$24:$I$112,A13)+COUNTIFS('2025'!$L$24:$L$112,A13&amp;" / "&amp;B13,'2025'!$I$24:$I$112,A13)</x:f>
        <x:v>1</x:v>
      </x:c>
      <x:c r="E13" s="2" t="n">
        <x:f>COUNTIFS('2015'!$L$24:$L$96,A13&amp;" / "&amp;B13,'2015'!$I$24:$I$96,B13)+COUNTIFS('2016'!$L$24:$L$96,A13&amp;" / "&amp;B13,'2016'!$I$24:$I$96,B13)+COUNTIFS('2017'!$L$24:$L$106,A13&amp;" / "&amp;B13,'2017'!$I$24:$I$106,B13)+COUNTIFS('2018'!$L$24:$L$106,A13&amp;" / "&amp;B13,'2018'!$I$24:$I$106,B13)+COUNTIFS('2019'!$L$24:$L$106,A13&amp;" / "&amp;B13,'2019'!$I$24:$I$106,B13)+COUNTIFS('2020'!$L$24:$L$106,A13&amp;" / "&amp;B13,'2020'!$I$24:$I$106,B13)+COUNTIFS('2021'!$L$24:$L$112,A13&amp;" / "&amp;B13,'2021'!$I$24:$I$112,B13)+COUNTIFS('2022'!$L$24:$L$112,A13&amp;" / "&amp;B13,'2022'!$I$24:$I$112,B13)+COUNTIFS('2023'!$L$24:$L$112,A13&amp;" / "&amp;B13,'2023'!$I$24:$I$112,B13)+COUNTIFS('2024'!$L$24:$L$112,A13&amp;" / "&amp;B13,'2024'!$I$24:$I$112,B13)+COUNTIFS('2025'!$L$24:$L$112,A13&amp;" / "&amp;B13,'2025'!$I$24:$I$112,B13)</x:f>
        <x:v>2</x:v>
      </x:c>
      <x:c r="F13" s="2" t="n">
        <x:f>COUNTIFS('2015'!$L$24:$L$96,A13&amp;" / "&amp;B13,'2015'!$K$24:$K$96,1)+COUNTIFS('2016'!$L$24:$L$96,A13&amp;" / "&amp;B13,'2016'!$K$24:$K$96,1)+COUNTIFS('2017'!$L$24:$L$106,A13&amp;" / "&amp;B13,'2017'!$K$24:$K$106,1)+COUNTIFS('2018'!$L$24:$L$106,A13&amp;" / "&amp;B13,'2018'!$K$24:$K$106,1)+COUNTIFS('2019'!$L$24:$L$106,A13&amp;" / "&amp;B13,'2019'!$K$24:$K$106,1)+COUNTIFS('2020'!$L$24:$L$106,A13&amp;" / "&amp;B13,'2020'!$K$24:$K$106,1)+COUNTIFS('2021'!$L$24:$L$112,A13&amp;" / "&amp;B13,'2021'!$K$24:$K$112,1)+COUNTIFS('2022'!$L$24:$L$112,A13&amp;" / "&amp;B13,'2022'!$K$24:$K$112,1)+COUNTIFS('2023'!$L$24:$L$112,A13&amp;" / "&amp;B13,'2023'!$K$24:$K$112,1)+COUNTIFS('2024'!$L$24:$L$112,A13&amp;" / "&amp;B13,'2024'!$K$24:$K$112,1)+COUNTIFS('2025'!$L$24:$L$112,A13&amp;" / "&amp;B13,'2025'!$K$24:$K$112,1)</x:f>
        <x:v>0</x:v>
      </x:c>
      <x:c r="G13" s="25" t="n">
        <x:f>SUMIFS('2015'!$E$24:$E$96,'2015'!$L$24:$L$96,A13&amp;" / "&amp;B13,'2015'!$C$24:$C$96,A13)+SUMIFS('2015'!$H$24:$H$96,'2015'!$L$24:$L$96,A13&amp;" / "&amp;B13,'2015'!$F$24:$F$96,A13)+SUMIFS('2016'!$E$24:$E$96,'2016'!$L$24:$L$96,A13&amp;" / "&amp;B13,'2016'!$C$24:$C$96,A13)+SUMIFS('2016'!$H$24:$H$96,'2016'!$L$24:$L$96,A13&amp;" / "&amp;B13,'2016'!$F$24:$F$96,A13)+SUMIFS('2017'!$E$24:$E$106,'2017'!$L$24:$L$106,A13&amp;" / "&amp;B13,'2017'!$C$24:$C$106,A13)+SUMIFS('2017'!$H$24:$H$106,'2017'!$L$24:$L$106,A13&amp;" / "&amp;B13,'2017'!$F$24:$F$106,A13)+SUMIFS('2018'!$E$24:$E$106,'2018'!$L$24:$L$106,A13&amp;" / "&amp;B13,'2018'!$C$24:$C$106,A13)+SUMIFS('2018'!$H$24:$H$106,'2018'!$L$24:$L$106,A13&amp;" / "&amp;B13,'2018'!$F$24:$F$106,A13)+SUMIFS('2019'!$E$24:$E$106,'2019'!$L$24:$L$106,A13&amp;" / "&amp;B13,'2019'!$C$24:$C$106,A13)+SUMIFS('2019'!$H$24:$H$106,'2019'!$L$24:$L$106,A13&amp;" / "&amp;B13,'2019'!$F$24:$F$106,A13)+SUMIFS('2020'!$E$24:$E$106,'2020'!$L$24:$L$106,A13&amp;" / "&amp;B13,'2020'!$C$24:$C$106,A13)+SUMIFS('2020'!$H$24:$H$106,'2020'!$L$24:$L$106,A13&amp;" / "&amp;B13,'2020'!$F$24:$F$106,A13)+SUMIFS('2021'!$E$24:$E$112,'2021'!$L$24:$L$112,A13&amp;" / "&amp;B13,'2021'!$C$24:$C$112,A13)+SUMIFS('2021'!$H$24:$H$112,'2021'!$L$24:$L$112,A13&amp;" / "&amp;B13,'2021'!$F$24:$F$112,A13)+SUMIFS('2022'!$E$24:$E$112,'2022'!$L$24:$L$112,A13&amp;" / "&amp;B13,'2022'!$C$24:$C$112,A13)+SUMIFS('2022'!$H$24:$H$112,'2022'!$L$24:$L$112,A13&amp;" / "&amp;B13,'2022'!$F$24:$F$112,A13)+SUMIFS('2023'!$E$24:$E$112,'2023'!$L$24:$L$112,A13&amp;" / "&amp;B13,'2023'!$C$24:$C$112,A13)+SUMIFS('2023'!$H$24:$H$112,'2023'!$L$24:$L$112,A13&amp;" / "&amp;B13,'2023'!$F$24:$F$112,A13)+SUMIFS('2024'!$E$24:$E$112,'2024'!$L$24:$L$112,A13&amp;" / "&amp;B13,'2024'!$C$24:$C$112,A13)+SUMIFS('2024'!$H$24:$H$112,'2024'!$L$24:$L$112,A13&amp;" / "&amp;B13,'2024'!$F$24:$F$112,A13)+SUMIFS('2025'!$E$24:$E$112,'2025'!$L$24:$L$112,A13&amp;" / "&amp;B13,'2025'!$C$24:$C$112,A13)+SUMIFS('2025'!$H$24:$H$112,'2025'!$L$24:$L$112,A13&amp;" / "&amp;B13,'2025'!$F$24:$F$112,A13)</x:f>
        <x:v>331</x:v>
      </x:c>
      <x:c r="H13" s="25" t="n">
        <x:f>SUMIFS('2015'!$E$24:$E$96,'2015'!$L$24:$L$96,A13&amp;" / "&amp;B13,'2015'!$C$24:$C$96,B13)+SUMIFS('2015'!$H$24:$H$96,'2015'!$L$24:$L$96,A13&amp;" / "&amp;B13,'2015'!$F$24:$F$96,B13)+SUMIFS('2016'!$E$24:$E$96,'2016'!$L$24:$L$96,A13&amp;" / "&amp;B13,'2016'!$C$24:$C$96,B13)+SUMIFS('2016'!$H$24:$H$96,'2016'!$L$24:$L$96,A13&amp;" / "&amp;B13,'2016'!$F$24:$F$96,B13)+SUMIFS('2017'!$E$24:$E$106,'2017'!$L$24:$L$106,A13&amp;" / "&amp;B13,'2017'!$C$24:$C$106,B13)+SUMIFS('2017'!$H$24:$H$106,'2017'!$L$24:$L$106,A13&amp;" / "&amp;B13,'2017'!$F$24:$F$106,B13)+SUMIFS('2018'!$E$24:$E$106,'2018'!$L$24:$L$106,A13&amp;" / "&amp;B13,'2018'!$C$24:$C$106,B13)+SUMIFS('2018'!$H$24:$H$106,'2018'!$L$24:$L$106,A13&amp;" / "&amp;B13,'2018'!$F$24:$F$106,B13)+SUMIFS('2019'!$E$24:$E$106,'2019'!$L$24:$L$106,A13&amp;" / "&amp;B13,'2019'!$C$24:$C$106,B13)+SUMIFS('2019'!$H$24:$H$106,'2019'!$L$24:$L$106,A13&amp;" / "&amp;B13,'2019'!$F$24:$F$106,B13)+SUMIFS('2020'!$E$24:$E$106,'2020'!$L$24:$L$106,A13&amp;" / "&amp;B13,'2020'!$C$24:$C$106,B13)+SUMIFS('2020'!$H$24:$H$106,'2020'!$L$24:$L$106,A13&amp;" / "&amp;B13,'2020'!$F$24:$F$106,B13)+SUMIFS('2021'!$E$24:$E$112,'2021'!$L$24:$L$112,A13&amp;" / "&amp;B13,'2021'!$C$24:$C$112,B13)+SUMIFS('2021'!$H$24:$H$112,'2021'!$L$24:$L$112,A13&amp;" / "&amp;B13,'2021'!$F$24:$F$112,B13)+SUMIFS('2022'!$E$24:$E$112,'2022'!$L$24:$L$112,A13&amp;" / "&amp;B13,'2022'!$C$24:$C$112,B13)+SUMIFS('2022'!$H$24:$H$112,'2022'!$L$24:$L$112,A13&amp;" / "&amp;B13,'2022'!$F$24:$F$112,B13)+SUMIFS('2023'!$E$24:$E$112,'2023'!$L$24:$L$112,A13&amp;" / "&amp;B13,'2023'!$C$24:$C$112,B13)+SUMIFS('2023'!$H$24:$H$112,'2023'!$L$24:$L$112,A13&amp;" / "&amp;B13,'2023'!$F$24:$F$112,B13)+SUMIFS('2024'!$E$24:$E$112,'2024'!$L$24:$L$112,A13&amp;" / "&amp;B13,'2024'!$C$24:$C$112,B13)+SUMIFS('2024'!$H$24:$H$112,'2024'!$L$24:$L$112,A13&amp;" / "&amp;B13,'2024'!$F$24:$F$112,B13)+SUMIFS('2025'!$E$24:$E$112,'2025'!$L$24:$L$112,A13&amp;" / "&amp;B13,'2025'!$C$24:$C$112,B13)+SUMIFS('2025'!$H$24:$H$112,'2025'!$L$24:$L$112,A13&amp;" / "&amp;B13,'2025'!$F$24:$F$112,B13)</x:f>
        <x:v>313</x:v>
      </x:c>
      <x:c r="I13" s="11" t="n">
        <x:f>IF(C13=0,0,(D13+0.5*F13)/C13)</x:f>
        <x:v>0.3333333333333333</x:v>
      </x:c>
      <x:c r="J13" s="2" t="n">
        <x:f>COUNTIFS('2015'!$L$24:$L$96,A13&amp;" / "&amp;B13,'2015'!$B$24:$B$96,"Regular")+COUNTIFS('2016'!$L$24:$L$96,A13&amp;" / "&amp;B13,'2016'!$B$24:$B$96,"Regular")+COUNTIFS('2017'!$L$24:$L$106,A13&amp;" / "&amp;B13,'2017'!$B$24:$B$106,"Regular")+COUNTIFS('2018'!$L$24:$L$106,A13&amp;" / "&amp;B13,'2018'!$B$24:$B$106,"Regular")+COUNTIFS('2019'!$L$24:$L$106,A13&amp;" / "&amp;B13,'2019'!$B$24:$B$106,"Regular")+COUNTIFS('2020'!$L$24:$L$106,A13&amp;" / "&amp;B13,'2020'!$B$24:$B$106,"Regular")+COUNTIFS('2021'!$L$24:$L$112,A13&amp;" / "&amp;B13,'2021'!$B$24:$B$112,"Regular")+COUNTIFS('2022'!$L$24:$L$112,A13&amp;" / "&amp;B13,'2022'!$B$24:$B$112,"Regular")+COUNTIFS('2023'!$L$24:$L$112,A13&amp;" / "&amp;B13,'2023'!$B$24:$B$112,"Regular")+COUNTIFS('2024'!$L$24:$L$112,A13&amp;" / "&amp;B13,'2024'!$B$24:$B$112,"Regular")+COUNTIFS('2025'!$L$24:$L$112,A13&amp;" / "&amp;B13,'2025'!$B$24:$B$112,"Regular")</x:f>
        <x:v>3</x:v>
      </x:c>
      <x:c r="K13" s="2" t="n">
        <x:f>COUNTIFS('2015'!$L$24:$L$96,A13&amp;" / "&amp;B13,'2015'!$B$24:$B$96,"Playoffs")+COUNTIFS('2016'!$L$24:$L$96,A13&amp;" / "&amp;B13,'2016'!$B$24:$B$96,"Playoffs")+COUNTIFS('2017'!$L$24:$L$106,A13&amp;" / "&amp;B13,'2017'!$B$24:$B$106,"Playoffs")+COUNTIFS('2018'!$L$24:$L$106,A13&amp;" / "&amp;B13,'2018'!$B$24:$B$106,"Playoffs")+COUNTIFS('2019'!$L$24:$L$106,A13&amp;" / "&amp;B13,'2019'!$B$24:$B$106,"Playoffs")+COUNTIFS('2020'!$L$24:$L$106,A13&amp;" / "&amp;B13,'2020'!$B$24:$B$106,"Playoffs")+COUNTIFS('2021'!$L$24:$L$112,A13&amp;" / "&amp;B13,'2021'!$B$24:$B$112,"Playoffs")+COUNTIFS('2022'!$L$24:$L$112,A13&amp;" / "&amp;B13,'2022'!$B$24:$B$112,"Playoffs")+COUNTIFS('2023'!$L$24:$L$112,A13&amp;" / "&amp;B13,'2023'!$B$24:$B$112,"Playoffs")+COUNTIFS('2024'!$L$24:$L$112,A13&amp;" / "&amp;B13,'2024'!$B$24:$B$112,"Playoffs")+COUNTIFS('2025'!$L$24:$L$112,A13&amp;" / "&amp;B13,'2025'!$B$24:$B$112,"Playoffs")</x:f>
        <x:v>0</x:v>
      </x:c>
      <x:c r="L13" s="2" t="n">
        <x:f>COUNTIFS('2015'!$L$24:$L$96,A13&amp;" / "&amp;B13,'2015'!$B$24:$B$96,"Unconfirmed")+COUNTIFS('2016'!$L$24:$L$96,A13&amp;" / "&amp;B13,'2016'!$B$24:$B$96,"Unconfirmed")+COUNTIFS('2017'!$L$24:$L$106,A13&amp;" / "&amp;B13,'2017'!$B$24:$B$106,"Unconfirmed")+COUNTIFS('2018'!$L$24:$L$106,A13&amp;" / "&amp;B13,'2018'!$B$24:$B$106,"Unconfirmed")+COUNTIFS('2019'!$L$24:$L$106,A13&amp;" / "&amp;B13,'2019'!$B$24:$B$106,"Unconfirmed")+COUNTIFS('2020'!$L$24:$L$106,A13&amp;" / "&amp;B13,'2020'!$B$24:$B$106,"Unconfirmed")+COUNTIFS('2021'!$L$24:$L$112,A13&amp;" / "&amp;B13,'2021'!$B$24:$B$112,"Unconfirmed")+COUNTIFS('2022'!$L$24:$L$112,A13&amp;" / "&amp;B13,'2022'!$B$24:$B$112,"Unconfirmed")+COUNTIFS('2023'!$L$24:$L$112,A13&amp;" / "&amp;B13,'2023'!$B$24:$B$112,"Unconfirmed")+COUNTIFS('2024'!$L$24:$L$112,A13&amp;" / "&amp;B13,'2024'!$B$24:$B$112,"Unconfirmed")+COUNTIFS('2025'!$L$24:$L$112,A13&amp;" / "&amp;B13,'2025'!$B$24:$B$112,"Unconfirmed")</x:f>
        <x:v>0</x:v>
      </x:c>
    </x:row>
    <x:row r="14" ht="22" customHeight="1">
      <x:c r="A14" s="2" t="str">
        <x:v>Andrew</x:v>
      </x:c>
      <x:c r="B14" s="2" t="str">
        <x:v>Matt</x:v>
      </x:c>
      <x:c r="C14" s="2" t="n">
        <x:f>COUNTIFS('2015'!$L$24:$L$96,A14&amp;" / "&amp;B14)+COUNTIFS('2016'!$L$24:$L$96,A14&amp;" / "&amp;B14)+COUNTIFS('2017'!$L$24:$L$106,A14&amp;" / "&amp;B14)+COUNTIFS('2018'!$L$24:$L$106,A14&amp;" / "&amp;B14)+COUNTIFS('2019'!$L$24:$L$106,A14&amp;" / "&amp;B14)+COUNTIFS('2020'!$L$24:$L$106,A14&amp;" / "&amp;B14)+COUNTIFS('2021'!$L$24:$L$112,A14&amp;" / "&amp;B14)+COUNTIFS('2022'!$L$24:$L$112,A14&amp;" / "&amp;B14)+COUNTIFS('2023'!$L$24:$L$112,A14&amp;" / "&amp;B14)+COUNTIFS('2024'!$L$24:$L$112,A14&amp;" / "&amp;B14)+COUNTIFS('2025'!$L$24:$L$112,A14&amp;" / "&amp;B14)</x:f>
        <x:v>2</x:v>
      </x:c>
      <x:c r="D14" s="2" t="n">
        <x:f>COUNTIFS('2015'!$L$24:$L$96,A14&amp;" / "&amp;B14,'2015'!$I$24:$I$96,A14)+COUNTIFS('2016'!$L$24:$L$96,A14&amp;" / "&amp;B14,'2016'!$I$24:$I$96,A14)+COUNTIFS('2017'!$L$24:$L$106,A14&amp;" / "&amp;B14,'2017'!$I$24:$I$106,A14)+COUNTIFS('2018'!$L$24:$L$106,A14&amp;" / "&amp;B14,'2018'!$I$24:$I$106,A14)+COUNTIFS('2019'!$L$24:$L$106,A14&amp;" / "&amp;B14,'2019'!$I$24:$I$106,A14)+COUNTIFS('2020'!$L$24:$L$106,A14&amp;" / "&amp;B14,'2020'!$I$24:$I$106,A14)+COUNTIFS('2021'!$L$24:$L$112,A14&amp;" / "&amp;B14,'2021'!$I$24:$I$112,A14)+COUNTIFS('2022'!$L$24:$L$112,A14&amp;" / "&amp;B14,'2022'!$I$24:$I$112,A14)+COUNTIFS('2023'!$L$24:$L$112,A14&amp;" / "&amp;B14,'2023'!$I$24:$I$112,A14)+COUNTIFS('2024'!$L$24:$L$112,A14&amp;" / "&amp;B14,'2024'!$I$24:$I$112,A14)+COUNTIFS('2025'!$L$24:$L$112,A14&amp;" / "&amp;B14,'2025'!$I$24:$I$112,A14)</x:f>
        <x:v>0</x:v>
      </x:c>
      <x:c r="E14" s="2" t="n">
        <x:f>COUNTIFS('2015'!$L$24:$L$96,A14&amp;" / "&amp;B14,'2015'!$I$24:$I$96,B14)+COUNTIFS('2016'!$L$24:$L$96,A14&amp;" / "&amp;B14,'2016'!$I$24:$I$96,B14)+COUNTIFS('2017'!$L$24:$L$106,A14&amp;" / "&amp;B14,'2017'!$I$24:$I$106,B14)+COUNTIFS('2018'!$L$24:$L$106,A14&amp;" / "&amp;B14,'2018'!$I$24:$I$106,B14)+COUNTIFS('2019'!$L$24:$L$106,A14&amp;" / "&amp;B14,'2019'!$I$24:$I$106,B14)+COUNTIFS('2020'!$L$24:$L$106,A14&amp;" / "&amp;B14,'2020'!$I$24:$I$106,B14)+COUNTIFS('2021'!$L$24:$L$112,A14&amp;" / "&amp;B14,'2021'!$I$24:$I$112,B14)+COUNTIFS('2022'!$L$24:$L$112,A14&amp;" / "&amp;B14,'2022'!$I$24:$I$112,B14)+COUNTIFS('2023'!$L$24:$L$112,A14&amp;" / "&amp;B14,'2023'!$I$24:$I$112,B14)+COUNTIFS('2024'!$L$24:$L$112,A14&amp;" / "&amp;B14,'2024'!$I$24:$I$112,B14)+COUNTIFS('2025'!$L$24:$L$112,A14&amp;" / "&amp;B14,'2025'!$I$24:$I$112,B14)</x:f>
        <x:v>2</x:v>
      </x:c>
      <x:c r="F14" s="2" t="n">
        <x:f>COUNTIFS('2015'!$L$24:$L$96,A14&amp;" / "&amp;B14,'2015'!$K$24:$K$96,1)+COUNTIFS('2016'!$L$24:$L$96,A14&amp;" / "&amp;B14,'2016'!$K$24:$K$96,1)+COUNTIFS('2017'!$L$24:$L$106,A14&amp;" / "&amp;B14,'2017'!$K$24:$K$106,1)+COUNTIFS('2018'!$L$24:$L$106,A14&amp;" / "&amp;B14,'2018'!$K$24:$K$106,1)+COUNTIFS('2019'!$L$24:$L$106,A14&amp;" / "&amp;B14,'2019'!$K$24:$K$106,1)+COUNTIFS('2020'!$L$24:$L$106,A14&amp;" / "&amp;B14,'2020'!$K$24:$K$106,1)+COUNTIFS('2021'!$L$24:$L$112,A14&amp;" / "&amp;B14,'2021'!$K$24:$K$112,1)+COUNTIFS('2022'!$L$24:$L$112,A14&amp;" / "&amp;B14,'2022'!$K$24:$K$112,1)+COUNTIFS('2023'!$L$24:$L$112,A14&amp;" / "&amp;B14,'2023'!$K$24:$K$112,1)+COUNTIFS('2024'!$L$24:$L$112,A14&amp;" / "&amp;B14,'2024'!$K$24:$K$112,1)+COUNTIFS('2025'!$L$24:$L$112,A14&amp;" / "&amp;B14,'2025'!$K$24:$K$112,1)</x:f>
        <x:v>0</x:v>
      </x:c>
      <x:c r="G14" s="25" t="n">
        <x:f>SUMIFS('2015'!$E$24:$E$96,'2015'!$L$24:$L$96,A14&amp;" / "&amp;B14,'2015'!$C$24:$C$96,A14)+SUMIFS('2015'!$H$24:$H$96,'2015'!$L$24:$L$96,A14&amp;" / "&amp;B14,'2015'!$F$24:$F$96,A14)+SUMIFS('2016'!$E$24:$E$96,'2016'!$L$24:$L$96,A14&amp;" / "&amp;B14,'2016'!$C$24:$C$96,A14)+SUMIFS('2016'!$H$24:$H$96,'2016'!$L$24:$L$96,A14&amp;" / "&amp;B14,'2016'!$F$24:$F$96,A14)+SUMIFS('2017'!$E$24:$E$106,'2017'!$L$24:$L$106,A14&amp;" / "&amp;B14,'2017'!$C$24:$C$106,A14)+SUMIFS('2017'!$H$24:$H$106,'2017'!$L$24:$L$106,A14&amp;" / "&amp;B14,'2017'!$F$24:$F$106,A14)+SUMIFS('2018'!$E$24:$E$106,'2018'!$L$24:$L$106,A14&amp;" / "&amp;B14,'2018'!$C$24:$C$106,A14)+SUMIFS('2018'!$H$24:$H$106,'2018'!$L$24:$L$106,A14&amp;" / "&amp;B14,'2018'!$F$24:$F$106,A14)+SUMIFS('2019'!$E$24:$E$106,'2019'!$L$24:$L$106,A14&amp;" / "&amp;B14,'2019'!$C$24:$C$106,A14)+SUMIFS('2019'!$H$24:$H$106,'2019'!$L$24:$L$106,A14&amp;" / "&amp;B14,'2019'!$F$24:$F$106,A14)+SUMIFS('2020'!$E$24:$E$106,'2020'!$L$24:$L$106,A14&amp;" / "&amp;B14,'2020'!$C$24:$C$106,A14)+SUMIFS('2020'!$H$24:$H$106,'2020'!$L$24:$L$106,A14&amp;" / "&amp;B14,'2020'!$F$24:$F$106,A14)+SUMIFS('2021'!$E$24:$E$112,'2021'!$L$24:$L$112,A14&amp;" / "&amp;B14,'2021'!$C$24:$C$112,A14)+SUMIFS('2021'!$H$24:$H$112,'2021'!$L$24:$L$112,A14&amp;" / "&amp;B14,'2021'!$F$24:$F$112,A14)+SUMIFS('2022'!$E$24:$E$112,'2022'!$L$24:$L$112,A14&amp;" / "&amp;B14,'2022'!$C$24:$C$112,A14)+SUMIFS('2022'!$H$24:$H$112,'2022'!$L$24:$L$112,A14&amp;" / "&amp;B14,'2022'!$F$24:$F$112,A14)+SUMIFS('2023'!$E$24:$E$112,'2023'!$L$24:$L$112,A14&amp;" / "&amp;B14,'2023'!$C$24:$C$112,A14)+SUMIFS('2023'!$H$24:$H$112,'2023'!$L$24:$L$112,A14&amp;" / "&amp;B14,'2023'!$F$24:$F$112,A14)+SUMIFS('2024'!$E$24:$E$112,'2024'!$L$24:$L$112,A14&amp;" / "&amp;B14,'2024'!$C$24:$C$112,A14)+SUMIFS('2024'!$H$24:$H$112,'2024'!$L$24:$L$112,A14&amp;" / "&amp;B14,'2024'!$F$24:$F$112,A14)+SUMIFS('2025'!$E$24:$E$112,'2025'!$L$24:$L$112,A14&amp;" / "&amp;B14,'2025'!$C$24:$C$112,A14)+SUMIFS('2025'!$H$24:$H$112,'2025'!$L$24:$L$112,A14&amp;" / "&amp;B14,'2025'!$F$24:$F$112,A14)</x:f>
        <x:v>233</x:v>
      </x:c>
      <x:c r="H14" s="25" t="n">
        <x:f>SUMIFS('2015'!$E$24:$E$96,'2015'!$L$24:$L$96,A14&amp;" / "&amp;B14,'2015'!$C$24:$C$96,B14)+SUMIFS('2015'!$H$24:$H$96,'2015'!$L$24:$L$96,A14&amp;" / "&amp;B14,'2015'!$F$24:$F$96,B14)+SUMIFS('2016'!$E$24:$E$96,'2016'!$L$24:$L$96,A14&amp;" / "&amp;B14,'2016'!$C$24:$C$96,B14)+SUMIFS('2016'!$H$24:$H$96,'2016'!$L$24:$L$96,A14&amp;" / "&amp;B14,'2016'!$F$24:$F$96,B14)+SUMIFS('2017'!$E$24:$E$106,'2017'!$L$24:$L$106,A14&amp;" / "&amp;B14,'2017'!$C$24:$C$106,B14)+SUMIFS('2017'!$H$24:$H$106,'2017'!$L$24:$L$106,A14&amp;" / "&amp;B14,'2017'!$F$24:$F$106,B14)+SUMIFS('2018'!$E$24:$E$106,'2018'!$L$24:$L$106,A14&amp;" / "&amp;B14,'2018'!$C$24:$C$106,B14)+SUMIFS('2018'!$H$24:$H$106,'2018'!$L$24:$L$106,A14&amp;" / "&amp;B14,'2018'!$F$24:$F$106,B14)+SUMIFS('2019'!$E$24:$E$106,'2019'!$L$24:$L$106,A14&amp;" / "&amp;B14,'2019'!$C$24:$C$106,B14)+SUMIFS('2019'!$H$24:$H$106,'2019'!$L$24:$L$106,A14&amp;" / "&amp;B14,'2019'!$F$24:$F$106,B14)+SUMIFS('2020'!$E$24:$E$106,'2020'!$L$24:$L$106,A14&amp;" / "&amp;B14,'2020'!$C$24:$C$106,B14)+SUMIFS('2020'!$H$24:$H$106,'2020'!$L$24:$L$106,A14&amp;" / "&amp;B14,'2020'!$F$24:$F$106,B14)+SUMIFS('2021'!$E$24:$E$112,'2021'!$L$24:$L$112,A14&amp;" / "&amp;B14,'2021'!$C$24:$C$112,B14)+SUMIFS('2021'!$H$24:$H$112,'2021'!$L$24:$L$112,A14&amp;" / "&amp;B14,'2021'!$F$24:$F$112,B14)+SUMIFS('2022'!$E$24:$E$112,'2022'!$L$24:$L$112,A14&amp;" / "&amp;B14,'2022'!$C$24:$C$112,B14)+SUMIFS('2022'!$H$24:$H$112,'2022'!$L$24:$L$112,A14&amp;" / "&amp;B14,'2022'!$F$24:$F$112,B14)+SUMIFS('2023'!$E$24:$E$112,'2023'!$L$24:$L$112,A14&amp;" / "&amp;B14,'2023'!$C$24:$C$112,B14)+SUMIFS('2023'!$H$24:$H$112,'2023'!$L$24:$L$112,A14&amp;" / "&amp;B14,'2023'!$F$24:$F$112,B14)+SUMIFS('2024'!$E$24:$E$112,'2024'!$L$24:$L$112,A14&amp;" / "&amp;B14,'2024'!$C$24:$C$112,B14)+SUMIFS('2024'!$H$24:$H$112,'2024'!$L$24:$L$112,A14&amp;" / "&amp;B14,'2024'!$F$24:$F$112,B14)+SUMIFS('2025'!$E$24:$E$112,'2025'!$L$24:$L$112,A14&amp;" / "&amp;B14,'2025'!$C$24:$C$112,B14)+SUMIFS('2025'!$H$24:$H$112,'2025'!$L$24:$L$112,A14&amp;" / "&amp;B14,'2025'!$F$24:$F$112,B14)</x:f>
        <x:v>245</x:v>
      </x:c>
      <x:c r="I14" s="11" t="n">
        <x:f>IF(C14=0,0,(D14+0.5*F14)/C14)</x:f>
        <x:v>0</x:v>
      </x:c>
      <x:c r="J14" s="2" t="n">
        <x:f>COUNTIFS('2015'!$L$24:$L$96,A14&amp;" / "&amp;B14,'2015'!$B$24:$B$96,"Regular")+COUNTIFS('2016'!$L$24:$L$96,A14&amp;" / "&amp;B14,'2016'!$B$24:$B$96,"Regular")+COUNTIFS('2017'!$L$24:$L$106,A14&amp;" / "&amp;B14,'2017'!$B$24:$B$106,"Regular")+COUNTIFS('2018'!$L$24:$L$106,A14&amp;" / "&amp;B14,'2018'!$B$24:$B$106,"Regular")+COUNTIFS('2019'!$L$24:$L$106,A14&amp;" / "&amp;B14,'2019'!$B$24:$B$106,"Regular")+COUNTIFS('2020'!$L$24:$L$106,A14&amp;" / "&amp;B14,'2020'!$B$24:$B$106,"Regular")+COUNTIFS('2021'!$L$24:$L$112,A14&amp;" / "&amp;B14,'2021'!$B$24:$B$112,"Regular")+COUNTIFS('2022'!$L$24:$L$112,A14&amp;" / "&amp;B14,'2022'!$B$24:$B$112,"Regular")+COUNTIFS('2023'!$L$24:$L$112,A14&amp;" / "&amp;B14,'2023'!$B$24:$B$112,"Regular")+COUNTIFS('2024'!$L$24:$L$112,A14&amp;" / "&amp;B14,'2024'!$B$24:$B$112,"Regular")+COUNTIFS('2025'!$L$24:$L$112,A14&amp;" / "&amp;B14,'2025'!$B$24:$B$112,"Regular")</x:f>
        <x:v>2</x:v>
      </x:c>
      <x:c r="K14" s="2" t="n">
        <x:f>COUNTIFS('2015'!$L$24:$L$96,A14&amp;" / "&amp;B14,'2015'!$B$24:$B$96,"Playoffs")+COUNTIFS('2016'!$L$24:$L$96,A14&amp;" / "&amp;B14,'2016'!$B$24:$B$96,"Playoffs")+COUNTIFS('2017'!$L$24:$L$106,A14&amp;" / "&amp;B14,'2017'!$B$24:$B$106,"Playoffs")+COUNTIFS('2018'!$L$24:$L$106,A14&amp;" / "&amp;B14,'2018'!$B$24:$B$106,"Playoffs")+COUNTIFS('2019'!$L$24:$L$106,A14&amp;" / "&amp;B14,'2019'!$B$24:$B$106,"Playoffs")+COUNTIFS('2020'!$L$24:$L$106,A14&amp;" / "&amp;B14,'2020'!$B$24:$B$106,"Playoffs")+COUNTIFS('2021'!$L$24:$L$112,A14&amp;" / "&amp;B14,'2021'!$B$24:$B$112,"Playoffs")+COUNTIFS('2022'!$L$24:$L$112,A14&amp;" / "&amp;B14,'2022'!$B$24:$B$112,"Playoffs")+COUNTIFS('2023'!$L$24:$L$112,A14&amp;" / "&amp;B14,'2023'!$B$24:$B$112,"Playoffs")+COUNTIFS('2024'!$L$24:$L$112,A14&amp;" / "&amp;B14,'2024'!$B$24:$B$112,"Playoffs")+COUNTIFS('2025'!$L$24:$L$112,A14&amp;" / "&amp;B14,'2025'!$B$24:$B$112,"Playoffs")</x:f>
        <x:v>0</x:v>
      </x:c>
      <x:c r="L14" s="2" t="n">
        <x:f>COUNTIFS('2015'!$L$24:$L$96,A14&amp;" / "&amp;B14,'2015'!$B$24:$B$96,"Unconfirmed")+COUNTIFS('2016'!$L$24:$L$96,A14&amp;" / "&amp;B14,'2016'!$B$24:$B$96,"Unconfirmed")+COUNTIFS('2017'!$L$24:$L$106,A14&amp;" / "&amp;B14,'2017'!$B$24:$B$106,"Unconfirmed")+COUNTIFS('2018'!$L$24:$L$106,A14&amp;" / "&amp;B14,'2018'!$B$24:$B$106,"Unconfirmed")+COUNTIFS('2019'!$L$24:$L$106,A14&amp;" / "&amp;B14,'2019'!$B$24:$B$106,"Unconfirmed")+COUNTIFS('2020'!$L$24:$L$106,A14&amp;" / "&amp;B14,'2020'!$B$24:$B$106,"Unconfirmed")+COUNTIFS('2021'!$L$24:$L$112,A14&amp;" / "&amp;B14,'2021'!$B$24:$B$112,"Unconfirmed")+COUNTIFS('2022'!$L$24:$L$112,A14&amp;" / "&amp;B14,'2022'!$B$24:$B$112,"Unconfirmed")+COUNTIFS('2023'!$L$24:$L$112,A14&amp;" / "&amp;B14,'2023'!$B$24:$B$112,"Unconfirmed")+COUNTIFS('2024'!$L$24:$L$112,A14&amp;" / "&amp;B14,'2024'!$B$24:$B$112,"Unconfirmed")+COUNTIFS('2025'!$L$24:$L$112,A14&amp;" / "&amp;B14,'2025'!$B$24:$B$112,"Unconfirmed")</x:f>
        <x:v>0</x:v>
      </x:c>
    </x:row>
    <x:row r="15" ht="22" customHeight="1">
      <x:c r="A15" s="2" t="str">
        <x:v>Andrew</x:v>
      </x:c>
      <x:c r="B15" s="2" t="str">
        <x:v>Mike</x:v>
      </x:c>
      <x:c r="C15" s="2" t="n">
        <x:f>COUNTIFS('2015'!$L$24:$L$96,A15&amp;" / "&amp;B15)+COUNTIFS('2016'!$L$24:$L$96,A15&amp;" / "&amp;B15)+COUNTIFS('2017'!$L$24:$L$106,A15&amp;" / "&amp;B15)+COUNTIFS('2018'!$L$24:$L$106,A15&amp;" / "&amp;B15)+COUNTIFS('2019'!$L$24:$L$106,A15&amp;" / "&amp;B15)+COUNTIFS('2020'!$L$24:$L$106,A15&amp;" / "&amp;B15)+COUNTIFS('2021'!$L$24:$L$112,A15&amp;" / "&amp;B15)+COUNTIFS('2022'!$L$24:$L$112,A15&amp;" / "&amp;B15)+COUNTIFS('2023'!$L$24:$L$112,A15&amp;" / "&amp;B15)+COUNTIFS('2024'!$L$24:$L$112,A15&amp;" / "&amp;B15)+COUNTIFS('2025'!$L$24:$L$112,A15&amp;" / "&amp;B15)</x:f>
        <x:v>1</x:v>
      </x:c>
      <x:c r="D15" s="2" t="n">
        <x:f>COUNTIFS('2015'!$L$24:$L$96,A15&amp;" / "&amp;B15,'2015'!$I$24:$I$96,A15)+COUNTIFS('2016'!$L$24:$L$96,A15&amp;" / "&amp;B15,'2016'!$I$24:$I$96,A15)+COUNTIFS('2017'!$L$24:$L$106,A15&amp;" / "&amp;B15,'2017'!$I$24:$I$106,A15)+COUNTIFS('2018'!$L$24:$L$106,A15&amp;" / "&amp;B15,'2018'!$I$24:$I$106,A15)+COUNTIFS('2019'!$L$24:$L$106,A15&amp;" / "&amp;B15,'2019'!$I$24:$I$106,A15)+COUNTIFS('2020'!$L$24:$L$106,A15&amp;" / "&amp;B15,'2020'!$I$24:$I$106,A15)+COUNTIFS('2021'!$L$24:$L$112,A15&amp;" / "&amp;B15,'2021'!$I$24:$I$112,A15)+COUNTIFS('2022'!$L$24:$L$112,A15&amp;" / "&amp;B15,'2022'!$I$24:$I$112,A15)+COUNTIFS('2023'!$L$24:$L$112,A15&amp;" / "&amp;B15,'2023'!$I$24:$I$112,A15)+COUNTIFS('2024'!$L$24:$L$112,A15&amp;" / "&amp;B15,'2024'!$I$24:$I$112,A15)+COUNTIFS('2025'!$L$24:$L$112,A15&amp;" / "&amp;B15,'2025'!$I$24:$I$112,A15)</x:f>
        <x:v>1</x:v>
      </x:c>
      <x:c r="E15" s="2" t="n">
        <x:f>COUNTIFS('2015'!$L$24:$L$96,A15&amp;" / "&amp;B15,'2015'!$I$24:$I$96,B15)+COUNTIFS('2016'!$L$24:$L$96,A15&amp;" / "&amp;B15,'2016'!$I$24:$I$96,B15)+COUNTIFS('2017'!$L$24:$L$106,A15&amp;" / "&amp;B15,'2017'!$I$24:$I$106,B15)+COUNTIFS('2018'!$L$24:$L$106,A15&amp;" / "&amp;B15,'2018'!$I$24:$I$106,B15)+COUNTIFS('2019'!$L$24:$L$106,A15&amp;" / "&amp;B15,'2019'!$I$24:$I$106,B15)+COUNTIFS('2020'!$L$24:$L$106,A15&amp;" / "&amp;B15,'2020'!$I$24:$I$106,B15)+COUNTIFS('2021'!$L$24:$L$112,A15&amp;" / "&amp;B15,'2021'!$I$24:$I$112,B15)+COUNTIFS('2022'!$L$24:$L$112,A15&amp;" / "&amp;B15,'2022'!$I$24:$I$112,B15)+COUNTIFS('2023'!$L$24:$L$112,A15&amp;" / "&amp;B15,'2023'!$I$24:$I$112,B15)+COUNTIFS('2024'!$L$24:$L$112,A15&amp;" / "&amp;B15,'2024'!$I$24:$I$112,B15)+COUNTIFS('2025'!$L$24:$L$112,A15&amp;" / "&amp;B15,'2025'!$I$24:$I$112,B15)</x:f>
        <x:v>0</x:v>
      </x:c>
      <x:c r="F15" s="2" t="n">
        <x:f>COUNTIFS('2015'!$L$24:$L$96,A15&amp;" / "&amp;B15,'2015'!$K$24:$K$96,1)+COUNTIFS('2016'!$L$24:$L$96,A15&amp;" / "&amp;B15,'2016'!$K$24:$K$96,1)+COUNTIFS('2017'!$L$24:$L$106,A15&amp;" / "&amp;B15,'2017'!$K$24:$K$106,1)+COUNTIFS('2018'!$L$24:$L$106,A15&amp;" / "&amp;B15,'2018'!$K$24:$K$106,1)+COUNTIFS('2019'!$L$24:$L$106,A15&amp;" / "&amp;B15,'2019'!$K$24:$K$106,1)+COUNTIFS('2020'!$L$24:$L$106,A15&amp;" / "&amp;B15,'2020'!$K$24:$K$106,1)+COUNTIFS('2021'!$L$24:$L$112,A15&amp;" / "&amp;B15,'2021'!$K$24:$K$112,1)+COUNTIFS('2022'!$L$24:$L$112,A15&amp;" / "&amp;B15,'2022'!$K$24:$K$112,1)+COUNTIFS('2023'!$L$24:$L$112,A15&amp;" / "&amp;B15,'2023'!$K$24:$K$112,1)+COUNTIFS('2024'!$L$24:$L$112,A15&amp;" / "&amp;B15,'2024'!$K$24:$K$112,1)+COUNTIFS('2025'!$L$24:$L$112,A15&amp;" / "&amp;B15,'2025'!$K$24:$K$112,1)</x:f>
        <x:v>0</x:v>
      </x:c>
      <x:c r="G15" s="25" t="n">
        <x:f>SUMIFS('2015'!$E$24:$E$96,'2015'!$L$24:$L$96,A15&amp;" / "&amp;B15,'2015'!$C$24:$C$96,A15)+SUMIFS('2015'!$H$24:$H$96,'2015'!$L$24:$L$96,A15&amp;" / "&amp;B15,'2015'!$F$24:$F$96,A15)+SUMIFS('2016'!$E$24:$E$96,'2016'!$L$24:$L$96,A15&amp;" / "&amp;B15,'2016'!$C$24:$C$96,A15)+SUMIFS('2016'!$H$24:$H$96,'2016'!$L$24:$L$96,A15&amp;" / "&amp;B15,'2016'!$F$24:$F$96,A15)+SUMIFS('2017'!$E$24:$E$106,'2017'!$L$24:$L$106,A15&amp;" / "&amp;B15,'2017'!$C$24:$C$106,A15)+SUMIFS('2017'!$H$24:$H$106,'2017'!$L$24:$L$106,A15&amp;" / "&amp;B15,'2017'!$F$24:$F$106,A15)+SUMIFS('2018'!$E$24:$E$106,'2018'!$L$24:$L$106,A15&amp;" / "&amp;B15,'2018'!$C$24:$C$106,A15)+SUMIFS('2018'!$H$24:$H$106,'2018'!$L$24:$L$106,A15&amp;" / "&amp;B15,'2018'!$F$24:$F$106,A15)+SUMIFS('2019'!$E$24:$E$106,'2019'!$L$24:$L$106,A15&amp;" / "&amp;B15,'2019'!$C$24:$C$106,A15)+SUMIFS('2019'!$H$24:$H$106,'2019'!$L$24:$L$106,A15&amp;" / "&amp;B15,'2019'!$F$24:$F$106,A15)+SUMIFS('2020'!$E$24:$E$106,'2020'!$L$24:$L$106,A15&amp;" / "&amp;B15,'2020'!$C$24:$C$106,A15)+SUMIFS('2020'!$H$24:$H$106,'2020'!$L$24:$L$106,A15&amp;" / "&amp;B15,'2020'!$F$24:$F$106,A15)+SUMIFS('2021'!$E$24:$E$112,'2021'!$L$24:$L$112,A15&amp;" / "&amp;B15,'2021'!$C$24:$C$112,A15)+SUMIFS('2021'!$H$24:$H$112,'2021'!$L$24:$L$112,A15&amp;" / "&amp;B15,'2021'!$F$24:$F$112,A15)+SUMIFS('2022'!$E$24:$E$112,'2022'!$L$24:$L$112,A15&amp;" / "&amp;B15,'2022'!$C$24:$C$112,A15)+SUMIFS('2022'!$H$24:$H$112,'2022'!$L$24:$L$112,A15&amp;" / "&amp;B15,'2022'!$F$24:$F$112,A15)+SUMIFS('2023'!$E$24:$E$112,'2023'!$L$24:$L$112,A15&amp;" / "&amp;B15,'2023'!$C$24:$C$112,A15)+SUMIFS('2023'!$H$24:$H$112,'2023'!$L$24:$L$112,A15&amp;" / "&amp;B15,'2023'!$F$24:$F$112,A15)+SUMIFS('2024'!$E$24:$E$112,'2024'!$L$24:$L$112,A15&amp;" / "&amp;B15,'2024'!$C$24:$C$112,A15)+SUMIFS('2024'!$H$24:$H$112,'2024'!$L$24:$L$112,A15&amp;" / "&amp;B15,'2024'!$F$24:$F$112,A15)+SUMIFS('2025'!$E$24:$E$112,'2025'!$L$24:$L$112,A15&amp;" / "&amp;B15,'2025'!$C$24:$C$112,A15)+SUMIFS('2025'!$H$24:$H$112,'2025'!$L$24:$L$112,A15&amp;" / "&amp;B15,'2025'!$F$24:$F$112,A15)</x:f>
        <x:v>156</x:v>
      </x:c>
      <x:c r="H15" s="25" t="n">
        <x:f>SUMIFS('2015'!$E$24:$E$96,'2015'!$L$24:$L$96,A15&amp;" / "&amp;B15,'2015'!$C$24:$C$96,B15)+SUMIFS('2015'!$H$24:$H$96,'2015'!$L$24:$L$96,A15&amp;" / "&amp;B15,'2015'!$F$24:$F$96,B15)+SUMIFS('2016'!$E$24:$E$96,'2016'!$L$24:$L$96,A15&amp;" / "&amp;B15,'2016'!$C$24:$C$96,B15)+SUMIFS('2016'!$H$24:$H$96,'2016'!$L$24:$L$96,A15&amp;" / "&amp;B15,'2016'!$F$24:$F$96,B15)+SUMIFS('2017'!$E$24:$E$106,'2017'!$L$24:$L$106,A15&amp;" / "&amp;B15,'2017'!$C$24:$C$106,B15)+SUMIFS('2017'!$H$24:$H$106,'2017'!$L$24:$L$106,A15&amp;" / "&amp;B15,'2017'!$F$24:$F$106,B15)+SUMIFS('2018'!$E$24:$E$106,'2018'!$L$24:$L$106,A15&amp;" / "&amp;B15,'2018'!$C$24:$C$106,B15)+SUMIFS('2018'!$H$24:$H$106,'2018'!$L$24:$L$106,A15&amp;" / "&amp;B15,'2018'!$F$24:$F$106,B15)+SUMIFS('2019'!$E$24:$E$106,'2019'!$L$24:$L$106,A15&amp;" / "&amp;B15,'2019'!$C$24:$C$106,B15)+SUMIFS('2019'!$H$24:$H$106,'2019'!$L$24:$L$106,A15&amp;" / "&amp;B15,'2019'!$F$24:$F$106,B15)+SUMIFS('2020'!$E$24:$E$106,'2020'!$L$24:$L$106,A15&amp;" / "&amp;B15,'2020'!$C$24:$C$106,B15)+SUMIFS('2020'!$H$24:$H$106,'2020'!$L$24:$L$106,A15&amp;" / "&amp;B15,'2020'!$F$24:$F$106,B15)+SUMIFS('2021'!$E$24:$E$112,'2021'!$L$24:$L$112,A15&amp;" / "&amp;B15,'2021'!$C$24:$C$112,B15)+SUMIFS('2021'!$H$24:$H$112,'2021'!$L$24:$L$112,A15&amp;" / "&amp;B15,'2021'!$F$24:$F$112,B15)+SUMIFS('2022'!$E$24:$E$112,'2022'!$L$24:$L$112,A15&amp;" / "&amp;B15,'2022'!$C$24:$C$112,B15)+SUMIFS('2022'!$H$24:$H$112,'2022'!$L$24:$L$112,A15&amp;" / "&amp;B15,'2022'!$F$24:$F$112,B15)+SUMIFS('2023'!$E$24:$E$112,'2023'!$L$24:$L$112,A15&amp;" / "&amp;B15,'2023'!$C$24:$C$112,B15)+SUMIFS('2023'!$H$24:$H$112,'2023'!$L$24:$L$112,A15&amp;" / "&amp;B15,'2023'!$F$24:$F$112,B15)+SUMIFS('2024'!$E$24:$E$112,'2024'!$L$24:$L$112,A15&amp;" / "&amp;B15,'2024'!$C$24:$C$112,B15)+SUMIFS('2024'!$H$24:$H$112,'2024'!$L$24:$L$112,A15&amp;" / "&amp;B15,'2024'!$F$24:$F$112,B15)+SUMIFS('2025'!$E$24:$E$112,'2025'!$L$24:$L$112,A15&amp;" / "&amp;B15,'2025'!$C$24:$C$112,B15)+SUMIFS('2025'!$H$24:$H$112,'2025'!$L$24:$L$112,A15&amp;" / "&amp;B15,'2025'!$F$24:$F$112,B15)</x:f>
        <x:v>102</x:v>
      </x:c>
      <x:c r="I15" s="11" t="n">
        <x:f>IF(C15=0,0,(D15+0.5*F15)/C15)</x:f>
        <x:v>1</x:v>
      </x:c>
      <x:c r="J15" s="2" t="n">
        <x:f>COUNTIFS('2015'!$L$24:$L$96,A15&amp;" / "&amp;B15,'2015'!$B$24:$B$96,"Regular")+COUNTIFS('2016'!$L$24:$L$96,A15&amp;" / "&amp;B15,'2016'!$B$24:$B$96,"Regular")+COUNTIFS('2017'!$L$24:$L$106,A15&amp;" / "&amp;B15,'2017'!$B$24:$B$106,"Regular")+COUNTIFS('2018'!$L$24:$L$106,A15&amp;" / "&amp;B15,'2018'!$B$24:$B$106,"Regular")+COUNTIFS('2019'!$L$24:$L$106,A15&amp;" / "&amp;B15,'2019'!$B$24:$B$106,"Regular")+COUNTIFS('2020'!$L$24:$L$106,A15&amp;" / "&amp;B15,'2020'!$B$24:$B$106,"Regular")+COUNTIFS('2021'!$L$24:$L$112,A15&amp;" / "&amp;B15,'2021'!$B$24:$B$112,"Regular")+COUNTIFS('2022'!$L$24:$L$112,A15&amp;" / "&amp;B15,'2022'!$B$24:$B$112,"Regular")+COUNTIFS('2023'!$L$24:$L$112,A15&amp;" / "&amp;B15,'2023'!$B$24:$B$112,"Regular")+COUNTIFS('2024'!$L$24:$L$112,A15&amp;" / "&amp;B15,'2024'!$B$24:$B$112,"Regular")+COUNTIFS('2025'!$L$24:$L$112,A15&amp;" / "&amp;B15,'2025'!$B$24:$B$112,"Regular")</x:f>
        <x:v>1</x:v>
      </x:c>
      <x:c r="K15" s="2" t="n">
        <x:f>COUNTIFS('2015'!$L$24:$L$96,A15&amp;" / "&amp;B15,'2015'!$B$24:$B$96,"Playoffs")+COUNTIFS('2016'!$L$24:$L$96,A15&amp;" / "&amp;B15,'2016'!$B$24:$B$96,"Playoffs")+COUNTIFS('2017'!$L$24:$L$106,A15&amp;" / "&amp;B15,'2017'!$B$24:$B$106,"Playoffs")+COUNTIFS('2018'!$L$24:$L$106,A15&amp;" / "&amp;B15,'2018'!$B$24:$B$106,"Playoffs")+COUNTIFS('2019'!$L$24:$L$106,A15&amp;" / "&amp;B15,'2019'!$B$24:$B$106,"Playoffs")+COUNTIFS('2020'!$L$24:$L$106,A15&amp;" / "&amp;B15,'2020'!$B$24:$B$106,"Playoffs")+COUNTIFS('2021'!$L$24:$L$112,A15&amp;" / "&amp;B15,'2021'!$B$24:$B$112,"Playoffs")+COUNTIFS('2022'!$L$24:$L$112,A15&amp;" / "&amp;B15,'2022'!$B$24:$B$112,"Playoffs")+COUNTIFS('2023'!$L$24:$L$112,A15&amp;" / "&amp;B15,'2023'!$B$24:$B$112,"Playoffs")+COUNTIFS('2024'!$L$24:$L$112,A15&amp;" / "&amp;B15,'2024'!$B$24:$B$112,"Playoffs")+COUNTIFS('2025'!$L$24:$L$112,A15&amp;" / "&amp;B15,'2025'!$B$24:$B$112,"Playoffs")</x:f>
        <x:v>0</x:v>
      </x:c>
      <x:c r="L15" s="2" t="n">
        <x:f>COUNTIFS('2015'!$L$24:$L$96,A15&amp;" / "&amp;B15,'2015'!$B$24:$B$96,"Unconfirmed")+COUNTIFS('2016'!$L$24:$L$96,A15&amp;" / "&amp;B15,'2016'!$B$24:$B$96,"Unconfirmed")+COUNTIFS('2017'!$L$24:$L$106,A15&amp;" / "&amp;B15,'2017'!$B$24:$B$106,"Unconfirmed")+COUNTIFS('2018'!$L$24:$L$106,A15&amp;" / "&amp;B15,'2018'!$B$24:$B$106,"Unconfirmed")+COUNTIFS('2019'!$L$24:$L$106,A15&amp;" / "&amp;B15,'2019'!$B$24:$B$106,"Unconfirmed")+COUNTIFS('2020'!$L$24:$L$106,A15&amp;" / "&amp;B15,'2020'!$B$24:$B$106,"Unconfirmed")+COUNTIFS('2021'!$L$24:$L$112,A15&amp;" / "&amp;B15,'2021'!$B$24:$B$112,"Unconfirmed")+COUNTIFS('2022'!$L$24:$L$112,A15&amp;" / "&amp;B15,'2022'!$B$24:$B$112,"Unconfirmed")+COUNTIFS('2023'!$L$24:$L$112,A15&amp;" / "&amp;B15,'2023'!$B$24:$B$112,"Unconfirmed")+COUNTIFS('2024'!$L$24:$L$112,A15&amp;" / "&amp;B15,'2024'!$B$24:$B$112,"Unconfirmed")+COUNTIFS('2025'!$L$24:$L$112,A15&amp;" / "&amp;B15,'2025'!$B$24:$B$112,"Unconfirmed")</x:f>
        <x:v>0</x:v>
      </x:c>
    </x:row>
    <x:row r="16" ht="22" customHeight="1">
      <x:c r="A16" s="2" t="str">
        <x:v>Andrew</x:v>
      </x:c>
      <x:c r="B16" s="2" t="str">
        <x:v>Paul</x:v>
      </x:c>
      <x:c r="C16" s="2" t="n">
        <x:f>COUNTIFS('2015'!$L$24:$L$96,A16&amp;" / "&amp;B16)+COUNTIFS('2016'!$L$24:$L$96,A16&amp;" / "&amp;B16)+COUNTIFS('2017'!$L$24:$L$106,A16&amp;" / "&amp;B16)+COUNTIFS('2018'!$L$24:$L$106,A16&amp;" / "&amp;B16)+COUNTIFS('2019'!$L$24:$L$106,A16&amp;" / "&amp;B16)+COUNTIFS('2020'!$L$24:$L$106,A16&amp;" / "&amp;B16)+COUNTIFS('2021'!$L$24:$L$112,A16&amp;" / "&amp;B16)+COUNTIFS('2022'!$L$24:$L$112,A16&amp;" / "&amp;B16)+COUNTIFS('2023'!$L$24:$L$112,A16&amp;" / "&amp;B16)+COUNTIFS('2024'!$L$24:$L$112,A16&amp;" / "&amp;B16)+COUNTIFS('2025'!$L$24:$L$112,A16&amp;" / "&amp;B16)</x:f>
        <x:v>1</x:v>
      </x:c>
      <x:c r="D16" s="2" t="n">
        <x:f>COUNTIFS('2015'!$L$24:$L$96,A16&amp;" / "&amp;B16,'2015'!$I$24:$I$96,A16)+COUNTIFS('2016'!$L$24:$L$96,A16&amp;" / "&amp;B16,'2016'!$I$24:$I$96,A16)+COUNTIFS('2017'!$L$24:$L$106,A16&amp;" / "&amp;B16,'2017'!$I$24:$I$106,A16)+COUNTIFS('2018'!$L$24:$L$106,A16&amp;" / "&amp;B16,'2018'!$I$24:$I$106,A16)+COUNTIFS('2019'!$L$24:$L$106,A16&amp;" / "&amp;B16,'2019'!$I$24:$I$106,A16)+COUNTIFS('2020'!$L$24:$L$106,A16&amp;" / "&amp;B16,'2020'!$I$24:$I$106,A16)+COUNTIFS('2021'!$L$24:$L$112,A16&amp;" / "&amp;B16,'2021'!$I$24:$I$112,A16)+COUNTIFS('2022'!$L$24:$L$112,A16&amp;" / "&amp;B16,'2022'!$I$24:$I$112,A16)+COUNTIFS('2023'!$L$24:$L$112,A16&amp;" / "&amp;B16,'2023'!$I$24:$I$112,A16)+COUNTIFS('2024'!$L$24:$L$112,A16&amp;" / "&amp;B16,'2024'!$I$24:$I$112,A16)+COUNTIFS('2025'!$L$24:$L$112,A16&amp;" / "&amp;B16,'2025'!$I$24:$I$112,A16)</x:f>
        <x:v>1</x:v>
      </x:c>
      <x:c r="E16" s="2" t="n">
        <x:f>COUNTIFS('2015'!$L$24:$L$96,A16&amp;" / "&amp;B16,'2015'!$I$24:$I$96,B16)+COUNTIFS('2016'!$L$24:$L$96,A16&amp;" / "&amp;B16,'2016'!$I$24:$I$96,B16)+COUNTIFS('2017'!$L$24:$L$106,A16&amp;" / "&amp;B16,'2017'!$I$24:$I$106,B16)+COUNTIFS('2018'!$L$24:$L$106,A16&amp;" / "&amp;B16,'2018'!$I$24:$I$106,B16)+COUNTIFS('2019'!$L$24:$L$106,A16&amp;" / "&amp;B16,'2019'!$I$24:$I$106,B16)+COUNTIFS('2020'!$L$24:$L$106,A16&amp;" / "&amp;B16,'2020'!$I$24:$I$106,B16)+COUNTIFS('2021'!$L$24:$L$112,A16&amp;" / "&amp;B16,'2021'!$I$24:$I$112,B16)+COUNTIFS('2022'!$L$24:$L$112,A16&amp;" / "&amp;B16,'2022'!$I$24:$I$112,B16)+COUNTIFS('2023'!$L$24:$L$112,A16&amp;" / "&amp;B16,'2023'!$I$24:$I$112,B16)+COUNTIFS('2024'!$L$24:$L$112,A16&amp;" / "&amp;B16,'2024'!$I$24:$I$112,B16)+COUNTIFS('2025'!$L$24:$L$112,A16&amp;" / "&amp;B16,'2025'!$I$24:$I$112,B16)</x:f>
        <x:v>0</x:v>
      </x:c>
      <x:c r="F16" s="2" t="n">
        <x:f>COUNTIFS('2015'!$L$24:$L$96,A16&amp;" / "&amp;B16,'2015'!$K$24:$K$96,1)+COUNTIFS('2016'!$L$24:$L$96,A16&amp;" / "&amp;B16,'2016'!$K$24:$K$96,1)+COUNTIFS('2017'!$L$24:$L$106,A16&amp;" / "&amp;B16,'2017'!$K$24:$K$106,1)+COUNTIFS('2018'!$L$24:$L$106,A16&amp;" / "&amp;B16,'2018'!$K$24:$K$106,1)+COUNTIFS('2019'!$L$24:$L$106,A16&amp;" / "&amp;B16,'2019'!$K$24:$K$106,1)+COUNTIFS('2020'!$L$24:$L$106,A16&amp;" / "&amp;B16,'2020'!$K$24:$K$106,1)+COUNTIFS('2021'!$L$24:$L$112,A16&amp;" / "&amp;B16,'2021'!$K$24:$K$112,1)+COUNTIFS('2022'!$L$24:$L$112,A16&amp;" / "&amp;B16,'2022'!$K$24:$K$112,1)+COUNTIFS('2023'!$L$24:$L$112,A16&amp;" / "&amp;B16,'2023'!$K$24:$K$112,1)+COUNTIFS('2024'!$L$24:$L$112,A16&amp;" / "&amp;B16,'2024'!$K$24:$K$112,1)+COUNTIFS('2025'!$L$24:$L$112,A16&amp;" / "&amp;B16,'2025'!$K$24:$K$112,1)</x:f>
        <x:v>0</x:v>
      </x:c>
      <x:c r="G16" s="25" t="n">
        <x:f>SUMIFS('2015'!$E$24:$E$96,'2015'!$L$24:$L$96,A16&amp;" / "&amp;B16,'2015'!$C$24:$C$96,A16)+SUMIFS('2015'!$H$24:$H$96,'2015'!$L$24:$L$96,A16&amp;" / "&amp;B16,'2015'!$F$24:$F$96,A16)+SUMIFS('2016'!$E$24:$E$96,'2016'!$L$24:$L$96,A16&amp;" / "&amp;B16,'2016'!$C$24:$C$96,A16)+SUMIFS('2016'!$H$24:$H$96,'2016'!$L$24:$L$96,A16&amp;" / "&amp;B16,'2016'!$F$24:$F$96,A16)+SUMIFS('2017'!$E$24:$E$106,'2017'!$L$24:$L$106,A16&amp;" / "&amp;B16,'2017'!$C$24:$C$106,A16)+SUMIFS('2017'!$H$24:$H$106,'2017'!$L$24:$L$106,A16&amp;" / "&amp;B16,'2017'!$F$24:$F$106,A16)+SUMIFS('2018'!$E$24:$E$106,'2018'!$L$24:$L$106,A16&amp;" / "&amp;B16,'2018'!$C$24:$C$106,A16)+SUMIFS('2018'!$H$24:$H$106,'2018'!$L$24:$L$106,A16&amp;" / "&amp;B16,'2018'!$F$24:$F$106,A16)+SUMIFS('2019'!$E$24:$E$106,'2019'!$L$24:$L$106,A16&amp;" / "&amp;B16,'2019'!$C$24:$C$106,A16)+SUMIFS('2019'!$H$24:$H$106,'2019'!$L$24:$L$106,A16&amp;" / "&amp;B16,'2019'!$F$24:$F$106,A16)+SUMIFS('2020'!$E$24:$E$106,'2020'!$L$24:$L$106,A16&amp;" / "&amp;B16,'2020'!$C$24:$C$106,A16)+SUMIFS('2020'!$H$24:$H$106,'2020'!$L$24:$L$106,A16&amp;" / "&amp;B16,'2020'!$F$24:$F$106,A16)+SUMIFS('2021'!$E$24:$E$112,'2021'!$L$24:$L$112,A16&amp;" / "&amp;B16,'2021'!$C$24:$C$112,A16)+SUMIFS('2021'!$H$24:$H$112,'2021'!$L$24:$L$112,A16&amp;" / "&amp;B16,'2021'!$F$24:$F$112,A16)+SUMIFS('2022'!$E$24:$E$112,'2022'!$L$24:$L$112,A16&amp;" / "&amp;B16,'2022'!$C$24:$C$112,A16)+SUMIFS('2022'!$H$24:$H$112,'2022'!$L$24:$L$112,A16&amp;" / "&amp;B16,'2022'!$F$24:$F$112,A16)+SUMIFS('2023'!$E$24:$E$112,'2023'!$L$24:$L$112,A16&amp;" / "&amp;B16,'2023'!$C$24:$C$112,A16)+SUMIFS('2023'!$H$24:$H$112,'2023'!$L$24:$L$112,A16&amp;" / "&amp;B16,'2023'!$F$24:$F$112,A16)+SUMIFS('2024'!$E$24:$E$112,'2024'!$L$24:$L$112,A16&amp;" / "&amp;B16,'2024'!$C$24:$C$112,A16)+SUMIFS('2024'!$H$24:$H$112,'2024'!$L$24:$L$112,A16&amp;" / "&amp;B16,'2024'!$F$24:$F$112,A16)+SUMIFS('2025'!$E$24:$E$112,'2025'!$L$24:$L$112,A16&amp;" / "&amp;B16,'2025'!$C$24:$C$112,A16)+SUMIFS('2025'!$H$24:$H$112,'2025'!$L$24:$L$112,A16&amp;" / "&amp;B16,'2025'!$F$24:$F$112,A16)</x:f>
        <x:v>160</x:v>
      </x:c>
      <x:c r="H16" s="25" t="n">
        <x:f>SUMIFS('2015'!$E$24:$E$96,'2015'!$L$24:$L$96,A16&amp;" / "&amp;B16,'2015'!$C$24:$C$96,B16)+SUMIFS('2015'!$H$24:$H$96,'2015'!$L$24:$L$96,A16&amp;" / "&amp;B16,'2015'!$F$24:$F$96,B16)+SUMIFS('2016'!$E$24:$E$96,'2016'!$L$24:$L$96,A16&amp;" / "&amp;B16,'2016'!$C$24:$C$96,B16)+SUMIFS('2016'!$H$24:$H$96,'2016'!$L$24:$L$96,A16&amp;" / "&amp;B16,'2016'!$F$24:$F$96,B16)+SUMIFS('2017'!$E$24:$E$106,'2017'!$L$24:$L$106,A16&amp;" / "&amp;B16,'2017'!$C$24:$C$106,B16)+SUMIFS('2017'!$H$24:$H$106,'2017'!$L$24:$L$106,A16&amp;" / "&amp;B16,'2017'!$F$24:$F$106,B16)+SUMIFS('2018'!$E$24:$E$106,'2018'!$L$24:$L$106,A16&amp;" / "&amp;B16,'2018'!$C$24:$C$106,B16)+SUMIFS('2018'!$H$24:$H$106,'2018'!$L$24:$L$106,A16&amp;" / "&amp;B16,'2018'!$F$24:$F$106,B16)+SUMIFS('2019'!$E$24:$E$106,'2019'!$L$24:$L$106,A16&amp;" / "&amp;B16,'2019'!$C$24:$C$106,B16)+SUMIFS('2019'!$H$24:$H$106,'2019'!$L$24:$L$106,A16&amp;" / "&amp;B16,'2019'!$F$24:$F$106,B16)+SUMIFS('2020'!$E$24:$E$106,'2020'!$L$24:$L$106,A16&amp;" / "&amp;B16,'2020'!$C$24:$C$106,B16)+SUMIFS('2020'!$H$24:$H$106,'2020'!$L$24:$L$106,A16&amp;" / "&amp;B16,'2020'!$F$24:$F$106,B16)+SUMIFS('2021'!$E$24:$E$112,'2021'!$L$24:$L$112,A16&amp;" / "&amp;B16,'2021'!$C$24:$C$112,B16)+SUMIFS('2021'!$H$24:$H$112,'2021'!$L$24:$L$112,A16&amp;" / "&amp;B16,'2021'!$F$24:$F$112,B16)+SUMIFS('2022'!$E$24:$E$112,'2022'!$L$24:$L$112,A16&amp;" / "&amp;B16,'2022'!$C$24:$C$112,B16)+SUMIFS('2022'!$H$24:$H$112,'2022'!$L$24:$L$112,A16&amp;" / "&amp;B16,'2022'!$F$24:$F$112,B16)+SUMIFS('2023'!$E$24:$E$112,'2023'!$L$24:$L$112,A16&amp;" / "&amp;B16,'2023'!$C$24:$C$112,B16)+SUMIFS('2023'!$H$24:$H$112,'2023'!$L$24:$L$112,A16&amp;" / "&amp;B16,'2023'!$F$24:$F$112,B16)+SUMIFS('2024'!$E$24:$E$112,'2024'!$L$24:$L$112,A16&amp;" / "&amp;B16,'2024'!$C$24:$C$112,B16)+SUMIFS('2024'!$H$24:$H$112,'2024'!$L$24:$L$112,A16&amp;" / "&amp;B16,'2024'!$F$24:$F$112,B16)+SUMIFS('2025'!$E$24:$E$112,'2025'!$L$24:$L$112,A16&amp;" / "&amp;B16,'2025'!$C$24:$C$112,B16)+SUMIFS('2025'!$H$24:$H$112,'2025'!$L$24:$L$112,A16&amp;" / "&amp;B16,'2025'!$F$24:$F$112,B16)</x:f>
        <x:v>127</x:v>
      </x:c>
      <x:c r="I16" s="11" t="n">
        <x:f>IF(C16=0,0,(D16+0.5*F16)/C16)</x:f>
        <x:v>1</x:v>
      </x:c>
      <x:c r="J16" s="2" t="n">
        <x:f>COUNTIFS('2015'!$L$24:$L$96,A16&amp;" / "&amp;B16,'2015'!$B$24:$B$96,"Regular")+COUNTIFS('2016'!$L$24:$L$96,A16&amp;" / "&amp;B16,'2016'!$B$24:$B$96,"Regular")+COUNTIFS('2017'!$L$24:$L$106,A16&amp;" / "&amp;B16,'2017'!$B$24:$B$106,"Regular")+COUNTIFS('2018'!$L$24:$L$106,A16&amp;" / "&amp;B16,'2018'!$B$24:$B$106,"Regular")+COUNTIFS('2019'!$L$24:$L$106,A16&amp;" / "&amp;B16,'2019'!$B$24:$B$106,"Regular")+COUNTIFS('2020'!$L$24:$L$106,A16&amp;" / "&amp;B16,'2020'!$B$24:$B$106,"Regular")+COUNTIFS('2021'!$L$24:$L$112,A16&amp;" / "&amp;B16,'2021'!$B$24:$B$112,"Regular")+COUNTIFS('2022'!$L$24:$L$112,A16&amp;" / "&amp;B16,'2022'!$B$24:$B$112,"Regular")+COUNTIFS('2023'!$L$24:$L$112,A16&amp;" / "&amp;B16,'2023'!$B$24:$B$112,"Regular")+COUNTIFS('2024'!$L$24:$L$112,A16&amp;" / "&amp;B16,'2024'!$B$24:$B$112,"Regular")+COUNTIFS('2025'!$L$24:$L$112,A16&amp;" / "&amp;B16,'2025'!$B$24:$B$112,"Regular")</x:f>
        <x:v>1</x:v>
      </x:c>
      <x:c r="K16" s="2" t="n">
        <x:f>COUNTIFS('2015'!$L$24:$L$96,A16&amp;" / "&amp;B16,'2015'!$B$24:$B$96,"Playoffs")+COUNTIFS('2016'!$L$24:$L$96,A16&amp;" / "&amp;B16,'2016'!$B$24:$B$96,"Playoffs")+COUNTIFS('2017'!$L$24:$L$106,A16&amp;" / "&amp;B16,'2017'!$B$24:$B$106,"Playoffs")+COUNTIFS('2018'!$L$24:$L$106,A16&amp;" / "&amp;B16,'2018'!$B$24:$B$106,"Playoffs")+COUNTIFS('2019'!$L$24:$L$106,A16&amp;" / "&amp;B16,'2019'!$B$24:$B$106,"Playoffs")+COUNTIFS('2020'!$L$24:$L$106,A16&amp;" / "&amp;B16,'2020'!$B$24:$B$106,"Playoffs")+COUNTIFS('2021'!$L$24:$L$112,A16&amp;" / "&amp;B16,'2021'!$B$24:$B$112,"Playoffs")+COUNTIFS('2022'!$L$24:$L$112,A16&amp;" / "&amp;B16,'2022'!$B$24:$B$112,"Playoffs")+COUNTIFS('2023'!$L$24:$L$112,A16&amp;" / "&amp;B16,'2023'!$B$24:$B$112,"Playoffs")+COUNTIFS('2024'!$L$24:$L$112,A16&amp;" / "&amp;B16,'2024'!$B$24:$B$112,"Playoffs")+COUNTIFS('2025'!$L$24:$L$112,A16&amp;" / "&amp;B16,'2025'!$B$24:$B$112,"Playoffs")</x:f>
        <x:v>0</x:v>
      </x:c>
      <x:c r="L16" s="2" t="n">
        <x:f>COUNTIFS('2015'!$L$24:$L$96,A16&amp;" / "&amp;B16,'2015'!$B$24:$B$96,"Unconfirmed")+COUNTIFS('2016'!$L$24:$L$96,A16&amp;" / "&amp;B16,'2016'!$B$24:$B$96,"Unconfirmed")+COUNTIFS('2017'!$L$24:$L$106,A16&amp;" / "&amp;B16,'2017'!$B$24:$B$106,"Unconfirmed")+COUNTIFS('2018'!$L$24:$L$106,A16&amp;" / "&amp;B16,'2018'!$B$24:$B$106,"Unconfirmed")+COUNTIFS('2019'!$L$24:$L$106,A16&amp;" / "&amp;B16,'2019'!$B$24:$B$106,"Unconfirmed")+COUNTIFS('2020'!$L$24:$L$106,A16&amp;" / "&amp;B16,'2020'!$B$24:$B$106,"Unconfirmed")+COUNTIFS('2021'!$L$24:$L$112,A16&amp;" / "&amp;B16,'2021'!$B$24:$B$112,"Unconfirmed")+COUNTIFS('2022'!$L$24:$L$112,A16&amp;" / "&amp;B16,'2022'!$B$24:$B$112,"Unconfirmed")+COUNTIFS('2023'!$L$24:$L$112,A16&amp;" / "&amp;B16,'2023'!$B$24:$B$112,"Unconfirmed")+COUNTIFS('2024'!$L$24:$L$112,A16&amp;" / "&amp;B16,'2024'!$B$24:$B$112,"Unconfirmed")+COUNTIFS('2025'!$L$24:$L$112,A16&amp;" / "&amp;B16,'2025'!$B$24:$B$112,"Unconfirmed")</x:f>
        <x:v>0</x:v>
      </x:c>
    </x:row>
    <x:row r="17" ht="22" customHeight="1">
      <x:c r="A17" s="2" t="str">
        <x:v>Andrew</x:v>
      </x:c>
      <x:c r="B17" s="2" t="str">
        <x:v>Taylor</x:v>
      </x:c>
      <x:c r="C17" s="2" t="n">
        <x:f>COUNTIFS('2015'!$L$24:$L$96,A17&amp;" / "&amp;B17)+COUNTIFS('2016'!$L$24:$L$96,A17&amp;" / "&amp;B17)+COUNTIFS('2017'!$L$24:$L$106,A17&amp;" / "&amp;B17)+COUNTIFS('2018'!$L$24:$L$106,A17&amp;" / "&amp;B17)+COUNTIFS('2019'!$L$24:$L$106,A17&amp;" / "&amp;B17)+COUNTIFS('2020'!$L$24:$L$106,A17&amp;" / "&amp;B17)+COUNTIFS('2021'!$L$24:$L$112,A17&amp;" / "&amp;B17)+COUNTIFS('2022'!$L$24:$L$112,A17&amp;" / "&amp;B17)+COUNTIFS('2023'!$L$24:$L$112,A17&amp;" / "&amp;B17)+COUNTIFS('2024'!$L$24:$L$112,A17&amp;" / "&amp;B17)+COUNTIFS('2025'!$L$24:$L$112,A17&amp;" / "&amp;B17)</x:f>
        <x:v>4</x:v>
      </x:c>
      <x:c r="D17" s="2" t="n">
        <x:f>COUNTIFS('2015'!$L$24:$L$96,A17&amp;" / "&amp;B17,'2015'!$I$24:$I$96,A17)+COUNTIFS('2016'!$L$24:$L$96,A17&amp;" / "&amp;B17,'2016'!$I$24:$I$96,A17)+COUNTIFS('2017'!$L$24:$L$106,A17&amp;" / "&amp;B17,'2017'!$I$24:$I$106,A17)+COUNTIFS('2018'!$L$24:$L$106,A17&amp;" / "&amp;B17,'2018'!$I$24:$I$106,A17)+COUNTIFS('2019'!$L$24:$L$106,A17&amp;" / "&amp;B17,'2019'!$I$24:$I$106,A17)+COUNTIFS('2020'!$L$24:$L$106,A17&amp;" / "&amp;B17,'2020'!$I$24:$I$106,A17)+COUNTIFS('2021'!$L$24:$L$112,A17&amp;" / "&amp;B17,'2021'!$I$24:$I$112,A17)+COUNTIFS('2022'!$L$24:$L$112,A17&amp;" / "&amp;B17,'2022'!$I$24:$I$112,A17)+COUNTIFS('2023'!$L$24:$L$112,A17&amp;" / "&amp;B17,'2023'!$I$24:$I$112,A17)+COUNTIFS('2024'!$L$24:$L$112,A17&amp;" / "&amp;B17,'2024'!$I$24:$I$112,A17)+COUNTIFS('2025'!$L$24:$L$112,A17&amp;" / "&amp;B17,'2025'!$I$24:$I$112,A17)</x:f>
        <x:v>3</x:v>
      </x:c>
      <x:c r="E17" s="2" t="n">
        <x:f>COUNTIFS('2015'!$L$24:$L$96,A17&amp;" / "&amp;B17,'2015'!$I$24:$I$96,B17)+COUNTIFS('2016'!$L$24:$L$96,A17&amp;" / "&amp;B17,'2016'!$I$24:$I$96,B17)+COUNTIFS('2017'!$L$24:$L$106,A17&amp;" / "&amp;B17,'2017'!$I$24:$I$106,B17)+COUNTIFS('2018'!$L$24:$L$106,A17&amp;" / "&amp;B17,'2018'!$I$24:$I$106,B17)+COUNTIFS('2019'!$L$24:$L$106,A17&amp;" / "&amp;B17,'2019'!$I$24:$I$106,B17)+COUNTIFS('2020'!$L$24:$L$106,A17&amp;" / "&amp;B17,'2020'!$I$24:$I$106,B17)+COUNTIFS('2021'!$L$24:$L$112,A17&amp;" / "&amp;B17,'2021'!$I$24:$I$112,B17)+COUNTIFS('2022'!$L$24:$L$112,A17&amp;" / "&amp;B17,'2022'!$I$24:$I$112,B17)+COUNTIFS('2023'!$L$24:$L$112,A17&amp;" / "&amp;B17,'2023'!$I$24:$I$112,B17)+COUNTIFS('2024'!$L$24:$L$112,A17&amp;" / "&amp;B17,'2024'!$I$24:$I$112,B17)+COUNTIFS('2025'!$L$24:$L$112,A17&amp;" / "&amp;B17,'2025'!$I$24:$I$112,B17)</x:f>
        <x:v>1</x:v>
      </x:c>
      <x:c r="F17" s="2" t="n">
        <x:f>COUNTIFS('2015'!$L$24:$L$96,A17&amp;" / "&amp;B17,'2015'!$K$24:$K$96,1)+COUNTIFS('2016'!$L$24:$L$96,A17&amp;" / "&amp;B17,'2016'!$K$24:$K$96,1)+COUNTIFS('2017'!$L$24:$L$106,A17&amp;" / "&amp;B17,'2017'!$K$24:$K$106,1)+COUNTIFS('2018'!$L$24:$L$106,A17&amp;" / "&amp;B17,'2018'!$K$24:$K$106,1)+COUNTIFS('2019'!$L$24:$L$106,A17&amp;" / "&amp;B17,'2019'!$K$24:$K$106,1)+COUNTIFS('2020'!$L$24:$L$106,A17&amp;" / "&amp;B17,'2020'!$K$24:$K$106,1)+COUNTIFS('2021'!$L$24:$L$112,A17&amp;" / "&amp;B17,'2021'!$K$24:$K$112,1)+COUNTIFS('2022'!$L$24:$L$112,A17&amp;" / "&amp;B17,'2022'!$K$24:$K$112,1)+COUNTIFS('2023'!$L$24:$L$112,A17&amp;" / "&amp;B17,'2023'!$K$24:$K$112,1)+COUNTIFS('2024'!$L$24:$L$112,A17&amp;" / "&amp;B17,'2024'!$K$24:$K$112,1)+COUNTIFS('2025'!$L$24:$L$112,A17&amp;" / "&amp;B17,'2025'!$K$24:$K$112,1)</x:f>
        <x:v>0</x:v>
      </x:c>
      <x:c r="G17" s="25" t="n">
        <x:f>SUMIFS('2015'!$E$24:$E$96,'2015'!$L$24:$L$96,A17&amp;" / "&amp;B17,'2015'!$C$24:$C$96,A17)+SUMIFS('2015'!$H$24:$H$96,'2015'!$L$24:$L$96,A17&amp;" / "&amp;B17,'2015'!$F$24:$F$96,A17)+SUMIFS('2016'!$E$24:$E$96,'2016'!$L$24:$L$96,A17&amp;" / "&amp;B17,'2016'!$C$24:$C$96,A17)+SUMIFS('2016'!$H$24:$H$96,'2016'!$L$24:$L$96,A17&amp;" / "&amp;B17,'2016'!$F$24:$F$96,A17)+SUMIFS('2017'!$E$24:$E$106,'2017'!$L$24:$L$106,A17&amp;" / "&amp;B17,'2017'!$C$24:$C$106,A17)+SUMIFS('2017'!$H$24:$H$106,'2017'!$L$24:$L$106,A17&amp;" / "&amp;B17,'2017'!$F$24:$F$106,A17)+SUMIFS('2018'!$E$24:$E$106,'2018'!$L$24:$L$106,A17&amp;" / "&amp;B17,'2018'!$C$24:$C$106,A17)+SUMIFS('2018'!$H$24:$H$106,'2018'!$L$24:$L$106,A17&amp;" / "&amp;B17,'2018'!$F$24:$F$106,A17)+SUMIFS('2019'!$E$24:$E$106,'2019'!$L$24:$L$106,A17&amp;" / "&amp;B17,'2019'!$C$24:$C$106,A17)+SUMIFS('2019'!$H$24:$H$106,'2019'!$L$24:$L$106,A17&amp;" / "&amp;B17,'2019'!$F$24:$F$106,A17)+SUMIFS('2020'!$E$24:$E$106,'2020'!$L$24:$L$106,A17&amp;" / "&amp;B17,'2020'!$C$24:$C$106,A17)+SUMIFS('2020'!$H$24:$H$106,'2020'!$L$24:$L$106,A17&amp;" / "&amp;B17,'2020'!$F$24:$F$106,A17)+SUMIFS('2021'!$E$24:$E$112,'2021'!$L$24:$L$112,A17&amp;" / "&amp;B17,'2021'!$C$24:$C$112,A17)+SUMIFS('2021'!$H$24:$H$112,'2021'!$L$24:$L$112,A17&amp;" / "&amp;B17,'2021'!$F$24:$F$112,A17)+SUMIFS('2022'!$E$24:$E$112,'2022'!$L$24:$L$112,A17&amp;" / "&amp;B17,'2022'!$C$24:$C$112,A17)+SUMIFS('2022'!$H$24:$H$112,'2022'!$L$24:$L$112,A17&amp;" / "&amp;B17,'2022'!$F$24:$F$112,A17)+SUMIFS('2023'!$E$24:$E$112,'2023'!$L$24:$L$112,A17&amp;" / "&amp;B17,'2023'!$C$24:$C$112,A17)+SUMIFS('2023'!$H$24:$H$112,'2023'!$L$24:$L$112,A17&amp;" / "&amp;B17,'2023'!$F$24:$F$112,A17)+SUMIFS('2024'!$E$24:$E$112,'2024'!$L$24:$L$112,A17&amp;" / "&amp;B17,'2024'!$C$24:$C$112,A17)+SUMIFS('2024'!$H$24:$H$112,'2024'!$L$24:$L$112,A17&amp;" / "&amp;B17,'2024'!$F$24:$F$112,A17)+SUMIFS('2025'!$E$24:$E$112,'2025'!$L$24:$L$112,A17&amp;" / "&amp;B17,'2025'!$C$24:$C$112,A17)+SUMIFS('2025'!$H$24:$H$112,'2025'!$L$24:$L$112,A17&amp;" / "&amp;B17,'2025'!$F$24:$F$112,A17)</x:f>
        <x:v>444</x:v>
      </x:c>
      <x:c r="H17" s="25" t="n">
        <x:f>SUMIFS('2015'!$E$24:$E$96,'2015'!$L$24:$L$96,A17&amp;" / "&amp;B17,'2015'!$C$24:$C$96,B17)+SUMIFS('2015'!$H$24:$H$96,'2015'!$L$24:$L$96,A17&amp;" / "&amp;B17,'2015'!$F$24:$F$96,B17)+SUMIFS('2016'!$E$24:$E$96,'2016'!$L$24:$L$96,A17&amp;" / "&amp;B17,'2016'!$C$24:$C$96,B17)+SUMIFS('2016'!$H$24:$H$96,'2016'!$L$24:$L$96,A17&amp;" / "&amp;B17,'2016'!$F$24:$F$96,B17)+SUMIFS('2017'!$E$24:$E$106,'2017'!$L$24:$L$106,A17&amp;" / "&amp;B17,'2017'!$C$24:$C$106,B17)+SUMIFS('2017'!$H$24:$H$106,'2017'!$L$24:$L$106,A17&amp;" / "&amp;B17,'2017'!$F$24:$F$106,B17)+SUMIFS('2018'!$E$24:$E$106,'2018'!$L$24:$L$106,A17&amp;" / "&amp;B17,'2018'!$C$24:$C$106,B17)+SUMIFS('2018'!$H$24:$H$106,'2018'!$L$24:$L$106,A17&amp;" / "&amp;B17,'2018'!$F$24:$F$106,B17)+SUMIFS('2019'!$E$24:$E$106,'2019'!$L$24:$L$106,A17&amp;" / "&amp;B17,'2019'!$C$24:$C$106,B17)+SUMIFS('2019'!$H$24:$H$106,'2019'!$L$24:$L$106,A17&amp;" / "&amp;B17,'2019'!$F$24:$F$106,B17)+SUMIFS('2020'!$E$24:$E$106,'2020'!$L$24:$L$106,A17&amp;" / "&amp;B17,'2020'!$C$24:$C$106,B17)+SUMIFS('2020'!$H$24:$H$106,'2020'!$L$24:$L$106,A17&amp;" / "&amp;B17,'2020'!$F$24:$F$106,B17)+SUMIFS('2021'!$E$24:$E$112,'2021'!$L$24:$L$112,A17&amp;" / "&amp;B17,'2021'!$C$24:$C$112,B17)+SUMIFS('2021'!$H$24:$H$112,'2021'!$L$24:$L$112,A17&amp;" / "&amp;B17,'2021'!$F$24:$F$112,B17)+SUMIFS('2022'!$E$24:$E$112,'2022'!$L$24:$L$112,A17&amp;" / "&amp;B17,'2022'!$C$24:$C$112,B17)+SUMIFS('2022'!$H$24:$H$112,'2022'!$L$24:$L$112,A17&amp;" / "&amp;B17,'2022'!$F$24:$F$112,B17)+SUMIFS('2023'!$E$24:$E$112,'2023'!$L$24:$L$112,A17&amp;" / "&amp;B17,'2023'!$C$24:$C$112,B17)+SUMIFS('2023'!$H$24:$H$112,'2023'!$L$24:$L$112,A17&amp;" / "&amp;B17,'2023'!$F$24:$F$112,B17)+SUMIFS('2024'!$E$24:$E$112,'2024'!$L$24:$L$112,A17&amp;" / "&amp;B17,'2024'!$C$24:$C$112,B17)+SUMIFS('2024'!$H$24:$H$112,'2024'!$L$24:$L$112,A17&amp;" / "&amp;B17,'2024'!$F$24:$F$112,B17)+SUMIFS('2025'!$E$24:$E$112,'2025'!$L$24:$L$112,A17&amp;" / "&amp;B17,'2025'!$C$24:$C$112,B17)+SUMIFS('2025'!$H$24:$H$112,'2025'!$L$24:$L$112,A17&amp;" / "&amp;B17,'2025'!$F$24:$F$112,B17)</x:f>
        <x:v>410</x:v>
      </x:c>
      <x:c r="I17" s="11" t="n">
        <x:f>IF(C17=0,0,(D17+0.5*F17)/C17)</x:f>
        <x:v>0.75</x:v>
      </x:c>
      <x:c r="J17" s="2" t="n">
        <x:f>COUNTIFS('2015'!$L$24:$L$96,A17&amp;" / "&amp;B17,'2015'!$B$24:$B$96,"Regular")+COUNTIFS('2016'!$L$24:$L$96,A17&amp;" / "&amp;B17,'2016'!$B$24:$B$96,"Regular")+COUNTIFS('2017'!$L$24:$L$106,A17&amp;" / "&amp;B17,'2017'!$B$24:$B$106,"Regular")+COUNTIFS('2018'!$L$24:$L$106,A17&amp;" / "&amp;B17,'2018'!$B$24:$B$106,"Regular")+COUNTIFS('2019'!$L$24:$L$106,A17&amp;" / "&amp;B17,'2019'!$B$24:$B$106,"Regular")+COUNTIFS('2020'!$L$24:$L$106,A17&amp;" / "&amp;B17,'2020'!$B$24:$B$106,"Regular")+COUNTIFS('2021'!$L$24:$L$112,A17&amp;" / "&amp;B17,'2021'!$B$24:$B$112,"Regular")+COUNTIFS('2022'!$L$24:$L$112,A17&amp;" / "&amp;B17,'2022'!$B$24:$B$112,"Regular")+COUNTIFS('2023'!$L$24:$L$112,A17&amp;" / "&amp;B17,'2023'!$B$24:$B$112,"Regular")+COUNTIFS('2024'!$L$24:$L$112,A17&amp;" / "&amp;B17,'2024'!$B$24:$B$112,"Regular")+COUNTIFS('2025'!$L$24:$L$112,A17&amp;" / "&amp;B17,'2025'!$B$24:$B$112,"Regular")</x:f>
        <x:v>3</x:v>
      </x:c>
      <x:c r="K17" s="2" t="n">
        <x:f>COUNTIFS('2015'!$L$24:$L$96,A17&amp;" / "&amp;B17,'2015'!$B$24:$B$96,"Playoffs")+COUNTIFS('2016'!$L$24:$L$96,A17&amp;" / "&amp;B17,'2016'!$B$24:$B$96,"Playoffs")+COUNTIFS('2017'!$L$24:$L$106,A17&amp;" / "&amp;B17,'2017'!$B$24:$B$106,"Playoffs")+COUNTIFS('2018'!$L$24:$L$106,A17&amp;" / "&amp;B17,'2018'!$B$24:$B$106,"Playoffs")+COUNTIFS('2019'!$L$24:$L$106,A17&amp;" / "&amp;B17,'2019'!$B$24:$B$106,"Playoffs")+COUNTIFS('2020'!$L$24:$L$106,A17&amp;" / "&amp;B17,'2020'!$B$24:$B$106,"Playoffs")+COUNTIFS('2021'!$L$24:$L$112,A17&amp;" / "&amp;B17,'2021'!$B$24:$B$112,"Playoffs")+COUNTIFS('2022'!$L$24:$L$112,A17&amp;" / "&amp;B17,'2022'!$B$24:$B$112,"Playoffs")+COUNTIFS('2023'!$L$24:$L$112,A17&amp;" / "&amp;B17,'2023'!$B$24:$B$112,"Playoffs")+COUNTIFS('2024'!$L$24:$L$112,A17&amp;" / "&amp;B17,'2024'!$B$24:$B$112,"Playoffs")+COUNTIFS('2025'!$L$24:$L$112,A17&amp;" / "&amp;B17,'2025'!$B$24:$B$112,"Playoffs")</x:f>
        <x:v>1</x:v>
      </x:c>
      <x:c r="L17" s="2" t="n">
        <x:f>COUNTIFS('2015'!$L$24:$L$96,A17&amp;" / "&amp;B17,'2015'!$B$24:$B$96,"Unconfirmed")+COUNTIFS('2016'!$L$24:$L$96,A17&amp;" / "&amp;B17,'2016'!$B$24:$B$96,"Unconfirmed")+COUNTIFS('2017'!$L$24:$L$106,A17&amp;" / "&amp;B17,'2017'!$B$24:$B$106,"Unconfirmed")+COUNTIFS('2018'!$L$24:$L$106,A17&amp;" / "&amp;B17,'2018'!$B$24:$B$106,"Unconfirmed")+COUNTIFS('2019'!$L$24:$L$106,A17&amp;" / "&amp;B17,'2019'!$B$24:$B$106,"Unconfirmed")+COUNTIFS('2020'!$L$24:$L$106,A17&amp;" / "&amp;B17,'2020'!$B$24:$B$106,"Unconfirmed")+COUNTIFS('2021'!$L$24:$L$112,A17&amp;" / "&amp;B17,'2021'!$B$24:$B$112,"Unconfirmed")+COUNTIFS('2022'!$L$24:$L$112,A17&amp;" / "&amp;B17,'2022'!$B$24:$B$112,"Unconfirmed")+COUNTIFS('2023'!$L$24:$L$112,A17&amp;" / "&amp;B17,'2023'!$B$24:$B$112,"Unconfirmed")+COUNTIFS('2024'!$L$24:$L$112,A17&amp;" / "&amp;B17,'2024'!$B$24:$B$112,"Unconfirmed")+COUNTIFS('2025'!$L$24:$L$112,A17&amp;" / "&amp;B17,'2025'!$B$24:$B$112,"Unconfirmed")</x:f>
        <x:v>0</x:v>
      </x:c>
    </x:row>
    <x:row r="18" ht="22" customHeight="1">
      <x:c r="A18" s="2" t="str">
        <x:v>Ben</x:v>
      </x:c>
      <x:c r="B18" s="2" t="str">
        <x:v>Bruce</x:v>
      </x:c>
      <x:c r="C18" s="2" t="n">
        <x:f>COUNTIFS('2015'!$L$24:$L$96,A18&amp;" / "&amp;B18)+COUNTIFS('2016'!$L$24:$L$96,A18&amp;" / "&amp;B18)+COUNTIFS('2017'!$L$24:$L$106,A18&amp;" / "&amp;B18)+COUNTIFS('2018'!$L$24:$L$106,A18&amp;" / "&amp;B18)+COUNTIFS('2019'!$L$24:$L$106,A18&amp;" / "&amp;B18)+COUNTIFS('2020'!$L$24:$L$106,A18&amp;" / "&amp;B18)+COUNTIFS('2021'!$L$24:$L$112,A18&amp;" / "&amp;B18)+COUNTIFS('2022'!$L$24:$L$112,A18&amp;" / "&amp;B18)+COUNTIFS('2023'!$L$24:$L$112,A18&amp;" / "&amp;B18)+COUNTIFS('2024'!$L$24:$L$112,A18&amp;" / "&amp;B18)+COUNTIFS('2025'!$L$24:$L$112,A18&amp;" / "&amp;B18)</x:f>
        <x:v>7</x:v>
      </x:c>
      <x:c r="D18" s="2" t="n">
        <x:f>COUNTIFS('2015'!$L$24:$L$96,A18&amp;" / "&amp;B18,'2015'!$I$24:$I$96,A18)+COUNTIFS('2016'!$L$24:$L$96,A18&amp;" / "&amp;B18,'2016'!$I$24:$I$96,A18)+COUNTIFS('2017'!$L$24:$L$106,A18&amp;" / "&amp;B18,'2017'!$I$24:$I$106,A18)+COUNTIFS('2018'!$L$24:$L$106,A18&amp;" / "&amp;B18,'2018'!$I$24:$I$106,A18)+COUNTIFS('2019'!$L$24:$L$106,A18&amp;" / "&amp;B18,'2019'!$I$24:$I$106,A18)+COUNTIFS('2020'!$L$24:$L$106,A18&amp;" / "&amp;B18,'2020'!$I$24:$I$106,A18)+COUNTIFS('2021'!$L$24:$L$112,A18&amp;" / "&amp;B18,'2021'!$I$24:$I$112,A18)+COUNTIFS('2022'!$L$24:$L$112,A18&amp;" / "&amp;B18,'2022'!$I$24:$I$112,A18)+COUNTIFS('2023'!$L$24:$L$112,A18&amp;" / "&amp;B18,'2023'!$I$24:$I$112,A18)+COUNTIFS('2024'!$L$24:$L$112,A18&amp;" / "&amp;B18,'2024'!$I$24:$I$112,A18)+COUNTIFS('2025'!$L$24:$L$112,A18&amp;" / "&amp;B18,'2025'!$I$24:$I$112,A18)</x:f>
        <x:v>3</x:v>
      </x:c>
      <x:c r="E18" s="2" t="n">
        <x:f>COUNTIFS('2015'!$L$24:$L$96,A18&amp;" / "&amp;B18,'2015'!$I$24:$I$96,B18)+COUNTIFS('2016'!$L$24:$L$96,A18&amp;" / "&amp;B18,'2016'!$I$24:$I$96,B18)+COUNTIFS('2017'!$L$24:$L$106,A18&amp;" / "&amp;B18,'2017'!$I$24:$I$106,B18)+COUNTIFS('2018'!$L$24:$L$106,A18&amp;" / "&amp;B18,'2018'!$I$24:$I$106,B18)+COUNTIFS('2019'!$L$24:$L$106,A18&amp;" / "&amp;B18,'2019'!$I$24:$I$106,B18)+COUNTIFS('2020'!$L$24:$L$106,A18&amp;" / "&amp;B18,'2020'!$I$24:$I$106,B18)+COUNTIFS('2021'!$L$24:$L$112,A18&amp;" / "&amp;B18,'2021'!$I$24:$I$112,B18)+COUNTIFS('2022'!$L$24:$L$112,A18&amp;" / "&amp;B18,'2022'!$I$24:$I$112,B18)+COUNTIFS('2023'!$L$24:$L$112,A18&amp;" / "&amp;B18,'2023'!$I$24:$I$112,B18)+COUNTIFS('2024'!$L$24:$L$112,A18&amp;" / "&amp;B18,'2024'!$I$24:$I$112,B18)+COUNTIFS('2025'!$L$24:$L$112,A18&amp;" / "&amp;B18,'2025'!$I$24:$I$112,B18)</x:f>
        <x:v>4</x:v>
      </x:c>
      <x:c r="F18" s="2" t="n">
        <x:f>COUNTIFS('2015'!$L$24:$L$96,A18&amp;" / "&amp;B18,'2015'!$K$24:$K$96,1)+COUNTIFS('2016'!$L$24:$L$96,A18&amp;" / "&amp;B18,'2016'!$K$24:$K$96,1)+COUNTIFS('2017'!$L$24:$L$106,A18&amp;" / "&amp;B18,'2017'!$K$24:$K$106,1)+COUNTIFS('2018'!$L$24:$L$106,A18&amp;" / "&amp;B18,'2018'!$K$24:$K$106,1)+COUNTIFS('2019'!$L$24:$L$106,A18&amp;" / "&amp;B18,'2019'!$K$24:$K$106,1)+COUNTIFS('2020'!$L$24:$L$106,A18&amp;" / "&amp;B18,'2020'!$K$24:$K$106,1)+COUNTIFS('2021'!$L$24:$L$112,A18&amp;" / "&amp;B18,'2021'!$K$24:$K$112,1)+COUNTIFS('2022'!$L$24:$L$112,A18&amp;" / "&amp;B18,'2022'!$K$24:$K$112,1)+COUNTIFS('2023'!$L$24:$L$112,A18&amp;" / "&amp;B18,'2023'!$K$24:$K$112,1)+COUNTIFS('2024'!$L$24:$L$112,A18&amp;" / "&amp;B18,'2024'!$K$24:$K$112,1)+COUNTIFS('2025'!$L$24:$L$112,A18&amp;" / "&amp;B18,'2025'!$K$24:$K$112,1)</x:f>
        <x:v>0</x:v>
      </x:c>
      <x:c r="G18" s="25" t="n">
        <x:f>SUMIFS('2015'!$E$24:$E$96,'2015'!$L$24:$L$96,A18&amp;" / "&amp;B18,'2015'!$C$24:$C$96,A18)+SUMIFS('2015'!$H$24:$H$96,'2015'!$L$24:$L$96,A18&amp;" / "&amp;B18,'2015'!$F$24:$F$96,A18)+SUMIFS('2016'!$E$24:$E$96,'2016'!$L$24:$L$96,A18&amp;" / "&amp;B18,'2016'!$C$24:$C$96,A18)+SUMIFS('2016'!$H$24:$H$96,'2016'!$L$24:$L$96,A18&amp;" / "&amp;B18,'2016'!$F$24:$F$96,A18)+SUMIFS('2017'!$E$24:$E$106,'2017'!$L$24:$L$106,A18&amp;" / "&amp;B18,'2017'!$C$24:$C$106,A18)+SUMIFS('2017'!$H$24:$H$106,'2017'!$L$24:$L$106,A18&amp;" / "&amp;B18,'2017'!$F$24:$F$106,A18)+SUMIFS('2018'!$E$24:$E$106,'2018'!$L$24:$L$106,A18&amp;" / "&amp;B18,'2018'!$C$24:$C$106,A18)+SUMIFS('2018'!$H$24:$H$106,'2018'!$L$24:$L$106,A18&amp;" / "&amp;B18,'2018'!$F$24:$F$106,A18)+SUMIFS('2019'!$E$24:$E$106,'2019'!$L$24:$L$106,A18&amp;" / "&amp;B18,'2019'!$C$24:$C$106,A18)+SUMIFS('2019'!$H$24:$H$106,'2019'!$L$24:$L$106,A18&amp;" / "&amp;B18,'2019'!$F$24:$F$106,A18)+SUMIFS('2020'!$E$24:$E$106,'2020'!$L$24:$L$106,A18&amp;" / "&amp;B18,'2020'!$C$24:$C$106,A18)+SUMIFS('2020'!$H$24:$H$106,'2020'!$L$24:$L$106,A18&amp;" / "&amp;B18,'2020'!$F$24:$F$106,A18)+SUMIFS('2021'!$E$24:$E$112,'2021'!$L$24:$L$112,A18&amp;" / "&amp;B18,'2021'!$C$24:$C$112,A18)+SUMIFS('2021'!$H$24:$H$112,'2021'!$L$24:$L$112,A18&amp;" / "&amp;B18,'2021'!$F$24:$F$112,A18)+SUMIFS('2022'!$E$24:$E$112,'2022'!$L$24:$L$112,A18&amp;" / "&amp;B18,'2022'!$C$24:$C$112,A18)+SUMIFS('2022'!$H$24:$H$112,'2022'!$L$24:$L$112,A18&amp;" / "&amp;B18,'2022'!$F$24:$F$112,A18)+SUMIFS('2023'!$E$24:$E$112,'2023'!$L$24:$L$112,A18&amp;" / "&amp;B18,'2023'!$C$24:$C$112,A18)+SUMIFS('2023'!$H$24:$H$112,'2023'!$L$24:$L$112,A18&amp;" / "&amp;B18,'2023'!$F$24:$F$112,A18)+SUMIFS('2024'!$E$24:$E$112,'2024'!$L$24:$L$112,A18&amp;" / "&amp;B18,'2024'!$C$24:$C$112,A18)+SUMIFS('2024'!$H$24:$H$112,'2024'!$L$24:$L$112,A18&amp;" / "&amp;B18,'2024'!$F$24:$F$112,A18)+SUMIFS('2025'!$E$24:$E$112,'2025'!$L$24:$L$112,A18&amp;" / "&amp;B18,'2025'!$C$24:$C$112,A18)+SUMIFS('2025'!$H$24:$H$112,'2025'!$L$24:$L$112,A18&amp;" / "&amp;B18,'2025'!$F$24:$F$112,A18)</x:f>
        <x:v>879</x:v>
      </x:c>
      <x:c r="H18" s="25" t="n">
        <x:f>SUMIFS('2015'!$E$24:$E$96,'2015'!$L$24:$L$96,A18&amp;" / "&amp;B18,'2015'!$C$24:$C$96,B18)+SUMIFS('2015'!$H$24:$H$96,'2015'!$L$24:$L$96,A18&amp;" / "&amp;B18,'2015'!$F$24:$F$96,B18)+SUMIFS('2016'!$E$24:$E$96,'2016'!$L$24:$L$96,A18&amp;" / "&amp;B18,'2016'!$C$24:$C$96,B18)+SUMIFS('2016'!$H$24:$H$96,'2016'!$L$24:$L$96,A18&amp;" / "&amp;B18,'2016'!$F$24:$F$96,B18)+SUMIFS('2017'!$E$24:$E$106,'2017'!$L$24:$L$106,A18&amp;" / "&amp;B18,'2017'!$C$24:$C$106,B18)+SUMIFS('2017'!$H$24:$H$106,'2017'!$L$24:$L$106,A18&amp;" / "&amp;B18,'2017'!$F$24:$F$106,B18)+SUMIFS('2018'!$E$24:$E$106,'2018'!$L$24:$L$106,A18&amp;" / "&amp;B18,'2018'!$C$24:$C$106,B18)+SUMIFS('2018'!$H$24:$H$106,'2018'!$L$24:$L$106,A18&amp;" / "&amp;B18,'2018'!$F$24:$F$106,B18)+SUMIFS('2019'!$E$24:$E$106,'2019'!$L$24:$L$106,A18&amp;" / "&amp;B18,'2019'!$C$24:$C$106,B18)+SUMIFS('2019'!$H$24:$H$106,'2019'!$L$24:$L$106,A18&amp;" / "&amp;B18,'2019'!$F$24:$F$106,B18)+SUMIFS('2020'!$E$24:$E$106,'2020'!$L$24:$L$106,A18&amp;" / "&amp;B18,'2020'!$C$24:$C$106,B18)+SUMIFS('2020'!$H$24:$H$106,'2020'!$L$24:$L$106,A18&amp;" / "&amp;B18,'2020'!$F$24:$F$106,B18)+SUMIFS('2021'!$E$24:$E$112,'2021'!$L$24:$L$112,A18&amp;" / "&amp;B18,'2021'!$C$24:$C$112,B18)+SUMIFS('2021'!$H$24:$H$112,'2021'!$L$24:$L$112,A18&amp;" / "&amp;B18,'2021'!$F$24:$F$112,B18)+SUMIFS('2022'!$E$24:$E$112,'2022'!$L$24:$L$112,A18&amp;" / "&amp;B18,'2022'!$C$24:$C$112,B18)+SUMIFS('2022'!$H$24:$H$112,'2022'!$L$24:$L$112,A18&amp;" / "&amp;B18,'2022'!$F$24:$F$112,B18)+SUMIFS('2023'!$E$24:$E$112,'2023'!$L$24:$L$112,A18&amp;" / "&amp;B18,'2023'!$C$24:$C$112,B18)+SUMIFS('2023'!$H$24:$H$112,'2023'!$L$24:$L$112,A18&amp;" / "&amp;B18,'2023'!$F$24:$F$112,B18)+SUMIFS('2024'!$E$24:$E$112,'2024'!$L$24:$L$112,A18&amp;" / "&amp;B18,'2024'!$C$24:$C$112,B18)+SUMIFS('2024'!$H$24:$H$112,'2024'!$L$24:$L$112,A18&amp;" / "&amp;B18,'2024'!$F$24:$F$112,B18)+SUMIFS('2025'!$E$24:$E$112,'2025'!$L$24:$L$112,A18&amp;" / "&amp;B18,'2025'!$C$24:$C$112,B18)+SUMIFS('2025'!$H$24:$H$112,'2025'!$L$24:$L$112,A18&amp;" / "&amp;B18,'2025'!$F$24:$F$112,B18)</x:f>
        <x:v>957</x:v>
      </x:c>
      <x:c r="I18" s="11" t="n">
        <x:f>IF(C18=0,0,(D18+0.5*F18)/C18)</x:f>
        <x:v>0.42857142857142855</x:v>
      </x:c>
      <x:c r="J18" s="2" t="n">
        <x:f>COUNTIFS('2015'!$L$24:$L$96,A18&amp;" / "&amp;B18,'2015'!$B$24:$B$96,"Regular")+COUNTIFS('2016'!$L$24:$L$96,A18&amp;" / "&amp;B18,'2016'!$B$24:$B$96,"Regular")+COUNTIFS('2017'!$L$24:$L$106,A18&amp;" / "&amp;B18,'2017'!$B$24:$B$106,"Regular")+COUNTIFS('2018'!$L$24:$L$106,A18&amp;" / "&amp;B18,'2018'!$B$24:$B$106,"Regular")+COUNTIFS('2019'!$L$24:$L$106,A18&amp;" / "&amp;B18,'2019'!$B$24:$B$106,"Regular")+COUNTIFS('2020'!$L$24:$L$106,A18&amp;" / "&amp;B18,'2020'!$B$24:$B$106,"Regular")+COUNTIFS('2021'!$L$24:$L$112,A18&amp;" / "&amp;B18,'2021'!$B$24:$B$112,"Regular")+COUNTIFS('2022'!$L$24:$L$112,A18&amp;" / "&amp;B18,'2022'!$B$24:$B$112,"Regular")+COUNTIFS('2023'!$L$24:$L$112,A18&amp;" / "&amp;B18,'2023'!$B$24:$B$112,"Regular")+COUNTIFS('2024'!$L$24:$L$112,A18&amp;" / "&amp;B18,'2024'!$B$24:$B$112,"Regular")+COUNTIFS('2025'!$L$24:$L$112,A18&amp;" / "&amp;B18,'2025'!$B$24:$B$112,"Regular")</x:f>
        <x:v>7</x:v>
      </x:c>
      <x:c r="K18" s="2" t="n">
        <x:f>COUNTIFS('2015'!$L$24:$L$96,A18&amp;" / "&amp;B18,'2015'!$B$24:$B$96,"Playoffs")+COUNTIFS('2016'!$L$24:$L$96,A18&amp;" / "&amp;B18,'2016'!$B$24:$B$96,"Playoffs")+COUNTIFS('2017'!$L$24:$L$106,A18&amp;" / "&amp;B18,'2017'!$B$24:$B$106,"Playoffs")+COUNTIFS('2018'!$L$24:$L$106,A18&amp;" / "&amp;B18,'2018'!$B$24:$B$106,"Playoffs")+COUNTIFS('2019'!$L$24:$L$106,A18&amp;" / "&amp;B18,'2019'!$B$24:$B$106,"Playoffs")+COUNTIFS('2020'!$L$24:$L$106,A18&amp;" / "&amp;B18,'2020'!$B$24:$B$106,"Playoffs")+COUNTIFS('2021'!$L$24:$L$112,A18&amp;" / "&amp;B18,'2021'!$B$24:$B$112,"Playoffs")+COUNTIFS('2022'!$L$24:$L$112,A18&amp;" / "&amp;B18,'2022'!$B$24:$B$112,"Playoffs")+COUNTIFS('2023'!$L$24:$L$112,A18&amp;" / "&amp;B18,'2023'!$B$24:$B$112,"Playoffs")+COUNTIFS('2024'!$L$24:$L$112,A18&amp;" / "&amp;B18,'2024'!$B$24:$B$112,"Playoffs")+COUNTIFS('2025'!$L$24:$L$112,A18&amp;" / "&amp;B18,'2025'!$B$24:$B$112,"Playoffs")</x:f>
        <x:v>0</x:v>
      </x:c>
      <x:c r="L18" s="2" t="n">
        <x:f>COUNTIFS('2015'!$L$24:$L$96,A18&amp;" / "&amp;B18,'2015'!$B$24:$B$96,"Unconfirmed")+COUNTIFS('2016'!$L$24:$L$96,A18&amp;" / "&amp;B18,'2016'!$B$24:$B$96,"Unconfirmed")+COUNTIFS('2017'!$L$24:$L$106,A18&amp;" / "&amp;B18,'2017'!$B$24:$B$106,"Unconfirmed")+COUNTIFS('2018'!$L$24:$L$106,A18&amp;" / "&amp;B18,'2018'!$B$24:$B$106,"Unconfirmed")+COUNTIFS('2019'!$L$24:$L$106,A18&amp;" / "&amp;B18,'2019'!$B$24:$B$106,"Unconfirmed")+COUNTIFS('2020'!$L$24:$L$106,A18&amp;" / "&amp;B18,'2020'!$B$24:$B$106,"Unconfirmed")+COUNTIFS('2021'!$L$24:$L$112,A18&amp;" / "&amp;B18,'2021'!$B$24:$B$112,"Unconfirmed")+COUNTIFS('2022'!$L$24:$L$112,A18&amp;" / "&amp;B18,'2022'!$B$24:$B$112,"Unconfirmed")+COUNTIFS('2023'!$L$24:$L$112,A18&amp;" / "&amp;B18,'2023'!$B$24:$B$112,"Unconfirmed")+COUNTIFS('2024'!$L$24:$L$112,A18&amp;" / "&amp;B18,'2024'!$B$24:$B$112,"Unconfirmed")+COUNTIFS('2025'!$L$24:$L$112,A18&amp;" / "&amp;B18,'2025'!$B$24:$B$112,"Unconfirmed")</x:f>
        <x:v>0</x:v>
      </x:c>
    </x:row>
    <x:row r="19" ht="22" customHeight="1">
      <x:c r="A19" s="2" t="str">
        <x:v>Ben</x:v>
      </x:c>
      <x:c r="B19" s="2" t="str">
        <x:v>Chas</x:v>
      </x:c>
      <x:c r="C19" s="2" t="n">
        <x:f>COUNTIFS('2015'!$L$24:$L$96,A19&amp;" / "&amp;B19)+COUNTIFS('2016'!$L$24:$L$96,A19&amp;" / "&amp;B19)+COUNTIFS('2017'!$L$24:$L$106,A19&amp;" / "&amp;B19)+COUNTIFS('2018'!$L$24:$L$106,A19&amp;" / "&amp;B19)+COUNTIFS('2019'!$L$24:$L$106,A19&amp;" / "&amp;B19)+COUNTIFS('2020'!$L$24:$L$106,A19&amp;" / "&amp;B19)+COUNTIFS('2021'!$L$24:$L$112,A19&amp;" / "&amp;B19)+COUNTIFS('2022'!$L$24:$L$112,A19&amp;" / "&amp;B19)+COUNTIFS('2023'!$L$24:$L$112,A19&amp;" / "&amp;B19)+COUNTIFS('2024'!$L$24:$L$112,A19&amp;" / "&amp;B19)+COUNTIFS('2025'!$L$24:$L$112,A19&amp;" / "&amp;B19)</x:f>
        <x:v>1</x:v>
      </x:c>
      <x:c r="D19" s="2" t="n">
        <x:f>COUNTIFS('2015'!$L$24:$L$96,A19&amp;" / "&amp;B19,'2015'!$I$24:$I$96,A19)+COUNTIFS('2016'!$L$24:$L$96,A19&amp;" / "&amp;B19,'2016'!$I$24:$I$96,A19)+COUNTIFS('2017'!$L$24:$L$106,A19&amp;" / "&amp;B19,'2017'!$I$24:$I$106,A19)+COUNTIFS('2018'!$L$24:$L$106,A19&amp;" / "&amp;B19,'2018'!$I$24:$I$106,A19)+COUNTIFS('2019'!$L$24:$L$106,A19&amp;" / "&amp;B19,'2019'!$I$24:$I$106,A19)+COUNTIFS('2020'!$L$24:$L$106,A19&amp;" / "&amp;B19,'2020'!$I$24:$I$106,A19)+COUNTIFS('2021'!$L$24:$L$112,A19&amp;" / "&amp;B19,'2021'!$I$24:$I$112,A19)+COUNTIFS('2022'!$L$24:$L$112,A19&amp;" / "&amp;B19,'2022'!$I$24:$I$112,A19)+COUNTIFS('2023'!$L$24:$L$112,A19&amp;" / "&amp;B19,'2023'!$I$24:$I$112,A19)+COUNTIFS('2024'!$L$24:$L$112,A19&amp;" / "&amp;B19,'2024'!$I$24:$I$112,A19)+COUNTIFS('2025'!$L$24:$L$112,A19&amp;" / "&amp;B19,'2025'!$I$24:$I$112,A19)</x:f>
        <x:v>1</x:v>
      </x:c>
      <x:c r="E19" s="2" t="n">
        <x:f>COUNTIFS('2015'!$L$24:$L$96,A19&amp;" / "&amp;B19,'2015'!$I$24:$I$96,B19)+COUNTIFS('2016'!$L$24:$L$96,A19&amp;" / "&amp;B19,'2016'!$I$24:$I$96,B19)+COUNTIFS('2017'!$L$24:$L$106,A19&amp;" / "&amp;B19,'2017'!$I$24:$I$106,B19)+COUNTIFS('2018'!$L$24:$L$106,A19&amp;" / "&amp;B19,'2018'!$I$24:$I$106,B19)+COUNTIFS('2019'!$L$24:$L$106,A19&amp;" / "&amp;B19,'2019'!$I$24:$I$106,B19)+COUNTIFS('2020'!$L$24:$L$106,A19&amp;" / "&amp;B19,'2020'!$I$24:$I$106,B19)+COUNTIFS('2021'!$L$24:$L$112,A19&amp;" / "&amp;B19,'2021'!$I$24:$I$112,B19)+COUNTIFS('2022'!$L$24:$L$112,A19&amp;" / "&amp;B19,'2022'!$I$24:$I$112,B19)+COUNTIFS('2023'!$L$24:$L$112,A19&amp;" / "&amp;B19,'2023'!$I$24:$I$112,B19)+COUNTIFS('2024'!$L$24:$L$112,A19&amp;" / "&amp;B19,'2024'!$I$24:$I$112,B19)+COUNTIFS('2025'!$L$24:$L$112,A19&amp;" / "&amp;B19,'2025'!$I$24:$I$112,B19)</x:f>
        <x:v>0</x:v>
      </x:c>
      <x:c r="F19" s="2" t="n">
        <x:f>COUNTIFS('2015'!$L$24:$L$96,A19&amp;" / "&amp;B19,'2015'!$K$24:$K$96,1)+COUNTIFS('2016'!$L$24:$L$96,A19&amp;" / "&amp;B19,'2016'!$K$24:$K$96,1)+COUNTIFS('2017'!$L$24:$L$106,A19&amp;" / "&amp;B19,'2017'!$K$24:$K$106,1)+COUNTIFS('2018'!$L$24:$L$106,A19&amp;" / "&amp;B19,'2018'!$K$24:$K$106,1)+COUNTIFS('2019'!$L$24:$L$106,A19&amp;" / "&amp;B19,'2019'!$K$24:$K$106,1)+COUNTIFS('2020'!$L$24:$L$106,A19&amp;" / "&amp;B19,'2020'!$K$24:$K$106,1)+COUNTIFS('2021'!$L$24:$L$112,A19&amp;" / "&amp;B19,'2021'!$K$24:$K$112,1)+COUNTIFS('2022'!$L$24:$L$112,A19&amp;" / "&amp;B19,'2022'!$K$24:$K$112,1)+COUNTIFS('2023'!$L$24:$L$112,A19&amp;" / "&amp;B19,'2023'!$K$24:$K$112,1)+COUNTIFS('2024'!$L$24:$L$112,A19&amp;" / "&amp;B19,'2024'!$K$24:$K$112,1)+COUNTIFS('2025'!$L$24:$L$112,A19&amp;" / "&amp;B19,'2025'!$K$24:$K$112,1)</x:f>
        <x:v>0</x:v>
      </x:c>
      <x:c r="G19" s="25" t="n">
        <x:f>SUMIFS('2015'!$E$24:$E$96,'2015'!$L$24:$L$96,A19&amp;" / "&amp;B19,'2015'!$C$24:$C$96,A19)+SUMIFS('2015'!$H$24:$H$96,'2015'!$L$24:$L$96,A19&amp;" / "&amp;B19,'2015'!$F$24:$F$96,A19)+SUMIFS('2016'!$E$24:$E$96,'2016'!$L$24:$L$96,A19&amp;" / "&amp;B19,'2016'!$C$24:$C$96,A19)+SUMIFS('2016'!$H$24:$H$96,'2016'!$L$24:$L$96,A19&amp;" / "&amp;B19,'2016'!$F$24:$F$96,A19)+SUMIFS('2017'!$E$24:$E$106,'2017'!$L$24:$L$106,A19&amp;" / "&amp;B19,'2017'!$C$24:$C$106,A19)+SUMIFS('2017'!$H$24:$H$106,'2017'!$L$24:$L$106,A19&amp;" / "&amp;B19,'2017'!$F$24:$F$106,A19)+SUMIFS('2018'!$E$24:$E$106,'2018'!$L$24:$L$106,A19&amp;" / "&amp;B19,'2018'!$C$24:$C$106,A19)+SUMIFS('2018'!$H$24:$H$106,'2018'!$L$24:$L$106,A19&amp;" / "&amp;B19,'2018'!$F$24:$F$106,A19)+SUMIFS('2019'!$E$24:$E$106,'2019'!$L$24:$L$106,A19&amp;" / "&amp;B19,'2019'!$C$24:$C$106,A19)+SUMIFS('2019'!$H$24:$H$106,'2019'!$L$24:$L$106,A19&amp;" / "&amp;B19,'2019'!$F$24:$F$106,A19)+SUMIFS('2020'!$E$24:$E$106,'2020'!$L$24:$L$106,A19&amp;" / "&amp;B19,'2020'!$C$24:$C$106,A19)+SUMIFS('2020'!$H$24:$H$106,'2020'!$L$24:$L$106,A19&amp;" / "&amp;B19,'2020'!$F$24:$F$106,A19)+SUMIFS('2021'!$E$24:$E$112,'2021'!$L$24:$L$112,A19&amp;" / "&amp;B19,'2021'!$C$24:$C$112,A19)+SUMIFS('2021'!$H$24:$H$112,'2021'!$L$24:$L$112,A19&amp;" / "&amp;B19,'2021'!$F$24:$F$112,A19)+SUMIFS('2022'!$E$24:$E$112,'2022'!$L$24:$L$112,A19&amp;" / "&amp;B19,'2022'!$C$24:$C$112,A19)+SUMIFS('2022'!$H$24:$H$112,'2022'!$L$24:$L$112,A19&amp;" / "&amp;B19,'2022'!$F$24:$F$112,A19)+SUMIFS('2023'!$E$24:$E$112,'2023'!$L$24:$L$112,A19&amp;" / "&amp;B19,'2023'!$C$24:$C$112,A19)+SUMIFS('2023'!$H$24:$H$112,'2023'!$L$24:$L$112,A19&amp;" / "&amp;B19,'2023'!$F$24:$F$112,A19)+SUMIFS('2024'!$E$24:$E$112,'2024'!$L$24:$L$112,A19&amp;" / "&amp;B19,'2024'!$C$24:$C$112,A19)+SUMIFS('2024'!$H$24:$H$112,'2024'!$L$24:$L$112,A19&amp;" / "&amp;B19,'2024'!$F$24:$F$112,A19)+SUMIFS('2025'!$E$24:$E$112,'2025'!$L$24:$L$112,A19&amp;" / "&amp;B19,'2025'!$C$24:$C$112,A19)+SUMIFS('2025'!$H$24:$H$112,'2025'!$L$24:$L$112,A19&amp;" / "&amp;B19,'2025'!$F$24:$F$112,A19)</x:f>
        <x:v>190</x:v>
      </x:c>
      <x:c r="H19" s="25" t="n">
        <x:f>SUMIFS('2015'!$E$24:$E$96,'2015'!$L$24:$L$96,A19&amp;" / "&amp;B19,'2015'!$C$24:$C$96,B19)+SUMIFS('2015'!$H$24:$H$96,'2015'!$L$24:$L$96,A19&amp;" / "&amp;B19,'2015'!$F$24:$F$96,B19)+SUMIFS('2016'!$E$24:$E$96,'2016'!$L$24:$L$96,A19&amp;" / "&amp;B19,'2016'!$C$24:$C$96,B19)+SUMIFS('2016'!$H$24:$H$96,'2016'!$L$24:$L$96,A19&amp;" / "&amp;B19,'2016'!$F$24:$F$96,B19)+SUMIFS('2017'!$E$24:$E$106,'2017'!$L$24:$L$106,A19&amp;" / "&amp;B19,'2017'!$C$24:$C$106,B19)+SUMIFS('2017'!$H$24:$H$106,'2017'!$L$24:$L$106,A19&amp;" / "&amp;B19,'2017'!$F$24:$F$106,B19)+SUMIFS('2018'!$E$24:$E$106,'2018'!$L$24:$L$106,A19&amp;" / "&amp;B19,'2018'!$C$24:$C$106,B19)+SUMIFS('2018'!$H$24:$H$106,'2018'!$L$24:$L$106,A19&amp;" / "&amp;B19,'2018'!$F$24:$F$106,B19)+SUMIFS('2019'!$E$24:$E$106,'2019'!$L$24:$L$106,A19&amp;" / "&amp;B19,'2019'!$C$24:$C$106,B19)+SUMIFS('2019'!$H$24:$H$106,'2019'!$L$24:$L$106,A19&amp;" / "&amp;B19,'2019'!$F$24:$F$106,B19)+SUMIFS('2020'!$E$24:$E$106,'2020'!$L$24:$L$106,A19&amp;" / "&amp;B19,'2020'!$C$24:$C$106,B19)+SUMIFS('2020'!$H$24:$H$106,'2020'!$L$24:$L$106,A19&amp;" / "&amp;B19,'2020'!$F$24:$F$106,B19)+SUMIFS('2021'!$E$24:$E$112,'2021'!$L$24:$L$112,A19&amp;" / "&amp;B19,'2021'!$C$24:$C$112,B19)+SUMIFS('2021'!$H$24:$H$112,'2021'!$L$24:$L$112,A19&amp;" / "&amp;B19,'2021'!$F$24:$F$112,B19)+SUMIFS('2022'!$E$24:$E$112,'2022'!$L$24:$L$112,A19&amp;" / "&amp;B19,'2022'!$C$24:$C$112,B19)+SUMIFS('2022'!$H$24:$H$112,'2022'!$L$24:$L$112,A19&amp;" / "&amp;B19,'2022'!$F$24:$F$112,B19)+SUMIFS('2023'!$E$24:$E$112,'2023'!$L$24:$L$112,A19&amp;" / "&amp;B19,'2023'!$C$24:$C$112,B19)+SUMIFS('2023'!$H$24:$H$112,'2023'!$L$24:$L$112,A19&amp;" / "&amp;B19,'2023'!$F$24:$F$112,B19)+SUMIFS('2024'!$E$24:$E$112,'2024'!$L$24:$L$112,A19&amp;" / "&amp;B19,'2024'!$C$24:$C$112,B19)+SUMIFS('2024'!$H$24:$H$112,'2024'!$L$24:$L$112,A19&amp;" / "&amp;B19,'2024'!$F$24:$F$112,B19)+SUMIFS('2025'!$E$24:$E$112,'2025'!$L$24:$L$112,A19&amp;" / "&amp;B19,'2025'!$C$24:$C$112,B19)+SUMIFS('2025'!$H$24:$H$112,'2025'!$L$24:$L$112,A19&amp;" / "&amp;B19,'2025'!$F$24:$F$112,B19)</x:f>
        <x:v>88</x:v>
      </x:c>
      <x:c r="I19" s="11" t="n">
        <x:f>IF(C19=0,0,(D19+0.5*F19)/C19)</x:f>
        <x:v>1</x:v>
      </x:c>
      <x:c r="J19" s="2" t="n">
        <x:f>COUNTIFS('2015'!$L$24:$L$96,A19&amp;" / "&amp;B19,'2015'!$B$24:$B$96,"Regular")+COUNTIFS('2016'!$L$24:$L$96,A19&amp;" / "&amp;B19,'2016'!$B$24:$B$96,"Regular")+COUNTIFS('2017'!$L$24:$L$106,A19&amp;" / "&amp;B19,'2017'!$B$24:$B$106,"Regular")+COUNTIFS('2018'!$L$24:$L$106,A19&amp;" / "&amp;B19,'2018'!$B$24:$B$106,"Regular")+COUNTIFS('2019'!$L$24:$L$106,A19&amp;" / "&amp;B19,'2019'!$B$24:$B$106,"Regular")+COUNTIFS('2020'!$L$24:$L$106,A19&amp;" / "&amp;B19,'2020'!$B$24:$B$106,"Regular")+COUNTIFS('2021'!$L$24:$L$112,A19&amp;" / "&amp;B19,'2021'!$B$24:$B$112,"Regular")+COUNTIFS('2022'!$L$24:$L$112,A19&amp;" / "&amp;B19,'2022'!$B$24:$B$112,"Regular")+COUNTIFS('2023'!$L$24:$L$112,A19&amp;" / "&amp;B19,'2023'!$B$24:$B$112,"Regular")+COUNTIFS('2024'!$L$24:$L$112,A19&amp;" / "&amp;B19,'2024'!$B$24:$B$112,"Regular")+COUNTIFS('2025'!$L$24:$L$112,A19&amp;" / "&amp;B19,'2025'!$B$24:$B$112,"Regular")</x:f>
        <x:v>1</x:v>
      </x:c>
      <x:c r="K19" s="2" t="n">
        <x:f>COUNTIFS('2015'!$L$24:$L$96,A19&amp;" / "&amp;B19,'2015'!$B$24:$B$96,"Playoffs")+COUNTIFS('2016'!$L$24:$L$96,A19&amp;" / "&amp;B19,'2016'!$B$24:$B$96,"Playoffs")+COUNTIFS('2017'!$L$24:$L$106,A19&amp;" / "&amp;B19,'2017'!$B$24:$B$106,"Playoffs")+COUNTIFS('2018'!$L$24:$L$106,A19&amp;" / "&amp;B19,'2018'!$B$24:$B$106,"Playoffs")+COUNTIFS('2019'!$L$24:$L$106,A19&amp;" / "&amp;B19,'2019'!$B$24:$B$106,"Playoffs")+COUNTIFS('2020'!$L$24:$L$106,A19&amp;" / "&amp;B19,'2020'!$B$24:$B$106,"Playoffs")+COUNTIFS('2021'!$L$24:$L$112,A19&amp;" / "&amp;B19,'2021'!$B$24:$B$112,"Playoffs")+COUNTIFS('2022'!$L$24:$L$112,A19&amp;" / "&amp;B19,'2022'!$B$24:$B$112,"Playoffs")+COUNTIFS('2023'!$L$24:$L$112,A19&amp;" / "&amp;B19,'2023'!$B$24:$B$112,"Playoffs")+COUNTIFS('2024'!$L$24:$L$112,A19&amp;" / "&amp;B19,'2024'!$B$24:$B$112,"Playoffs")+COUNTIFS('2025'!$L$24:$L$112,A19&amp;" / "&amp;B19,'2025'!$B$24:$B$112,"Playoffs")</x:f>
        <x:v>0</x:v>
      </x:c>
      <x:c r="L19" s="2" t="n">
        <x:f>COUNTIFS('2015'!$L$24:$L$96,A19&amp;" / "&amp;B19,'2015'!$B$24:$B$96,"Unconfirmed")+COUNTIFS('2016'!$L$24:$L$96,A19&amp;" / "&amp;B19,'2016'!$B$24:$B$96,"Unconfirmed")+COUNTIFS('2017'!$L$24:$L$106,A19&amp;" / "&amp;B19,'2017'!$B$24:$B$106,"Unconfirmed")+COUNTIFS('2018'!$L$24:$L$106,A19&amp;" / "&amp;B19,'2018'!$B$24:$B$106,"Unconfirmed")+COUNTIFS('2019'!$L$24:$L$106,A19&amp;" / "&amp;B19,'2019'!$B$24:$B$106,"Unconfirmed")+COUNTIFS('2020'!$L$24:$L$106,A19&amp;" / "&amp;B19,'2020'!$B$24:$B$106,"Unconfirmed")+COUNTIFS('2021'!$L$24:$L$112,A19&amp;" / "&amp;B19,'2021'!$B$24:$B$112,"Unconfirmed")+COUNTIFS('2022'!$L$24:$L$112,A19&amp;" / "&amp;B19,'2022'!$B$24:$B$112,"Unconfirmed")+COUNTIFS('2023'!$L$24:$L$112,A19&amp;" / "&amp;B19,'2023'!$B$24:$B$112,"Unconfirmed")+COUNTIFS('2024'!$L$24:$L$112,A19&amp;" / "&amp;B19,'2024'!$B$24:$B$112,"Unconfirmed")+COUNTIFS('2025'!$L$24:$L$112,A19&amp;" / "&amp;B19,'2025'!$B$24:$B$112,"Unconfirmed")</x:f>
        <x:v>0</x:v>
      </x:c>
    </x:row>
    <x:row r="20" ht="22" customHeight="1">
      <x:c r="A20" s="2" t="str">
        <x:v>Ben</x:v>
      </x:c>
      <x:c r="B20" s="2" t="str">
        <x:v>Craig</x:v>
      </x:c>
      <x:c r="C20" s="2" t="n">
        <x:f>COUNTIFS('2015'!$L$24:$L$96,A20&amp;" / "&amp;B20)+COUNTIFS('2016'!$L$24:$L$96,A20&amp;" / "&amp;B20)+COUNTIFS('2017'!$L$24:$L$106,A20&amp;" / "&amp;B20)+COUNTIFS('2018'!$L$24:$L$106,A20&amp;" / "&amp;B20)+COUNTIFS('2019'!$L$24:$L$106,A20&amp;" / "&amp;B20)+COUNTIFS('2020'!$L$24:$L$106,A20&amp;" / "&amp;B20)+COUNTIFS('2021'!$L$24:$L$112,A20&amp;" / "&amp;B20)+COUNTIFS('2022'!$L$24:$L$112,A20&amp;" / "&amp;B20)+COUNTIFS('2023'!$L$24:$L$112,A20&amp;" / "&amp;B20)+COUNTIFS('2024'!$L$24:$L$112,A20&amp;" / "&amp;B20)+COUNTIFS('2025'!$L$24:$L$112,A20&amp;" / "&amp;B20)</x:f>
        <x:v>6</x:v>
      </x:c>
      <x:c r="D20" s="2" t="n">
        <x:f>COUNTIFS('2015'!$L$24:$L$96,A20&amp;" / "&amp;B20,'2015'!$I$24:$I$96,A20)+COUNTIFS('2016'!$L$24:$L$96,A20&amp;" / "&amp;B20,'2016'!$I$24:$I$96,A20)+COUNTIFS('2017'!$L$24:$L$106,A20&amp;" / "&amp;B20,'2017'!$I$24:$I$106,A20)+COUNTIFS('2018'!$L$24:$L$106,A20&amp;" / "&amp;B20,'2018'!$I$24:$I$106,A20)+COUNTIFS('2019'!$L$24:$L$106,A20&amp;" / "&amp;B20,'2019'!$I$24:$I$106,A20)+COUNTIFS('2020'!$L$24:$L$106,A20&amp;" / "&amp;B20,'2020'!$I$24:$I$106,A20)+COUNTIFS('2021'!$L$24:$L$112,A20&amp;" / "&amp;B20,'2021'!$I$24:$I$112,A20)+COUNTIFS('2022'!$L$24:$L$112,A20&amp;" / "&amp;B20,'2022'!$I$24:$I$112,A20)+COUNTIFS('2023'!$L$24:$L$112,A20&amp;" / "&amp;B20,'2023'!$I$24:$I$112,A20)+COUNTIFS('2024'!$L$24:$L$112,A20&amp;" / "&amp;B20,'2024'!$I$24:$I$112,A20)+COUNTIFS('2025'!$L$24:$L$112,A20&amp;" / "&amp;B20,'2025'!$I$24:$I$112,A20)</x:f>
        <x:v>4</x:v>
      </x:c>
      <x:c r="E20" s="2" t="n">
        <x:f>COUNTIFS('2015'!$L$24:$L$96,A20&amp;" / "&amp;B20,'2015'!$I$24:$I$96,B20)+COUNTIFS('2016'!$L$24:$L$96,A20&amp;" / "&amp;B20,'2016'!$I$24:$I$96,B20)+COUNTIFS('2017'!$L$24:$L$106,A20&amp;" / "&amp;B20,'2017'!$I$24:$I$106,B20)+COUNTIFS('2018'!$L$24:$L$106,A20&amp;" / "&amp;B20,'2018'!$I$24:$I$106,B20)+COUNTIFS('2019'!$L$24:$L$106,A20&amp;" / "&amp;B20,'2019'!$I$24:$I$106,B20)+COUNTIFS('2020'!$L$24:$L$106,A20&amp;" / "&amp;B20,'2020'!$I$24:$I$106,B20)+COUNTIFS('2021'!$L$24:$L$112,A20&amp;" / "&amp;B20,'2021'!$I$24:$I$112,B20)+COUNTIFS('2022'!$L$24:$L$112,A20&amp;" / "&amp;B20,'2022'!$I$24:$I$112,B20)+COUNTIFS('2023'!$L$24:$L$112,A20&amp;" / "&amp;B20,'2023'!$I$24:$I$112,B20)+COUNTIFS('2024'!$L$24:$L$112,A20&amp;" / "&amp;B20,'2024'!$I$24:$I$112,B20)+COUNTIFS('2025'!$L$24:$L$112,A20&amp;" / "&amp;B20,'2025'!$I$24:$I$112,B20)</x:f>
        <x:v>2</x:v>
      </x:c>
      <x:c r="F20" s="2" t="n">
        <x:f>COUNTIFS('2015'!$L$24:$L$96,A20&amp;" / "&amp;B20,'2015'!$K$24:$K$96,1)+COUNTIFS('2016'!$L$24:$L$96,A20&amp;" / "&amp;B20,'2016'!$K$24:$K$96,1)+COUNTIFS('2017'!$L$24:$L$106,A20&amp;" / "&amp;B20,'2017'!$K$24:$K$106,1)+COUNTIFS('2018'!$L$24:$L$106,A20&amp;" / "&amp;B20,'2018'!$K$24:$K$106,1)+COUNTIFS('2019'!$L$24:$L$106,A20&amp;" / "&amp;B20,'2019'!$K$24:$K$106,1)+COUNTIFS('2020'!$L$24:$L$106,A20&amp;" / "&amp;B20,'2020'!$K$24:$K$106,1)+COUNTIFS('2021'!$L$24:$L$112,A20&amp;" / "&amp;B20,'2021'!$K$24:$K$112,1)+COUNTIFS('2022'!$L$24:$L$112,A20&amp;" / "&amp;B20,'2022'!$K$24:$K$112,1)+COUNTIFS('2023'!$L$24:$L$112,A20&amp;" / "&amp;B20,'2023'!$K$24:$K$112,1)+COUNTIFS('2024'!$L$24:$L$112,A20&amp;" / "&amp;B20,'2024'!$K$24:$K$112,1)+COUNTIFS('2025'!$L$24:$L$112,A20&amp;" / "&amp;B20,'2025'!$K$24:$K$112,1)</x:f>
        <x:v>0</x:v>
      </x:c>
      <x:c r="G20" s="25" t="n">
        <x:f>SUMIFS('2015'!$E$24:$E$96,'2015'!$L$24:$L$96,A20&amp;" / "&amp;B20,'2015'!$C$24:$C$96,A20)+SUMIFS('2015'!$H$24:$H$96,'2015'!$L$24:$L$96,A20&amp;" / "&amp;B20,'2015'!$F$24:$F$96,A20)+SUMIFS('2016'!$E$24:$E$96,'2016'!$L$24:$L$96,A20&amp;" / "&amp;B20,'2016'!$C$24:$C$96,A20)+SUMIFS('2016'!$H$24:$H$96,'2016'!$L$24:$L$96,A20&amp;" / "&amp;B20,'2016'!$F$24:$F$96,A20)+SUMIFS('2017'!$E$24:$E$106,'2017'!$L$24:$L$106,A20&amp;" / "&amp;B20,'2017'!$C$24:$C$106,A20)+SUMIFS('2017'!$H$24:$H$106,'2017'!$L$24:$L$106,A20&amp;" / "&amp;B20,'2017'!$F$24:$F$106,A20)+SUMIFS('2018'!$E$24:$E$106,'2018'!$L$24:$L$106,A20&amp;" / "&amp;B20,'2018'!$C$24:$C$106,A20)+SUMIFS('2018'!$H$24:$H$106,'2018'!$L$24:$L$106,A20&amp;" / "&amp;B20,'2018'!$F$24:$F$106,A20)+SUMIFS('2019'!$E$24:$E$106,'2019'!$L$24:$L$106,A20&amp;" / "&amp;B20,'2019'!$C$24:$C$106,A20)+SUMIFS('2019'!$H$24:$H$106,'2019'!$L$24:$L$106,A20&amp;" / "&amp;B20,'2019'!$F$24:$F$106,A20)+SUMIFS('2020'!$E$24:$E$106,'2020'!$L$24:$L$106,A20&amp;" / "&amp;B20,'2020'!$C$24:$C$106,A20)+SUMIFS('2020'!$H$24:$H$106,'2020'!$L$24:$L$106,A20&amp;" / "&amp;B20,'2020'!$F$24:$F$106,A20)+SUMIFS('2021'!$E$24:$E$112,'2021'!$L$24:$L$112,A20&amp;" / "&amp;B20,'2021'!$C$24:$C$112,A20)+SUMIFS('2021'!$H$24:$H$112,'2021'!$L$24:$L$112,A20&amp;" / "&amp;B20,'2021'!$F$24:$F$112,A20)+SUMIFS('2022'!$E$24:$E$112,'2022'!$L$24:$L$112,A20&amp;" / "&amp;B20,'2022'!$C$24:$C$112,A20)+SUMIFS('2022'!$H$24:$H$112,'2022'!$L$24:$L$112,A20&amp;" / "&amp;B20,'2022'!$F$24:$F$112,A20)+SUMIFS('2023'!$E$24:$E$112,'2023'!$L$24:$L$112,A20&amp;" / "&amp;B20,'2023'!$C$24:$C$112,A20)+SUMIFS('2023'!$H$24:$H$112,'2023'!$L$24:$L$112,A20&amp;" / "&amp;B20,'2023'!$F$24:$F$112,A20)+SUMIFS('2024'!$E$24:$E$112,'2024'!$L$24:$L$112,A20&amp;" / "&amp;B20,'2024'!$C$24:$C$112,A20)+SUMIFS('2024'!$H$24:$H$112,'2024'!$L$24:$L$112,A20&amp;" / "&amp;B20,'2024'!$F$24:$F$112,A20)+SUMIFS('2025'!$E$24:$E$112,'2025'!$L$24:$L$112,A20&amp;" / "&amp;B20,'2025'!$C$24:$C$112,A20)+SUMIFS('2025'!$H$24:$H$112,'2025'!$L$24:$L$112,A20&amp;" / "&amp;B20,'2025'!$F$24:$F$112,A20)</x:f>
        <x:v>710</x:v>
      </x:c>
      <x:c r="H20" s="25" t="n">
        <x:f>SUMIFS('2015'!$E$24:$E$96,'2015'!$L$24:$L$96,A20&amp;" / "&amp;B20,'2015'!$C$24:$C$96,B20)+SUMIFS('2015'!$H$24:$H$96,'2015'!$L$24:$L$96,A20&amp;" / "&amp;B20,'2015'!$F$24:$F$96,B20)+SUMIFS('2016'!$E$24:$E$96,'2016'!$L$24:$L$96,A20&amp;" / "&amp;B20,'2016'!$C$24:$C$96,B20)+SUMIFS('2016'!$H$24:$H$96,'2016'!$L$24:$L$96,A20&amp;" / "&amp;B20,'2016'!$F$24:$F$96,B20)+SUMIFS('2017'!$E$24:$E$106,'2017'!$L$24:$L$106,A20&amp;" / "&amp;B20,'2017'!$C$24:$C$106,B20)+SUMIFS('2017'!$H$24:$H$106,'2017'!$L$24:$L$106,A20&amp;" / "&amp;B20,'2017'!$F$24:$F$106,B20)+SUMIFS('2018'!$E$24:$E$106,'2018'!$L$24:$L$106,A20&amp;" / "&amp;B20,'2018'!$C$24:$C$106,B20)+SUMIFS('2018'!$H$24:$H$106,'2018'!$L$24:$L$106,A20&amp;" / "&amp;B20,'2018'!$F$24:$F$106,B20)+SUMIFS('2019'!$E$24:$E$106,'2019'!$L$24:$L$106,A20&amp;" / "&amp;B20,'2019'!$C$24:$C$106,B20)+SUMIFS('2019'!$H$24:$H$106,'2019'!$L$24:$L$106,A20&amp;" / "&amp;B20,'2019'!$F$24:$F$106,B20)+SUMIFS('2020'!$E$24:$E$106,'2020'!$L$24:$L$106,A20&amp;" / "&amp;B20,'2020'!$C$24:$C$106,B20)+SUMIFS('2020'!$H$24:$H$106,'2020'!$L$24:$L$106,A20&amp;" / "&amp;B20,'2020'!$F$24:$F$106,B20)+SUMIFS('2021'!$E$24:$E$112,'2021'!$L$24:$L$112,A20&amp;" / "&amp;B20,'2021'!$C$24:$C$112,B20)+SUMIFS('2021'!$H$24:$H$112,'2021'!$L$24:$L$112,A20&amp;" / "&amp;B20,'2021'!$F$24:$F$112,B20)+SUMIFS('2022'!$E$24:$E$112,'2022'!$L$24:$L$112,A20&amp;" / "&amp;B20,'2022'!$C$24:$C$112,B20)+SUMIFS('2022'!$H$24:$H$112,'2022'!$L$24:$L$112,A20&amp;" / "&amp;B20,'2022'!$F$24:$F$112,B20)+SUMIFS('2023'!$E$24:$E$112,'2023'!$L$24:$L$112,A20&amp;" / "&amp;B20,'2023'!$C$24:$C$112,B20)+SUMIFS('2023'!$H$24:$H$112,'2023'!$L$24:$L$112,A20&amp;" / "&amp;B20,'2023'!$F$24:$F$112,B20)+SUMIFS('2024'!$E$24:$E$112,'2024'!$L$24:$L$112,A20&amp;" / "&amp;B20,'2024'!$C$24:$C$112,B20)+SUMIFS('2024'!$H$24:$H$112,'2024'!$L$24:$L$112,A20&amp;" / "&amp;B20,'2024'!$F$24:$F$112,B20)+SUMIFS('2025'!$E$24:$E$112,'2025'!$L$24:$L$112,A20&amp;" / "&amp;B20,'2025'!$C$24:$C$112,B20)+SUMIFS('2025'!$H$24:$H$112,'2025'!$L$24:$L$112,A20&amp;" / "&amp;B20,'2025'!$F$24:$F$112,B20)</x:f>
        <x:v>694</x:v>
      </x:c>
      <x:c r="I20" s="11" t="n">
        <x:f>IF(C20=0,0,(D20+0.5*F20)/C20)</x:f>
        <x:v>0.6666666666666666</x:v>
      </x:c>
      <x:c r="J20" s="2" t="n">
        <x:f>COUNTIFS('2015'!$L$24:$L$96,A20&amp;" / "&amp;B20,'2015'!$B$24:$B$96,"Regular")+COUNTIFS('2016'!$L$24:$L$96,A20&amp;" / "&amp;B20,'2016'!$B$24:$B$96,"Regular")+COUNTIFS('2017'!$L$24:$L$106,A20&amp;" / "&amp;B20,'2017'!$B$24:$B$106,"Regular")+COUNTIFS('2018'!$L$24:$L$106,A20&amp;" / "&amp;B20,'2018'!$B$24:$B$106,"Regular")+COUNTIFS('2019'!$L$24:$L$106,A20&amp;" / "&amp;B20,'2019'!$B$24:$B$106,"Regular")+COUNTIFS('2020'!$L$24:$L$106,A20&amp;" / "&amp;B20,'2020'!$B$24:$B$106,"Regular")+COUNTIFS('2021'!$L$24:$L$112,A20&amp;" / "&amp;B20,'2021'!$B$24:$B$112,"Regular")+COUNTIFS('2022'!$L$24:$L$112,A20&amp;" / "&amp;B20,'2022'!$B$24:$B$112,"Regular")+COUNTIFS('2023'!$L$24:$L$112,A20&amp;" / "&amp;B20,'2023'!$B$24:$B$112,"Regular")+COUNTIFS('2024'!$L$24:$L$112,A20&amp;" / "&amp;B20,'2024'!$B$24:$B$112,"Regular")+COUNTIFS('2025'!$L$24:$L$112,A20&amp;" / "&amp;B20,'2025'!$B$24:$B$112,"Regular")</x:f>
        <x:v>6</x:v>
      </x:c>
      <x:c r="K20" s="2" t="n">
        <x:f>COUNTIFS('2015'!$L$24:$L$96,A20&amp;" / "&amp;B20,'2015'!$B$24:$B$96,"Playoffs")+COUNTIFS('2016'!$L$24:$L$96,A20&amp;" / "&amp;B20,'2016'!$B$24:$B$96,"Playoffs")+COUNTIFS('2017'!$L$24:$L$106,A20&amp;" / "&amp;B20,'2017'!$B$24:$B$106,"Playoffs")+COUNTIFS('2018'!$L$24:$L$106,A20&amp;" / "&amp;B20,'2018'!$B$24:$B$106,"Playoffs")+COUNTIFS('2019'!$L$24:$L$106,A20&amp;" / "&amp;B20,'2019'!$B$24:$B$106,"Playoffs")+COUNTIFS('2020'!$L$24:$L$106,A20&amp;" / "&amp;B20,'2020'!$B$24:$B$106,"Playoffs")+COUNTIFS('2021'!$L$24:$L$112,A20&amp;" / "&amp;B20,'2021'!$B$24:$B$112,"Playoffs")+COUNTIFS('2022'!$L$24:$L$112,A20&amp;" / "&amp;B20,'2022'!$B$24:$B$112,"Playoffs")+COUNTIFS('2023'!$L$24:$L$112,A20&amp;" / "&amp;B20,'2023'!$B$24:$B$112,"Playoffs")+COUNTIFS('2024'!$L$24:$L$112,A20&amp;" / "&amp;B20,'2024'!$B$24:$B$112,"Playoffs")+COUNTIFS('2025'!$L$24:$L$112,A20&amp;" / "&amp;B20,'2025'!$B$24:$B$112,"Playoffs")</x:f>
        <x:v>0</x:v>
      </x:c>
      <x:c r="L20" s="2" t="n">
        <x:f>COUNTIFS('2015'!$L$24:$L$96,A20&amp;" / "&amp;B20,'2015'!$B$24:$B$96,"Unconfirmed")+COUNTIFS('2016'!$L$24:$L$96,A20&amp;" / "&amp;B20,'2016'!$B$24:$B$96,"Unconfirmed")+COUNTIFS('2017'!$L$24:$L$106,A20&amp;" / "&amp;B20,'2017'!$B$24:$B$106,"Unconfirmed")+COUNTIFS('2018'!$L$24:$L$106,A20&amp;" / "&amp;B20,'2018'!$B$24:$B$106,"Unconfirmed")+COUNTIFS('2019'!$L$24:$L$106,A20&amp;" / "&amp;B20,'2019'!$B$24:$B$106,"Unconfirmed")+COUNTIFS('2020'!$L$24:$L$106,A20&amp;" / "&amp;B20,'2020'!$B$24:$B$106,"Unconfirmed")+COUNTIFS('2021'!$L$24:$L$112,A20&amp;" / "&amp;B20,'2021'!$B$24:$B$112,"Unconfirmed")+COUNTIFS('2022'!$L$24:$L$112,A20&amp;" / "&amp;B20,'2022'!$B$24:$B$112,"Unconfirmed")+COUNTIFS('2023'!$L$24:$L$112,A20&amp;" / "&amp;B20,'2023'!$B$24:$B$112,"Unconfirmed")+COUNTIFS('2024'!$L$24:$L$112,A20&amp;" / "&amp;B20,'2024'!$B$24:$B$112,"Unconfirmed")+COUNTIFS('2025'!$L$24:$L$112,A20&amp;" / "&amp;B20,'2025'!$B$24:$B$112,"Unconfirmed")</x:f>
        <x:v>0</x:v>
      </x:c>
    </x:row>
    <x:row r="21" ht="22" customHeight="1">
      <x:c r="A21" s="2" t="str">
        <x:v>Ben</x:v>
      </x:c>
      <x:c r="B21" s="2" t="str">
        <x:v>Dave</x:v>
      </x:c>
      <x:c r="C21" s="2" t="n">
        <x:f>COUNTIFS('2015'!$L$24:$L$96,A21&amp;" / "&amp;B21)+COUNTIFS('2016'!$L$24:$L$96,A21&amp;" / "&amp;B21)+COUNTIFS('2017'!$L$24:$L$106,A21&amp;" / "&amp;B21)+COUNTIFS('2018'!$L$24:$L$106,A21&amp;" / "&amp;B21)+COUNTIFS('2019'!$L$24:$L$106,A21&amp;" / "&amp;B21)+COUNTIFS('2020'!$L$24:$L$106,A21&amp;" / "&amp;B21)+COUNTIFS('2021'!$L$24:$L$112,A21&amp;" / "&amp;B21)+COUNTIFS('2022'!$L$24:$L$112,A21&amp;" / "&amp;B21)+COUNTIFS('2023'!$L$24:$L$112,A21&amp;" / "&amp;B21)+COUNTIFS('2024'!$L$24:$L$112,A21&amp;" / "&amp;B21)+COUNTIFS('2025'!$L$24:$L$112,A21&amp;" / "&amp;B21)</x:f>
        <x:v>5</x:v>
      </x:c>
      <x:c r="D21" s="2" t="n">
        <x:f>COUNTIFS('2015'!$L$24:$L$96,A21&amp;" / "&amp;B21,'2015'!$I$24:$I$96,A21)+COUNTIFS('2016'!$L$24:$L$96,A21&amp;" / "&amp;B21,'2016'!$I$24:$I$96,A21)+COUNTIFS('2017'!$L$24:$L$106,A21&amp;" / "&amp;B21,'2017'!$I$24:$I$106,A21)+COUNTIFS('2018'!$L$24:$L$106,A21&amp;" / "&amp;B21,'2018'!$I$24:$I$106,A21)+COUNTIFS('2019'!$L$24:$L$106,A21&amp;" / "&amp;B21,'2019'!$I$24:$I$106,A21)+COUNTIFS('2020'!$L$24:$L$106,A21&amp;" / "&amp;B21,'2020'!$I$24:$I$106,A21)+COUNTIFS('2021'!$L$24:$L$112,A21&amp;" / "&amp;B21,'2021'!$I$24:$I$112,A21)+COUNTIFS('2022'!$L$24:$L$112,A21&amp;" / "&amp;B21,'2022'!$I$24:$I$112,A21)+COUNTIFS('2023'!$L$24:$L$112,A21&amp;" / "&amp;B21,'2023'!$I$24:$I$112,A21)+COUNTIFS('2024'!$L$24:$L$112,A21&amp;" / "&amp;B21,'2024'!$I$24:$I$112,A21)+COUNTIFS('2025'!$L$24:$L$112,A21&amp;" / "&amp;B21,'2025'!$I$24:$I$112,A21)</x:f>
        <x:v>3</x:v>
      </x:c>
      <x:c r="E21" s="2" t="n">
        <x:f>COUNTIFS('2015'!$L$24:$L$96,A21&amp;" / "&amp;B21,'2015'!$I$24:$I$96,B21)+COUNTIFS('2016'!$L$24:$L$96,A21&amp;" / "&amp;B21,'2016'!$I$24:$I$96,B21)+COUNTIFS('2017'!$L$24:$L$106,A21&amp;" / "&amp;B21,'2017'!$I$24:$I$106,B21)+COUNTIFS('2018'!$L$24:$L$106,A21&amp;" / "&amp;B21,'2018'!$I$24:$I$106,B21)+COUNTIFS('2019'!$L$24:$L$106,A21&amp;" / "&amp;B21,'2019'!$I$24:$I$106,B21)+COUNTIFS('2020'!$L$24:$L$106,A21&amp;" / "&amp;B21,'2020'!$I$24:$I$106,B21)+COUNTIFS('2021'!$L$24:$L$112,A21&amp;" / "&amp;B21,'2021'!$I$24:$I$112,B21)+COUNTIFS('2022'!$L$24:$L$112,A21&amp;" / "&amp;B21,'2022'!$I$24:$I$112,B21)+COUNTIFS('2023'!$L$24:$L$112,A21&amp;" / "&amp;B21,'2023'!$I$24:$I$112,B21)+COUNTIFS('2024'!$L$24:$L$112,A21&amp;" / "&amp;B21,'2024'!$I$24:$I$112,B21)+COUNTIFS('2025'!$L$24:$L$112,A21&amp;" / "&amp;B21,'2025'!$I$24:$I$112,B21)</x:f>
        <x:v>2</x:v>
      </x:c>
      <x:c r="F21" s="2" t="n">
        <x:f>COUNTIFS('2015'!$L$24:$L$96,A21&amp;" / "&amp;B21,'2015'!$K$24:$K$96,1)+COUNTIFS('2016'!$L$24:$L$96,A21&amp;" / "&amp;B21,'2016'!$K$24:$K$96,1)+COUNTIFS('2017'!$L$24:$L$106,A21&amp;" / "&amp;B21,'2017'!$K$24:$K$106,1)+COUNTIFS('2018'!$L$24:$L$106,A21&amp;" / "&amp;B21,'2018'!$K$24:$K$106,1)+COUNTIFS('2019'!$L$24:$L$106,A21&amp;" / "&amp;B21,'2019'!$K$24:$K$106,1)+COUNTIFS('2020'!$L$24:$L$106,A21&amp;" / "&amp;B21,'2020'!$K$24:$K$106,1)+COUNTIFS('2021'!$L$24:$L$112,A21&amp;" / "&amp;B21,'2021'!$K$24:$K$112,1)+COUNTIFS('2022'!$L$24:$L$112,A21&amp;" / "&amp;B21,'2022'!$K$24:$K$112,1)+COUNTIFS('2023'!$L$24:$L$112,A21&amp;" / "&amp;B21,'2023'!$K$24:$K$112,1)+COUNTIFS('2024'!$L$24:$L$112,A21&amp;" / "&amp;B21,'2024'!$K$24:$K$112,1)+COUNTIFS('2025'!$L$24:$L$112,A21&amp;" / "&amp;B21,'2025'!$K$24:$K$112,1)</x:f>
        <x:v>0</x:v>
      </x:c>
      <x:c r="G21" s="25" t="n">
        <x:f>SUMIFS('2015'!$E$24:$E$96,'2015'!$L$24:$L$96,A21&amp;" / "&amp;B21,'2015'!$C$24:$C$96,A21)+SUMIFS('2015'!$H$24:$H$96,'2015'!$L$24:$L$96,A21&amp;" / "&amp;B21,'2015'!$F$24:$F$96,A21)+SUMIFS('2016'!$E$24:$E$96,'2016'!$L$24:$L$96,A21&amp;" / "&amp;B21,'2016'!$C$24:$C$96,A21)+SUMIFS('2016'!$H$24:$H$96,'2016'!$L$24:$L$96,A21&amp;" / "&amp;B21,'2016'!$F$24:$F$96,A21)+SUMIFS('2017'!$E$24:$E$106,'2017'!$L$24:$L$106,A21&amp;" / "&amp;B21,'2017'!$C$24:$C$106,A21)+SUMIFS('2017'!$H$24:$H$106,'2017'!$L$24:$L$106,A21&amp;" / "&amp;B21,'2017'!$F$24:$F$106,A21)+SUMIFS('2018'!$E$24:$E$106,'2018'!$L$24:$L$106,A21&amp;" / "&amp;B21,'2018'!$C$24:$C$106,A21)+SUMIFS('2018'!$H$24:$H$106,'2018'!$L$24:$L$106,A21&amp;" / "&amp;B21,'2018'!$F$24:$F$106,A21)+SUMIFS('2019'!$E$24:$E$106,'2019'!$L$24:$L$106,A21&amp;" / "&amp;B21,'2019'!$C$24:$C$106,A21)+SUMIFS('2019'!$H$24:$H$106,'2019'!$L$24:$L$106,A21&amp;" / "&amp;B21,'2019'!$F$24:$F$106,A21)+SUMIFS('2020'!$E$24:$E$106,'2020'!$L$24:$L$106,A21&amp;" / "&amp;B21,'2020'!$C$24:$C$106,A21)+SUMIFS('2020'!$H$24:$H$106,'2020'!$L$24:$L$106,A21&amp;" / "&amp;B21,'2020'!$F$24:$F$106,A21)+SUMIFS('2021'!$E$24:$E$112,'2021'!$L$24:$L$112,A21&amp;" / "&amp;B21,'2021'!$C$24:$C$112,A21)+SUMIFS('2021'!$H$24:$H$112,'2021'!$L$24:$L$112,A21&amp;" / "&amp;B21,'2021'!$F$24:$F$112,A21)+SUMIFS('2022'!$E$24:$E$112,'2022'!$L$24:$L$112,A21&amp;" / "&amp;B21,'2022'!$C$24:$C$112,A21)+SUMIFS('2022'!$H$24:$H$112,'2022'!$L$24:$L$112,A21&amp;" / "&amp;B21,'2022'!$F$24:$F$112,A21)+SUMIFS('2023'!$E$24:$E$112,'2023'!$L$24:$L$112,A21&amp;" / "&amp;B21,'2023'!$C$24:$C$112,A21)+SUMIFS('2023'!$H$24:$H$112,'2023'!$L$24:$L$112,A21&amp;" / "&amp;B21,'2023'!$F$24:$F$112,A21)+SUMIFS('2024'!$E$24:$E$112,'2024'!$L$24:$L$112,A21&amp;" / "&amp;B21,'2024'!$C$24:$C$112,A21)+SUMIFS('2024'!$H$24:$H$112,'2024'!$L$24:$L$112,A21&amp;" / "&amp;B21,'2024'!$F$24:$F$112,A21)+SUMIFS('2025'!$E$24:$E$112,'2025'!$L$24:$L$112,A21&amp;" / "&amp;B21,'2025'!$C$24:$C$112,A21)+SUMIFS('2025'!$H$24:$H$112,'2025'!$L$24:$L$112,A21&amp;" / "&amp;B21,'2025'!$F$24:$F$112,A21)</x:f>
        <x:v>620</x:v>
      </x:c>
      <x:c r="H21" s="25" t="n">
        <x:f>SUMIFS('2015'!$E$24:$E$96,'2015'!$L$24:$L$96,A21&amp;" / "&amp;B21,'2015'!$C$24:$C$96,B21)+SUMIFS('2015'!$H$24:$H$96,'2015'!$L$24:$L$96,A21&amp;" / "&amp;B21,'2015'!$F$24:$F$96,B21)+SUMIFS('2016'!$E$24:$E$96,'2016'!$L$24:$L$96,A21&amp;" / "&amp;B21,'2016'!$C$24:$C$96,B21)+SUMIFS('2016'!$H$24:$H$96,'2016'!$L$24:$L$96,A21&amp;" / "&amp;B21,'2016'!$F$24:$F$96,B21)+SUMIFS('2017'!$E$24:$E$106,'2017'!$L$24:$L$106,A21&amp;" / "&amp;B21,'2017'!$C$24:$C$106,B21)+SUMIFS('2017'!$H$24:$H$106,'2017'!$L$24:$L$106,A21&amp;" / "&amp;B21,'2017'!$F$24:$F$106,B21)+SUMIFS('2018'!$E$24:$E$106,'2018'!$L$24:$L$106,A21&amp;" / "&amp;B21,'2018'!$C$24:$C$106,B21)+SUMIFS('2018'!$H$24:$H$106,'2018'!$L$24:$L$106,A21&amp;" / "&amp;B21,'2018'!$F$24:$F$106,B21)+SUMIFS('2019'!$E$24:$E$106,'2019'!$L$24:$L$106,A21&amp;" / "&amp;B21,'2019'!$C$24:$C$106,B21)+SUMIFS('2019'!$H$24:$H$106,'2019'!$L$24:$L$106,A21&amp;" / "&amp;B21,'2019'!$F$24:$F$106,B21)+SUMIFS('2020'!$E$24:$E$106,'2020'!$L$24:$L$106,A21&amp;" / "&amp;B21,'2020'!$C$24:$C$106,B21)+SUMIFS('2020'!$H$24:$H$106,'2020'!$L$24:$L$106,A21&amp;" / "&amp;B21,'2020'!$F$24:$F$106,B21)+SUMIFS('2021'!$E$24:$E$112,'2021'!$L$24:$L$112,A21&amp;" / "&amp;B21,'2021'!$C$24:$C$112,B21)+SUMIFS('2021'!$H$24:$H$112,'2021'!$L$24:$L$112,A21&amp;" / "&amp;B21,'2021'!$F$24:$F$112,B21)+SUMIFS('2022'!$E$24:$E$112,'2022'!$L$24:$L$112,A21&amp;" / "&amp;B21,'2022'!$C$24:$C$112,B21)+SUMIFS('2022'!$H$24:$H$112,'2022'!$L$24:$L$112,A21&amp;" / "&amp;B21,'2022'!$F$24:$F$112,B21)+SUMIFS('2023'!$E$24:$E$112,'2023'!$L$24:$L$112,A21&amp;" / "&amp;B21,'2023'!$C$24:$C$112,B21)+SUMIFS('2023'!$H$24:$H$112,'2023'!$L$24:$L$112,A21&amp;" / "&amp;B21,'2023'!$F$24:$F$112,B21)+SUMIFS('2024'!$E$24:$E$112,'2024'!$L$24:$L$112,A21&amp;" / "&amp;B21,'2024'!$C$24:$C$112,B21)+SUMIFS('2024'!$H$24:$H$112,'2024'!$L$24:$L$112,A21&amp;" / "&amp;B21,'2024'!$F$24:$F$112,B21)+SUMIFS('2025'!$E$24:$E$112,'2025'!$L$24:$L$112,A21&amp;" / "&amp;B21,'2025'!$C$24:$C$112,B21)+SUMIFS('2025'!$H$24:$H$112,'2025'!$L$24:$L$112,A21&amp;" / "&amp;B21,'2025'!$F$24:$F$112,B21)</x:f>
        <x:v>543</x:v>
      </x:c>
      <x:c r="I21" s="11" t="n">
        <x:f>IF(C21=0,0,(D21+0.5*F21)/C21)</x:f>
        <x:v>0.6</x:v>
      </x:c>
      <x:c r="J21" s="2" t="n">
        <x:f>COUNTIFS('2015'!$L$24:$L$96,A21&amp;" / "&amp;B21,'2015'!$B$24:$B$96,"Regular")+COUNTIFS('2016'!$L$24:$L$96,A21&amp;" / "&amp;B21,'2016'!$B$24:$B$96,"Regular")+COUNTIFS('2017'!$L$24:$L$106,A21&amp;" / "&amp;B21,'2017'!$B$24:$B$106,"Regular")+COUNTIFS('2018'!$L$24:$L$106,A21&amp;" / "&amp;B21,'2018'!$B$24:$B$106,"Regular")+COUNTIFS('2019'!$L$24:$L$106,A21&amp;" / "&amp;B21,'2019'!$B$24:$B$106,"Regular")+COUNTIFS('2020'!$L$24:$L$106,A21&amp;" / "&amp;B21,'2020'!$B$24:$B$106,"Regular")+COUNTIFS('2021'!$L$24:$L$112,A21&amp;" / "&amp;B21,'2021'!$B$24:$B$112,"Regular")+COUNTIFS('2022'!$L$24:$L$112,A21&amp;" / "&amp;B21,'2022'!$B$24:$B$112,"Regular")+COUNTIFS('2023'!$L$24:$L$112,A21&amp;" / "&amp;B21,'2023'!$B$24:$B$112,"Regular")+COUNTIFS('2024'!$L$24:$L$112,A21&amp;" / "&amp;B21,'2024'!$B$24:$B$112,"Regular")+COUNTIFS('2025'!$L$24:$L$112,A21&amp;" / "&amp;B21,'2025'!$B$24:$B$112,"Regular")</x:f>
        <x:v>4</x:v>
      </x:c>
      <x:c r="K21" s="2" t="n">
        <x:f>COUNTIFS('2015'!$L$24:$L$96,A21&amp;" / "&amp;B21,'2015'!$B$24:$B$96,"Playoffs")+COUNTIFS('2016'!$L$24:$L$96,A21&amp;" / "&amp;B21,'2016'!$B$24:$B$96,"Playoffs")+COUNTIFS('2017'!$L$24:$L$106,A21&amp;" / "&amp;B21,'2017'!$B$24:$B$106,"Playoffs")+COUNTIFS('2018'!$L$24:$L$106,A21&amp;" / "&amp;B21,'2018'!$B$24:$B$106,"Playoffs")+COUNTIFS('2019'!$L$24:$L$106,A21&amp;" / "&amp;B21,'2019'!$B$24:$B$106,"Playoffs")+COUNTIFS('2020'!$L$24:$L$106,A21&amp;" / "&amp;B21,'2020'!$B$24:$B$106,"Playoffs")+COUNTIFS('2021'!$L$24:$L$112,A21&amp;" / "&amp;B21,'2021'!$B$24:$B$112,"Playoffs")+COUNTIFS('2022'!$L$24:$L$112,A21&amp;" / "&amp;B21,'2022'!$B$24:$B$112,"Playoffs")+COUNTIFS('2023'!$L$24:$L$112,A21&amp;" / "&amp;B21,'2023'!$B$24:$B$112,"Playoffs")+COUNTIFS('2024'!$L$24:$L$112,A21&amp;" / "&amp;B21,'2024'!$B$24:$B$112,"Playoffs")+COUNTIFS('2025'!$L$24:$L$112,A21&amp;" / "&amp;B21,'2025'!$B$24:$B$112,"Playoffs")</x:f>
        <x:v>1</x:v>
      </x:c>
      <x:c r="L21" s="2" t="n">
        <x:f>COUNTIFS('2015'!$L$24:$L$96,A21&amp;" / "&amp;B21,'2015'!$B$24:$B$96,"Unconfirmed")+COUNTIFS('2016'!$L$24:$L$96,A21&amp;" / "&amp;B21,'2016'!$B$24:$B$96,"Unconfirmed")+COUNTIFS('2017'!$L$24:$L$106,A21&amp;" / "&amp;B21,'2017'!$B$24:$B$106,"Unconfirmed")+COUNTIFS('2018'!$L$24:$L$106,A21&amp;" / "&amp;B21,'2018'!$B$24:$B$106,"Unconfirmed")+COUNTIFS('2019'!$L$24:$L$106,A21&amp;" / "&amp;B21,'2019'!$B$24:$B$106,"Unconfirmed")+COUNTIFS('2020'!$L$24:$L$106,A21&amp;" / "&amp;B21,'2020'!$B$24:$B$106,"Unconfirmed")+COUNTIFS('2021'!$L$24:$L$112,A21&amp;" / "&amp;B21,'2021'!$B$24:$B$112,"Unconfirmed")+COUNTIFS('2022'!$L$24:$L$112,A21&amp;" / "&amp;B21,'2022'!$B$24:$B$112,"Unconfirmed")+COUNTIFS('2023'!$L$24:$L$112,A21&amp;" / "&amp;B21,'2023'!$B$24:$B$112,"Unconfirmed")+COUNTIFS('2024'!$L$24:$L$112,A21&amp;" / "&amp;B21,'2024'!$B$24:$B$112,"Unconfirmed")+COUNTIFS('2025'!$L$24:$L$112,A21&amp;" / "&amp;B21,'2025'!$B$24:$B$112,"Unconfirmed")</x:f>
        <x:v>0</x:v>
      </x:c>
    </x:row>
    <x:row r="22" ht="22" customHeight="1">
      <x:c r="A22" s="2" t="str">
        <x:v>Ben</x:v>
      </x:c>
      <x:c r="B22" s="2" t="str">
        <x:v>Ed</x:v>
      </x:c>
      <x:c r="C22" s="2" t="n">
        <x:f>COUNTIFS('2015'!$L$24:$L$96,A22&amp;" / "&amp;B22)+COUNTIFS('2016'!$L$24:$L$96,A22&amp;" / "&amp;B22)+COUNTIFS('2017'!$L$24:$L$106,A22&amp;" / "&amp;B22)+COUNTIFS('2018'!$L$24:$L$106,A22&amp;" / "&amp;B22)+COUNTIFS('2019'!$L$24:$L$106,A22&amp;" / "&amp;B22)+COUNTIFS('2020'!$L$24:$L$106,A22&amp;" / "&amp;B22)+COUNTIFS('2021'!$L$24:$L$112,A22&amp;" / "&amp;B22)+COUNTIFS('2022'!$L$24:$L$112,A22&amp;" / "&amp;B22)+COUNTIFS('2023'!$L$24:$L$112,A22&amp;" / "&amp;B22)+COUNTIFS('2024'!$L$24:$L$112,A22&amp;" / "&amp;B22)+COUNTIFS('2025'!$L$24:$L$112,A22&amp;" / "&amp;B22)</x:f>
        <x:v>6</x:v>
      </x:c>
      <x:c r="D22" s="2" t="n">
        <x:f>COUNTIFS('2015'!$L$24:$L$96,A22&amp;" / "&amp;B22,'2015'!$I$24:$I$96,A22)+COUNTIFS('2016'!$L$24:$L$96,A22&amp;" / "&amp;B22,'2016'!$I$24:$I$96,A22)+COUNTIFS('2017'!$L$24:$L$106,A22&amp;" / "&amp;B22,'2017'!$I$24:$I$106,A22)+COUNTIFS('2018'!$L$24:$L$106,A22&amp;" / "&amp;B22,'2018'!$I$24:$I$106,A22)+COUNTIFS('2019'!$L$24:$L$106,A22&amp;" / "&amp;B22,'2019'!$I$24:$I$106,A22)+COUNTIFS('2020'!$L$24:$L$106,A22&amp;" / "&amp;B22,'2020'!$I$24:$I$106,A22)+COUNTIFS('2021'!$L$24:$L$112,A22&amp;" / "&amp;B22,'2021'!$I$24:$I$112,A22)+COUNTIFS('2022'!$L$24:$L$112,A22&amp;" / "&amp;B22,'2022'!$I$24:$I$112,A22)+COUNTIFS('2023'!$L$24:$L$112,A22&amp;" / "&amp;B22,'2023'!$I$24:$I$112,A22)+COUNTIFS('2024'!$L$24:$L$112,A22&amp;" / "&amp;B22,'2024'!$I$24:$I$112,A22)+COUNTIFS('2025'!$L$24:$L$112,A22&amp;" / "&amp;B22,'2025'!$I$24:$I$112,A22)</x:f>
        <x:v>0</x:v>
      </x:c>
      <x:c r="E22" s="2" t="n">
        <x:f>COUNTIFS('2015'!$L$24:$L$96,A22&amp;" / "&amp;B22,'2015'!$I$24:$I$96,B22)+COUNTIFS('2016'!$L$24:$L$96,A22&amp;" / "&amp;B22,'2016'!$I$24:$I$96,B22)+COUNTIFS('2017'!$L$24:$L$106,A22&amp;" / "&amp;B22,'2017'!$I$24:$I$106,B22)+COUNTIFS('2018'!$L$24:$L$106,A22&amp;" / "&amp;B22,'2018'!$I$24:$I$106,B22)+COUNTIFS('2019'!$L$24:$L$106,A22&amp;" / "&amp;B22,'2019'!$I$24:$I$106,B22)+COUNTIFS('2020'!$L$24:$L$106,A22&amp;" / "&amp;B22,'2020'!$I$24:$I$106,B22)+COUNTIFS('2021'!$L$24:$L$112,A22&amp;" / "&amp;B22,'2021'!$I$24:$I$112,B22)+COUNTIFS('2022'!$L$24:$L$112,A22&amp;" / "&amp;B22,'2022'!$I$24:$I$112,B22)+COUNTIFS('2023'!$L$24:$L$112,A22&amp;" / "&amp;B22,'2023'!$I$24:$I$112,B22)+COUNTIFS('2024'!$L$24:$L$112,A22&amp;" / "&amp;B22,'2024'!$I$24:$I$112,B22)+COUNTIFS('2025'!$L$24:$L$112,A22&amp;" / "&amp;B22,'2025'!$I$24:$I$112,B22)</x:f>
        <x:v>6</x:v>
      </x:c>
      <x:c r="F22" s="2" t="n">
        <x:f>COUNTIFS('2015'!$L$24:$L$96,A22&amp;" / "&amp;B22,'2015'!$K$24:$K$96,1)+COUNTIFS('2016'!$L$24:$L$96,A22&amp;" / "&amp;B22,'2016'!$K$24:$K$96,1)+COUNTIFS('2017'!$L$24:$L$106,A22&amp;" / "&amp;B22,'2017'!$K$24:$K$106,1)+COUNTIFS('2018'!$L$24:$L$106,A22&amp;" / "&amp;B22,'2018'!$K$24:$K$106,1)+COUNTIFS('2019'!$L$24:$L$106,A22&amp;" / "&amp;B22,'2019'!$K$24:$K$106,1)+COUNTIFS('2020'!$L$24:$L$106,A22&amp;" / "&amp;B22,'2020'!$K$24:$K$106,1)+COUNTIFS('2021'!$L$24:$L$112,A22&amp;" / "&amp;B22,'2021'!$K$24:$K$112,1)+COUNTIFS('2022'!$L$24:$L$112,A22&amp;" / "&amp;B22,'2022'!$K$24:$K$112,1)+COUNTIFS('2023'!$L$24:$L$112,A22&amp;" / "&amp;B22,'2023'!$K$24:$K$112,1)+COUNTIFS('2024'!$L$24:$L$112,A22&amp;" / "&amp;B22,'2024'!$K$24:$K$112,1)+COUNTIFS('2025'!$L$24:$L$112,A22&amp;" / "&amp;B22,'2025'!$K$24:$K$112,1)</x:f>
        <x:v>0</x:v>
      </x:c>
      <x:c r="G22" s="25" t="n">
        <x:f>SUMIFS('2015'!$E$24:$E$96,'2015'!$L$24:$L$96,A22&amp;" / "&amp;B22,'2015'!$C$24:$C$96,A22)+SUMIFS('2015'!$H$24:$H$96,'2015'!$L$24:$L$96,A22&amp;" / "&amp;B22,'2015'!$F$24:$F$96,A22)+SUMIFS('2016'!$E$24:$E$96,'2016'!$L$24:$L$96,A22&amp;" / "&amp;B22,'2016'!$C$24:$C$96,A22)+SUMIFS('2016'!$H$24:$H$96,'2016'!$L$24:$L$96,A22&amp;" / "&amp;B22,'2016'!$F$24:$F$96,A22)+SUMIFS('2017'!$E$24:$E$106,'2017'!$L$24:$L$106,A22&amp;" / "&amp;B22,'2017'!$C$24:$C$106,A22)+SUMIFS('2017'!$H$24:$H$106,'2017'!$L$24:$L$106,A22&amp;" / "&amp;B22,'2017'!$F$24:$F$106,A22)+SUMIFS('2018'!$E$24:$E$106,'2018'!$L$24:$L$106,A22&amp;" / "&amp;B22,'2018'!$C$24:$C$106,A22)+SUMIFS('2018'!$H$24:$H$106,'2018'!$L$24:$L$106,A22&amp;" / "&amp;B22,'2018'!$F$24:$F$106,A22)+SUMIFS('2019'!$E$24:$E$106,'2019'!$L$24:$L$106,A22&amp;" / "&amp;B22,'2019'!$C$24:$C$106,A22)+SUMIFS('2019'!$H$24:$H$106,'2019'!$L$24:$L$106,A22&amp;" / "&amp;B22,'2019'!$F$24:$F$106,A22)+SUMIFS('2020'!$E$24:$E$106,'2020'!$L$24:$L$106,A22&amp;" / "&amp;B22,'2020'!$C$24:$C$106,A22)+SUMIFS('2020'!$H$24:$H$106,'2020'!$L$24:$L$106,A22&amp;" / "&amp;B22,'2020'!$F$24:$F$106,A22)+SUMIFS('2021'!$E$24:$E$112,'2021'!$L$24:$L$112,A22&amp;" / "&amp;B22,'2021'!$C$24:$C$112,A22)+SUMIFS('2021'!$H$24:$H$112,'2021'!$L$24:$L$112,A22&amp;" / "&amp;B22,'2021'!$F$24:$F$112,A22)+SUMIFS('2022'!$E$24:$E$112,'2022'!$L$24:$L$112,A22&amp;" / "&amp;B22,'2022'!$C$24:$C$112,A22)+SUMIFS('2022'!$H$24:$H$112,'2022'!$L$24:$L$112,A22&amp;" / "&amp;B22,'2022'!$F$24:$F$112,A22)+SUMIFS('2023'!$E$24:$E$112,'2023'!$L$24:$L$112,A22&amp;" / "&amp;B22,'2023'!$C$24:$C$112,A22)+SUMIFS('2023'!$H$24:$H$112,'2023'!$L$24:$L$112,A22&amp;" / "&amp;B22,'2023'!$F$24:$F$112,A22)+SUMIFS('2024'!$E$24:$E$112,'2024'!$L$24:$L$112,A22&amp;" / "&amp;B22,'2024'!$C$24:$C$112,A22)+SUMIFS('2024'!$H$24:$H$112,'2024'!$L$24:$L$112,A22&amp;" / "&amp;B22,'2024'!$F$24:$F$112,A22)+SUMIFS('2025'!$E$24:$E$112,'2025'!$L$24:$L$112,A22&amp;" / "&amp;B22,'2025'!$C$24:$C$112,A22)+SUMIFS('2025'!$H$24:$H$112,'2025'!$L$24:$L$112,A22&amp;" / "&amp;B22,'2025'!$F$24:$F$112,A22)</x:f>
        <x:v>593</x:v>
      </x:c>
      <x:c r="H22" s="25" t="n">
        <x:f>SUMIFS('2015'!$E$24:$E$96,'2015'!$L$24:$L$96,A22&amp;" / "&amp;B22,'2015'!$C$24:$C$96,B22)+SUMIFS('2015'!$H$24:$H$96,'2015'!$L$24:$L$96,A22&amp;" / "&amp;B22,'2015'!$F$24:$F$96,B22)+SUMIFS('2016'!$E$24:$E$96,'2016'!$L$24:$L$96,A22&amp;" / "&amp;B22,'2016'!$C$24:$C$96,B22)+SUMIFS('2016'!$H$24:$H$96,'2016'!$L$24:$L$96,A22&amp;" / "&amp;B22,'2016'!$F$24:$F$96,B22)+SUMIFS('2017'!$E$24:$E$106,'2017'!$L$24:$L$106,A22&amp;" / "&amp;B22,'2017'!$C$24:$C$106,B22)+SUMIFS('2017'!$H$24:$H$106,'2017'!$L$24:$L$106,A22&amp;" / "&amp;B22,'2017'!$F$24:$F$106,B22)+SUMIFS('2018'!$E$24:$E$106,'2018'!$L$24:$L$106,A22&amp;" / "&amp;B22,'2018'!$C$24:$C$106,B22)+SUMIFS('2018'!$H$24:$H$106,'2018'!$L$24:$L$106,A22&amp;" / "&amp;B22,'2018'!$F$24:$F$106,B22)+SUMIFS('2019'!$E$24:$E$106,'2019'!$L$24:$L$106,A22&amp;" / "&amp;B22,'2019'!$C$24:$C$106,B22)+SUMIFS('2019'!$H$24:$H$106,'2019'!$L$24:$L$106,A22&amp;" / "&amp;B22,'2019'!$F$24:$F$106,B22)+SUMIFS('2020'!$E$24:$E$106,'2020'!$L$24:$L$106,A22&amp;" / "&amp;B22,'2020'!$C$24:$C$106,B22)+SUMIFS('2020'!$H$24:$H$106,'2020'!$L$24:$L$106,A22&amp;" / "&amp;B22,'2020'!$F$24:$F$106,B22)+SUMIFS('2021'!$E$24:$E$112,'2021'!$L$24:$L$112,A22&amp;" / "&amp;B22,'2021'!$C$24:$C$112,B22)+SUMIFS('2021'!$H$24:$H$112,'2021'!$L$24:$L$112,A22&amp;" / "&amp;B22,'2021'!$F$24:$F$112,B22)+SUMIFS('2022'!$E$24:$E$112,'2022'!$L$24:$L$112,A22&amp;" / "&amp;B22,'2022'!$C$24:$C$112,B22)+SUMIFS('2022'!$H$24:$H$112,'2022'!$L$24:$L$112,A22&amp;" / "&amp;B22,'2022'!$F$24:$F$112,B22)+SUMIFS('2023'!$E$24:$E$112,'2023'!$L$24:$L$112,A22&amp;" / "&amp;B22,'2023'!$C$24:$C$112,B22)+SUMIFS('2023'!$H$24:$H$112,'2023'!$L$24:$L$112,A22&amp;" / "&amp;B22,'2023'!$F$24:$F$112,B22)+SUMIFS('2024'!$E$24:$E$112,'2024'!$L$24:$L$112,A22&amp;" / "&amp;B22,'2024'!$C$24:$C$112,B22)+SUMIFS('2024'!$H$24:$H$112,'2024'!$L$24:$L$112,A22&amp;" / "&amp;B22,'2024'!$F$24:$F$112,B22)+SUMIFS('2025'!$E$24:$E$112,'2025'!$L$24:$L$112,A22&amp;" / "&amp;B22,'2025'!$C$24:$C$112,B22)+SUMIFS('2025'!$H$24:$H$112,'2025'!$L$24:$L$112,A22&amp;" / "&amp;B22,'2025'!$F$24:$F$112,B22)</x:f>
        <x:v>727</x:v>
      </x:c>
      <x:c r="I22" s="11" t="n">
        <x:f>IF(C22=0,0,(D22+0.5*F22)/C22)</x:f>
        <x:v>0</x:v>
      </x:c>
      <x:c r="J22" s="2" t="n">
        <x:f>COUNTIFS('2015'!$L$24:$L$96,A22&amp;" / "&amp;B22,'2015'!$B$24:$B$96,"Regular")+COUNTIFS('2016'!$L$24:$L$96,A22&amp;" / "&amp;B22,'2016'!$B$24:$B$96,"Regular")+COUNTIFS('2017'!$L$24:$L$106,A22&amp;" / "&amp;B22,'2017'!$B$24:$B$106,"Regular")+COUNTIFS('2018'!$L$24:$L$106,A22&amp;" / "&amp;B22,'2018'!$B$24:$B$106,"Regular")+COUNTIFS('2019'!$L$24:$L$106,A22&amp;" / "&amp;B22,'2019'!$B$24:$B$106,"Regular")+COUNTIFS('2020'!$L$24:$L$106,A22&amp;" / "&amp;B22,'2020'!$B$24:$B$106,"Regular")+COUNTIFS('2021'!$L$24:$L$112,A22&amp;" / "&amp;B22,'2021'!$B$24:$B$112,"Regular")+COUNTIFS('2022'!$L$24:$L$112,A22&amp;" / "&amp;B22,'2022'!$B$24:$B$112,"Regular")+COUNTIFS('2023'!$L$24:$L$112,A22&amp;" / "&amp;B22,'2023'!$B$24:$B$112,"Regular")+COUNTIFS('2024'!$L$24:$L$112,A22&amp;" / "&amp;B22,'2024'!$B$24:$B$112,"Regular")+COUNTIFS('2025'!$L$24:$L$112,A22&amp;" / "&amp;B22,'2025'!$B$24:$B$112,"Regular")</x:f>
        <x:v>6</x:v>
      </x:c>
      <x:c r="K22" s="2" t="n">
        <x:f>COUNTIFS('2015'!$L$24:$L$96,A22&amp;" / "&amp;B22,'2015'!$B$24:$B$96,"Playoffs")+COUNTIFS('2016'!$L$24:$L$96,A22&amp;" / "&amp;B22,'2016'!$B$24:$B$96,"Playoffs")+COUNTIFS('2017'!$L$24:$L$106,A22&amp;" / "&amp;B22,'2017'!$B$24:$B$106,"Playoffs")+COUNTIFS('2018'!$L$24:$L$106,A22&amp;" / "&amp;B22,'2018'!$B$24:$B$106,"Playoffs")+COUNTIFS('2019'!$L$24:$L$106,A22&amp;" / "&amp;B22,'2019'!$B$24:$B$106,"Playoffs")+COUNTIFS('2020'!$L$24:$L$106,A22&amp;" / "&amp;B22,'2020'!$B$24:$B$106,"Playoffs")+COUNTIFS('2021'!$L$24:$L$112,A22&amp;" / "&amp;B22,'2021'!$B$24:$B$112,"Playoffs")+COUNTIFS('2022'!$L$24:$L$112,A22&amp;" / "&amp;B22,'2022'!$B$24:$B$112,"Playoffs")+COUNTIFS('2023'!$L$24:$L$112,A22&amp;" / "&amp;B22,'2023'!$B$24:$B$112,"Playoffs")+COUNTIFS('2024'!$L$24:$L$112,A22&amp;" / "&amp;B22,'2024'!$B$24:$B$112,"Playoffs")+COUNTIFS('2025'!$L$24:$L$112,A22&amp;" / "&amp;B22,'2025'!$B$24:$B$112,"Playoffs")</x:f>
        <x:v>0</x:v>
      </x:c>
      <x:c r="L22" s="2" t="n">
        <x:f>COUNTIFS('2015'!$L$24:$L$96,A22&amp;" / "&amp;B22,'2015'!$B$24:$B$96,"Unconfirmed")+COUNTIFS('2016'!$L$24:$L$96,A22&amp;" / "&amp;B22,'2016'!$B$24:$B$96,"Unconfirmed")+COUNTIFS('2017'!$L$24:$L$106,A22&amp;" / "&amp;B22,'2017'!$B$24:$B$106,"Unconfirmed")+COUNTIFS('2018'!$L$24:$L$106,A22&amp;" / "&amp;B22,'2018'!$B$24:$B$106,"Unconfirmed")+COUNTIFS('2019'!$L$24:$L$106,A22&amp;" / "&amp;B22,'2019'!$B$24:$B$106,"Unconfirmed")+COUNTIFS('2020'!$L$24:$L$106,A22&amp;" / "&amp;B22,'2020'!$B$24:$B$106,"Unconfirmed")+COUNTIFS('2021'!$L$24:$L$112,A22&amp;" / "&amp;B22,'2021'!$B$24:$B$112,"Unconfirmed")+COUNTIFS('2022'!$L$24:$L$112,A22&amp;" / "&amp;B22,'2022'!$B$24:$B$112,"Unconfirmed")+COUNTIFS('2023'!$L$24:$L$112,A22&amp;" / "&amp;B22,'2023'!$B$24:$B$112,"Unconfirmed")+COUNTIFS('2024'!$L$24:$L$112,A22&amp;" / "&amp;B22,'2024'!$B$24:$B$112,"Unconfirmed")+COUNTIFS('2025'!$L$24:$L$112,A22&amp;" / "&amp;B22,'2025'!$B$24:$B$112,"Unconfirmed")</x:f>
        <x:v>0</x:v>
      </x:c>
    </x:row>
    <x:row r="23" ht="22" customHeight="1">
      <x:c r="A23" s="2" t="str">
        <x:v>Ben</x:v>
      </x:c>
      <x:c r="B23" s="2" t="str">
        <x:v>Frank</x:v>
      </x:c>
      <x:c r="C23" s="2" t="n">
        <x:f>COUNTIFS('2015'!$L$24:$L$96,A23&amp;" / "&amp;B23)+COUNTIFS('2016'!$L$24:$L$96,A23&amp;" / "&amp;B23)+COUNTIFS('2017'!$L$24:$L$106,A23&amp;" / "&amp;B23)+COUNTIFS('2018'!$L$24:$L$106,A23&amp;" / "&amp;B23)+COUNTIFS('2019'!$L$24:$L$106,A23&amp;" / "&amp;B23)+COUNTIFS('2020'!$L$24:$L$106,A23&amp;" / "&amp;B23)+COUNTIFS('2021'!$L$24:$L$112,A23&amp;" / "&amp;B23)+COUNTIFS('2022'!$L$24:$L$112,A23&amp;" / "&amp;B23)+COUNTIFS('2023'!$L$24:$L$112,A23&amp;" / "&amp;B23)+COUNTIFS('2024'!$L$24:$L$112,A23&amp;" / "&amp;B23)+COUNTIFS('2025'!$L$24:$L$112,A23&amp;" / "&amp;B23)</x:f>
        <x:v>5</x:v>
      </x:c>
      <x:c r="D23" s="2" t="n">
        <x:f>COUNTIFS('2015'!$L$24:$L$96,A23&amp;" / "&amp;B23,'2015'!$I$24:$I$96,A23)+COUNTIFS('2016'!$L$24:$L$96,A23&amp;" / "&amp;B23,'2016'!$I$24:$I$96,A23)+COUNTIFS('2017'!$L$24:$L$106,A23&amp;" / "&amp;B23,'2017'!$I$24:$I$106,A23)+COUNTIFS('2018'!$L$24:$L$106,A23&amp;" / "&amp;B23,'2018'!$I$24:$I$106,A23)+COUNTIFS('2019'!$L$24:$L$106,A23&amp;" / "&amp;B23,'2019'!$I$24:$I$106,A23)+COUNTIFS('2020'!$L$24:$L$106,A23&amp;" / "&amp;B23,'2020'!$I$24:$I$106,A23)+COUNTIFS('2021'!$L$24:$L$112,A23&amp;" / "&amp;B23,'2021'!$I$24:$I$112,A23)+COUNTIFS('2022'!$L$24:$L$112,A23&amp;" / "&amp;B23,'2022'!$I$24:$I$112,A23)+COUNTIFS('2023'!$L$24:$L$112,A23&amp;" / "&amp;B23,'2023'!$I$24:$I$112,A23)+COUNTIFS('2024'!$L$24:$L$112,A23&amp;" / "&amp;B23,'2024'!$I$24:$I$112,A23)+COUNTIFS('2025'!$L$24:$L$112,A23&amp;" / "&amp;B23,'2025'!$I$24:$I$112,A23)</x:f>
        <x:v>4</x:v>
      </x:c>
      <x:c r="E23" s="2" t="n">
        <x:f>COUNTIFS('2015'!$L$24:$L$96,A23&amp;" / "&amp;B23,'2015'!$I$24:$I$96,B23)+COUNTIFS('2016'!$L$24:$L$96,A23&amp;" / "&amp;B23,'2016'!$I$24:$I$96,B23)+COUNTIFS('2017'!$L$24:$L$106,A23&amp;" / "&amp;B23,'2017'!$I$24:$I$106,B23)+COUNTIFS('2018'!$L$24:$L$106,A23&amp;" / "&amp;B23,'2018'!$I$24:$I$106,B23)+COUNTIFS('2019'!$L$24:$L$106,A23&amp;" / "&amp;B23,'2019'!$I$24:$I$106,B23)+COUNTIFS('2020'!$L$24:$L$106,A23&amp;" / "&amp;B23,'2020'!$I$24:$I$106,B23)+COUNTIFS('2021'!$L$24:$L$112,A23&amp;" / "&amp;B23,'2021'!$I$24:$I$112,B23)+COUNTIFS('2022'!$L$24:$L$112,A23&amp;" / "&amp;B23,'2022'!$I$24:$I$112,B23)+COUNTIFS('2023'!$L$24:$L$112,A23&amp;" / "&amp;B23,'2023'!$I$24:$I$112,B23)+COUNTIFS('2024'!$L$24:$L$112,A23&amp;" / "&amp;B23,'2024'!$I$24:$I$112,B23)+COUNTIFS('2025'!$L$24:$L$112,A23&amp;" / "&amp;B23,'2025'!$I$24:$I$112,B23)</x:f>
        <x:v>1</x:v>
      </x:c>
      <x:c r="F23" s="2" t="n">
        <x:f>COUNTIFS('2015'!$L$24:$L$96,A23&amp;" / "&amp;B23,'2015'!$K$24:$K$96,1)+COUNTIFS('2016'!$L$24:$L$96,A23&amp;" / "&amp;B23,'2016'!$K$24:$K$96,1)+COUNTIFS('2017'!$L$24:$L$106,A23&amp;" / "&amp;B23,'2017'!$K$24:$K$106,1)+COUNTIFS('2018'!$L$24:$L$106,A23&amp;" / "&amp;B23,'2018'!$K$24:$K$106,1)+COUNTIFS('2019'!$L$24:$L$106,A23&amp;" / "&amp;B23,'2019'!$K$24:$K$106,1)+COUNTIFS('2020'!$L$24:$L$106,A23&amp;" / "&amp;B23,'2020'!$K$24:$K$106,1)+COUNTIFS('2021'!$L$24:$L$112,A23&amp;" / "&amp;B23,'2021'!$K$24:$K$112,1)+COUNTIFS('2022'!$L$24:$L$112,A23&amp;" / "&amp;B23,'2022'!$K$24:$K$112,1)+COUNTIFS('2023'!$L$24:$L$112,A23&amp;" / "&amp;B23,'2023'!$K$24:$K$112,1)+COUNTIFS('2024'!$L$24:$L$112,A23&amp;" / "&amp;B23,'2024'!$K$24:$K$112,1)+COUNTIFS('2025'!$L$24:$L$112,A23&amp;" / "&amp;B23,'2025'!$K$24:$K$112,1)</x:f>
        <x:v>0</x:v>
      </x:c>
      <x:c r="G23" s="25" t="n">
        <x:f>SUMIFS('2015'!$E$24:$E$96,'2015'!$L$24:$L$96,A23&amp;" / "&amp;B23,'2015'!$C$24:$C$96,A23)+SUMIFS('2015'!$H$24:$H$96,'2015'!$L$24:$L$96,A23&amp;" / "&amp;B23,'2015'!$F$24:$F$96,A23)+SUMIFS('2016'!$E$24:$E$96,'2016'!$L$24:$L$96,A23&amp;" / "&amp;B23,'2016'!$C$24:$C$96,A23)+SUMIFS('2016'!$H$24:$H$96,'2016'!$L$24:$L$96,A23&amp;" / "&amp;B23,'2016'!$F$24:$F$96,A23)+SUMIFS('2017'!$E$24:$E$106,'2017'!$L$24:$L$106,A23&amp;" / "&amp;B23,'2017'!$C$24:$C$106,A23)+SUMIFS('2017'!$H$24:$H$106,'2017'!$L$24:$L$106,A23&amp;" / "&amp;B23,'2017'!$F$24:$F$106,A23)+SUMIFS('2018'!$E$24:$E$106,'2018'!$L$24:$L$106,A23&amp;" / "&amp;B23,'2018'!$C$24:$C$106,A23)+SUMIFS('2018'!$H$24:$H$106,'2018'!$L$24:$L$106,A23&amp;" / "&amp;B23,'2018'!$F$24:$F$106,A23)+SUMIFS('2019'!$E$24:$E$106,'2019'!$L$24:$L$106,A23&amp;" / "&amp;B23,'2019'!$C$24:$C$106,A23)+SUMIFS('2019'!$H$24:$H$106,'2019'!$L$24:$L$106,A23&amp;" / "&amp;B23,'2019'!$F$24:$F$106,A23)+SUMIFS('2020'!$E$24:$E$106,'2020'!$L$24:$L$106,A23&amp;" / "&amp;B23,'2020'!$C$24:$C$106,A23)+SUMIFS('2020'!$H$24:$H$106,'2020'!$L$24:$L$106,A23&amp;" / "&amp;B23,'2020'!$F$24:$F$106,A23)+SUMIFS('2021'!$E$24:$E$112,'2021'!$L$24:$L$112,A23&amp;" / "&amp;B23,'2021'!$C$24:$C$112,A23)+SUMIFS('2021'!$H$24:$H$112,'2021'!$L$24:$L$112,A23&amp;" / "&amp;B23,'2021'!$F$24:$F$112,A23)+SUMIFS('2022'!$E$24:$E$112,'2022'!$L$24:$L$112,A23&amp;" / "&amp;B23,'2022'!$C$24:$C$112,A23)+SUMIFS('2022'!$H$24:$H$112,'2022'!$L$24:$L$112,A23&amp;" / "&amp;B23,'2022'!$F$24:$F$112,A23)+SUMIFS('2023'!$E$24:$E$112,'2023'!$L$24:$L$112,A23&amp;" / "&amp;B23,'2023'!$C$24:$C$112,A23)+SUMIFS('2023'!$H$24:$H$112,'2023'!$L$24:$L$112,A23&amp;" / "&amp;B23,'2023'!$F$24:$F$112,A23)+SUMIFS('2024'!$E$24:$E$112,'2024'!$L$24:$L$112,A23&amp;" / "&amp;B23,'2024'!$C$24:$C$112,A23)+SUMIFS('2024'!$H$24:$H$112,'2024'!$L$24:$L$112,A23&amp;" / "&amp;B23,'2024'!$F$24:$F$112,A23)+SUMIFS('2025'!$E$24:$E$112,'2025'!$L$24:$L$112,A23&amp;" / "&amp;B23,'2025'!$C$24:$C$112,A23)+SUMIFS('2025'!$H$24:$H$112,'2025'!$L$24:$L$112,A23&amp;" / "&amp;B23,'2025'!$F$24:$F$112,A23)</x:f>
        <x:v>632</x:v>
      </x:c>
      <x:c r="H23" s="25" t="n">
        <x:f>SUMIFS('2015'!$E$24:$E$96,'2015'!$L$24:$L$96,A23&amp;" / "&amp;B23,'2015'!$C$24:$C$96,B23)+SUMIFS('2015'!$H$24:$H$96,'2015'!$L$24:$L$96,A23&amp;" / "&amp;B23,'2015'!$F$24:$F$96,B23)+SUMIFS('2016'!$E$24:$E$96,'2016'!$L$24:$L$96,A23&amp;" / "&amp;B23,'2016'!$C$24:$C$96,B23)+SUMIFS('2016'!$H$24:$H$96,'2016'!$L$24:$L$96,A23&amp;" / "&amp;B23,'2016'!$F$24:$F$96,B23)+SUMIFS('2017'!$E$24:$E$106,'2017'!$L$24:$L$106,A23&amp;" / "&amp;B23,'2017'!$C$24:$C$106,B23)+SUMIFS('2017'!$H$24:$H$106,'2017'!$L$24:$L$106,A23&amp;" / "&amp;B23,'2017'!$F$24:$F$106,B23)+SUMIFS('2018'!$E$24:$E$106,'2018'!$L$24:$L$106,A23&amp;" / "&amp;B23,'2018'!$C$24:$C$106,B23)+SUMIFS('2018'!$H$24:$H$106,'2018'!$L$24:$L$106,A23&amp;" / "&amp;B23,'2018'!$F$24:$F$106,B23)+SUMIFS('2019'!$E$24:$E$106,'2019'!$L$24:$L$106,A23&amp;" / "&amp;B23,'2019'!$C$24:$C$106,B23)+SUMIFS('2019'!$H$24:$H$106,'2019'!$L$24:$L$106,A23&amp;" / "&amp;B23,'2019'!$F$24:$F$106,B23)+SUMIFS('2020'!$E$24:$E$106,'2020'!$L$24:$L$106,A23&amp;" / "&amp;B23,'2020'!$C$24:$C$106,B23)+SUMIFS('2020'!$H$24:$H$106,'2020'!$L$24:$L$106,A23&amp;" / "&amp;B23,'2020'!$F$24:$F$106,B23)+SUMIFS('2021'!$E$24:$E$112,'2021'!$L$24:$L$112,A23&amp;" / "&amp;B23,'2021'!$C$24:$C$112,B23)+SUMIFS('2021'!$H$24:$H$112,'2021'!$L$24:$L$112,A23&amp;" / "&amp;B23,'2021'!$F$24:$F$112,B23)+SUMIFS('2022'!$E$24:$E$112,'2022'!$L$24:$L$112,A23&amp;" / "&amp;B23,'2022'!$C$24:$C$112,B23)+SUMIFS('2022'!$H$24:$H$112,'2022'!$L$24:$L$112,A23&amp;" / "&amp;B23,'2022'!$F$24:$F$112,B23)+SUMIFS('2023'!$E$24:$E$112,'2023'!$L$24:$L$112,A23&amp;" / "&amp;B23,'2023'!$C$24:$C$112,B23)+SUMIFS('2023'!$H$24:$H$112,'2023'!$L$24:$L$112,A23&amp;" / "&amp;B23,'2023'!$F$24:$F$112,B23)+SUMIFS('2024'!$E$24:$E$112,'2024'!$L$24:$L$112,A23&amp;" / "&amp;B23,'2024'!$C$24:$C$112,B23)+SUMIFS('2024'!$H$24:$H$112,'2024'!$L$24:$L$112,A23&amp;" / "&amp;B23,'2024'!$F$24:$F$112,B23)+SUMIFS('2025'!$E$24:$E$112,'2025'!$L$24:$L$112,A23&amp;" / "&amp;B23,'2025'!$C$24:$C$112,B23)+SUMIFS('2025'!$H$24:$H$112,'2025'!$L$24:$L$112,A23&amp;" / "&amp;B23,'2025'!$F$24:$F$112,B23)</x:f>
        <x:v>643</x:v>
      </x:c>
      <x:c r="I23" s="11" t="n">
        <x:f>IF(C23=0,0,(D23+0.5*F23)/C23)</x:f>
        <x:v>0.8</x:v>
      </x:c>
      <x:c r="J23" s="2" t="n">
        <x:f>COUNTIFS('2015'!$L$24:$L$96,A23&amp;" / "&amp;B23,'2015'!$B$24:$B$96,"Regular")+COUNTIFS('2016'!$L$24:$L$96,A23&amp;" / "&amp;B23,'2016'!$B$24:$B$96,"Regular")+COUNTIFS('2017'!$L$24:$L$106,A23&amp;" / "&amp;B23,'2017'!$B$24:$B$106,"Regular")+COUNTIFS('2018'!$L$24:$L$106,A23&amp;" / "&amp;B23,'2018'!$B$24:$B$106,"Regular")+COUNTIFS('2019'!$L$24:$L$106,A23&amp;" / "&amp;B23,'2019'!$B$24:$B$106,"Regular")+COUNTIFS('2020'!$L$24:$L$106,A23&amp;" / "&amp;B23,'2020'!$B$24:$B$106,"Regular")+COUNTIFS('2021'!$L$24:$L$112,A23&amp;" / "&amp;B23,'2021'!$B$24:$B$112,"Regular")+COUNTIFS('2022'!$L$24:$L$112,A23&amp;" / "&amp;B23,'2022'!$B$24:$B$112,"Regular")+COUNTIFS('2023'!$L$24:$L$112,A23&amp;" / "&amp;B23,'2023'!$B$24:$B$112,"Regular")+COUNTIFS('2024'!$L$24:$L$112,A23&amp;" / "&amp;B23,'2024'!$B$24:$B$112,"Regular")+COUNTIFS('2025'!$L$24:$L$112,A23&amp;" / "&amp;B23,'2025'!$B$24:$B$112,"Regular")</x:f>
        <x:v>4</x:v>
      </x:c>
      <x:c r="K23" s="2" t="n">
        <x:f>COUNTIFS('2015'!$L$24:$L$96,A23&amp;" / "&amp;B23,'2015'!$B$24:$B$96,"Playoffs")+COUNTIFS('2016'!$L$24:$L$96,A23&amp;" / "&amp;B23,'2016'!$B$24:$B$96,"Playoffs")+COUNTIFS('2017'!$L$24:$L$106,A23&amp;" / "&amp;B23,'2017'!$B$24:$B$106,"Playoffs")+COUNTIFS('2018'!$L$24:$L$106,A23&amp;" / "&amp;B23,'2018'!$B$24:$B$106,"Playoffs")+COUNTIFS('2019'!$L$24:$L$106,A23&amp;" / "&amp;B23,'2019'!$B$24:$B$106,"Playoffs")+COUNTIFS('2020'!$L$24:$L$106,A23&amp;" / "&amp;B23,'2020'!$B$24:$B$106,"Playoffs")+COUNTIFS('2021'!$L$24:$L$112,A23&amp;" / "&amp;B23,'2021'!$B$24:$B$112,"Playoffs")+COUNTIFS('2022'!$L$24:$L$112,A23&amp;" / "&amp;B23,'2022'!$B$24:$B$112,"Playoffs")+COUNTIFS('2023'!$L$24:$L$112,A23&amp;" / "&amp;B23,'2023'!$B$24:$B$112,"Playoffs")+COUNTIFS('2024'!$L$24:$L$112,A23&amp;" / "&amp;B23,'2024'!$B$24:$B$112,"Playoffs")+COUNTIFS('2025'!$L$24:$L$112,A23&amp;" / "&amp;B23,'2025'!$B$24:$B$112,"Playoffs")</x:f>
        <x:v>1</x:v>
      </x:c>
      <x:c r="L23" s="2" t="n">
        <x:f>COUNTIFS('2015'!$L$24:$L$96,A23&amp;" / "&amp;B23,'2015'!$B$24:$B$96,"Unconfirmed")+COUNTIFS('2016'!$L$24:$L$96,A23&amp;" / "&amp;B23,'2016'!$B$24:$B$96,"Unconfirmed")+COUNTIFS('2017'!$L$24:$L$106,A23&amp;" / "&amp;B23,'2017'!$B$24:$B$106,"Unconfirmed")+COUNTIFS('2018'!$L$24:$L$106,A23&amp;" / "&amp;B23,'2018'!$B$24:$B$106,"Unconfirmed")+COUNTIFS('2019'!$L$24:$L$106,A23&amp;" / "&amp;B23,'2019'!$B$24:$B$106,"Unconfirmed")+COUNTIFS('2020'!$L$24:$L$106,A23&amp;" / "&amp;B23,'2020'!$B$24:$B$106,"Unconfirmed")+COUNTIFS('2021'!$L$24:$L$112,A23&amp;" / "&amp;B23,'2021'!$B$24:$B$112,"Unconfirmed")+COUNTIFS('2022'!$L$24:$L$112,A23&amp;" / "&amp;B23,'2022'!$B$24:$B$112,"Unconfirmed")+COUNTIFS('2023'!$L$24:$L$112,A23&amp;" / "&amp;B23,'2023'!$B$24:$B$112,"Unconfirmed")+COUNTIFS('2024'!$L$24:$L$112,A23&amp;" / "&amp;B23,'2024'!$B$24:$B$112,"Unconfirmed")+COUNTIFS('2025'!$L$24:$L$112,A23&amp;" / "&amp;B23,'2025'!$B$24:$B$112,"Unconfirmed")</x:f>
        <x:v>0</x:v>
      </x:c>
    </x:row>
    <x:row r="24" ht="22" customHeight="1">
      <x:c r="A24" s="2" t="str">
        <x:v>Ben</x:v>
      </x:c>
      <x:c r="B24" s="2" t="str">
        <x:v>Grossi</x:v>
      </x:c>
      <x:c r="C24" s="2" t="n">
        <x:f>COUNTIFS('2015'!$L$24:$L$96,A24&amp;" / "&amp;B24)+COUNTIFS('2016'!$L$24:$L$96,A24&amp;" / "&amp;B24)+COUNTIFS('2017'!$L$24:$L$106,A24&amp;" / "&amp;B24)+COUNTIFS('2018'!$L$24:$L$106,A24&amp;" / "&amp;B24)+COUNTIFS('2019'!$L$24:$L$106,A24&amp;" / "&amp;B24)+COUNTIFS('2020'!$L$24:$L$106,A24&amp;" / "&amp;B24)+COUNTIFS('2021'!$L$24:$L$112,A24&amp;" / "&amp;B24)+COUNTIFS('2022'!$L$24:$L$112,A24&amp;" / "&amp;B24)+COUNTIFS('2023'!$L$24:$L$112,A24&amp;" / "&amp;B24)+COUNTIFS('2024'!$L$24:$L$112,A24&amp;" / "&amp;B24)+COUNTIFS('2025'!$L$24:$L$112,A24&amp;" / "&amp;B24)</x:f>
        <x:v>1</x:v>
      </x:c>
      <x:c r="D24" s="2" t="n">
        <x:f>COUNTIFS('2015'!$L$24:$L$96,A24&amp;" / "&amp;B24,'2015'!$I$24:$I$96,A24)+COUNTIFS('2016'!$L$24:$L$96,A24&amp;" / "&amp;B24,'2016'!$I$24:$I$96,A24)+COUNTIFS('2017'!$L$24:$L$106,A24&amp;" / "&amp;B24,'2017'!$I$24:$I$106,A24)+COUNTIFS('2018'!$L$24:$L$106,A24&amp;" / "&amp;B24,'2018'!$I$24:$I$106,A24)+COUNTIFS('2019'!$L$24:$L$106,A24&amp;" / "&amp;B24,'2019'!$I$24:$I$106,A24)+COUNTIFS('2020'!$L$24:$L$106,A24&amp;" / "&amp;B24,'2020'!$I$24:$I$106,A24)+COUNTIFS('2021'!$L$24:$L$112,A24&amp;" / "&amp;B24,'2021'!$I$24:$I$112,A24)+COUNTIFS('2022'!$L$24:$L$112,A24&amp;" / "&amp;B24,'2022'!$I$24:$I$112,A24)+COUNTIFS('2023'!$L$24:$L$112,A24&amp;" / "&amp;B24,'2023'!$I$24:$I$112,A24)+COUNTIFS('2024'!$L$24:$L$112,A24&amp;" / "&amp;B24,'2024'!$I$24:$I$112,A24)+COUNTIFS('2025'!$L$24:$L$112,A24&amp;" / "&amp;B24,'2025'!$I$24:$I$112,A24)</x:f>
        <x:v>1</x:v>
      </x:c>
      <x:c r="E24" s="2" t="n">
        <x:f>COUNTIFS('2015'!$L$24:$L$96,A24&amp;" / "&amp;B24,'2015'!$I$24:$I$96,B24)+COUNTIFS('2016'!$L$24:$L$96,A24&amp;" / "&amp;B24,'2016'!$I$24:$I$96,B24)+COUNTIFS('2017'!$L$24:$L$106,A24&amp;" / "&amp;B24,'2017'!$I$24:$I$106,B24)+COUNTIFS('2018'!$L$24:$L$106,A24&amp;" / "&amp;B24,'2018'!$I$24:$I$106,B24)+COUNTIFS('2019'!$L$24:$L$106,A24&amp;" / "&amp;B24,'2019'!$I$24:$I$106,B24)+COUNTIFS('2020'!$L$24:$L$106,A24&amp;" / "&amp;B24,'2020'!$I$24:$I$106,B24)+COUNTIFS('2021'!$L$24:$L$112,A24&amp;" / "&amp;B24,'2021'!$I$24:$I$112,B24)+COUNTIFS('2022'!$L$24:$L$112,A24&amp;" / "&amp;B24,'2022'!$I$24:$I$112,B24)+COUNTIFS('2023'!$L$24:$L$112,A24&amp;" / "&amp;B24,'2023'!$I$24:$I$112,B24)+COUNTIFS('2024'!$L$24:$L$112,A24&amp;" / "&amp;B24,'2024'!$I$24:$I$112,B24)+COUNTIFS('2025'!$L$24:$L$112,A24&amp;" / "&amp;B24,'2025'!$I$24:$I$112,B24)</x:f>
        <x:v>0</x:v>
      </x:c>
      <x:c r="F24" s="2" t="n">
        <x:f>COUNTIFS('2015'!$L$24:$L$96,A24&amp;" / "&amp;B24,'2015'!$K$24:$K$96,1)+COUNTIFS('2016'!$L$24:$L$96,A24&amp;" / "&amp;B24,'2016'!$K$24:$K$96,1)+COUNTIFS('2017'!$L$24:$L$106,A24&amp;" / "&amp;B24,'2017'!$K$24:$K$106,1)+COUNTIFS('2018'!$L$24:$L$106,A24&amp;" / "&amp;B24,'2018'!$K$24:$K$106,1)+COUNTIFS('2019'!$L$24:$L$106,A24&amp;" / "&amp;B24,'2019'!$K$24:$K$106,1)+COUNTIFS('2020'!$L$24:$L$106,A24&amp;" / "&amp;B24,'2020'!$K$24:$K$106,1)+COUNTIFS('2021'!$L$24:$L$112,A24&amp;" / "&amp;B24,'2021'!$K$24:$K$112,1)+COUNTIFS('2022'!$L$24:$L$112,A24&amp;" / "&amp;B24,'2022'!$K$24:$K$112,1)+COUNTIFS('2023'!$L$24:$L$112,A24&amp;" / "&amp;B24,'2023'!$K$24:$K$112,1)+COUNTIFS('2024'!$L$24:$L$112,A24&amp;" / "&amp;B24,'2024'!$K$24:$K$112,1)+COUNTIFS('2025'!$L$24:$L$112,A24&amp;" / "&amp;B24,'2025'!$K$24:$K$112,1)</x:f>
        <x:v>0</x:v>
      </x:c>
      <x:c r="G24" s="25" t="n">
        <x:f>SUMIFS('2015'!$E$24:$E$96,'2015'!$L$24:$L$96,A24&amp;" / "&amp;B24,'2015'!$C$24:$C$96,A24)+SUMIFS('2015'!$H$24:$H$96,'2015'!$L$24:$L$96,A24&amp;" / "&amp;B24,'2015'!$F$24:$F$96,A24)+SUMIFS('2016'!$E$24:$E$96,'2016'!$L$24:$L$96,A24&amp;" / "&amp;B24,'2016'!$C$24:$C$96,A24)+SUMIFS('2016'!$H$24:$H$96,'2016'!$L$24:$L$96,A24&amp;" / "&amp;B24,'2016'!$F$24:$F$96,A24)+SUMIFS('2017'!$E$24:$E$106,'2017'!$L$24:$L$106,A24&amp;" / "&amp;B24,'2017'!$C$24:$C$106,A24)+SUMIFS('2017'!$H$24:$H$106,'2017'!$L$24:$L$106,A24&amp;" / "&amp;B24,'2017'!$F$24:$F$106,A24)+SUMIFS('2018'!$E$24:$E$106,'2018'!$L$24:$L$106,A24&amp;" / "&amp;B24,'2018'!$C$24:$C$106,A24)+SUMIFS('2018'!$H$24:$H$106,'2018'!$L$24:$L$106,A24&amp;" / "&amp;B24,'2018'!$F$24:$F$106,A24)+SUMIFS('2019'!$E$24:$E$106,'2019'!$L$24:$L$106,A24&amp;" / "&amp;B24,'2019'!$C$24:$C$106,A24)+SUMIFS('2019'!$H$24:$H$106,'2019'!$L$24:$L$106,A24&amp;" / "&amp;B24,'2019'!$F$24:$F$106,A24)+SUMIFS('2020'!$E$24:$E$106,'2020'!$L$24:$L$106,A24&amp;" / "&amp;B24,'2020'!$C$24:$C$106,A24)+SUMIFS('2020'!$H$24:$H$106,'2020'!$L$24:$L$106,A24&amp;" / "&amp;B24,'2020'!$F$24:$F$106,A24)+SUMIFS('2021'!$E$24:$E$112,'2021'!$L$24:$L$112,A24&amp;" / "&amp;B24,'2021'!$C$24:$C$112,A24)+SUMIFS('2021'!$H$24:$H$112,'2021'!$L$24:$L$112,A24&amp;" / "&amp;B24,'2021'!$F$24:$F$112,A24)+SUMIFS('2022'!$E$24:$E$112,'2022'!$L$24:$L$112,A24&amp;" / "&amp;B24,'2022'!$C$24:$C$112,A24)+SUMIFS('2022'!$H$24:$H$112,'2022'!$L$24:$L$112,A24&amp;" / "&amp;B24,'2022'!$F$24:$F$112,A24)+SUMIFS('2023'!$E$24:$E$112,'2023'!$L$24:$L$112,A24&amp;" / "&amp;B24,'2023'!$C$24:$C$112,A24)+SUMIFS('2023'!$H$24:$H$112,'2023'!$L$24:$L$112,A24&amp;" / "&amp;B24,'2023'!$F$24:$F$112,A24)+SUMIFS('2024'!$E$24:$E$112,'2024'!$L$24:$L$112,A24&amp;" / "&amp;B24,'2024'!$C$24:$C$112,A24)+SUMIFS('2024'!$H$24:$H$112,'2024'!$L$24:$L$112,A24&amp;" / "&amp;B24,'2024'!$F$24:$F$112,A24)+SUMIFS('2025'!$E$24:$E$112,'2025'!$L$24:$L$112,A24&amp;" / "&amp;B24,'2025'!$C$24:$C$112,A24)+SUMIFS('2025'!$H$24:$H$112,'2025'!$L$24:$L$112,A24&amp;" / "&amp;B24,'2025'!$F$24:$F$112,A24)</x:f>
        <x:v>160</x:v>
      </x:c>
      <x:c r="H24" s="25" t="n">
        <x:f>SUMIFS('2015'!$E$24:$E$96,'2015'!$L$24:$L$96,A24&amp;" / "&amp;B24,'2015'!$C$24:$C$96,B24)+SUMIFS('2015'!$H$24:$H$96,'2015'!$L$24:$L$96,A24&amp;" / "&amp;B24,'2015'!$F$24:$F$96,B24)+SUMIFS('2016'!$E$24:$E$96,'2016'!$L$24:$L$96,A24&amp;" / "&amp;B24,'2016'!$C$24:$C$96,B24)+SUMIFS('2016'!$H$24:$H$96,'2016'!$L$24:$L$96,A24&amp;" / "&amp;B24,'2016'!$F$24:$F$96,B24)+SUMIFS('2017'!$E$24:$E$106,'2017'!$L$24:$L$106,A24&amp;" / "&amp;B24,'2017'!$C$24:$C$106,B24)+SUMIFS('2017'!$H$24:$H$106,'2017'!$L$24:$L$106,A24&amp;" / "&amp;B24,'2017'!$F$24:$F$106,B24)+SUMIFS('2018'!$E$24:$E$106,'2018'!$L$24:$L$106,A24&amp;" / "&amp;B24,'2018'!$C$24:$C$106,B24)+SUMIFS('2018'!$H$24:$H$106,'2018'!$L$24:$L$106,A24&amp;" / "&amp;B24,'2018'!$F$24:$F$106,B24)+SUMIFS('2019'!$E$24:$E$106,'2019'!$L$24:$L$106,A24&amp;" / "&amp;B24,'2019'!$C$24:$C$106,B24)+SUMIFS('2019'!$H$24:$H$106,'2019'!$L$24:$L$106,A24&amp;" / "&amp;B24,'2019'!$F$24:$F$106,B24)+SUMIFS('2020'!$E$24:$E$106,'2020'!$L$24:$L$106,A24&amp;" / "&amp;B24,'2020'!$C$24:$C$106,B24)+SUMIFS('2020'!$H$24:$H$106,'2020'!$L$24:$L$106,A24&amp;" / "&amp;B24,'2020'!$F$24:$F$106,B24)+SUMIFS('2021'!$E$24:$E$112,'2021'!$L$24:$L$112,A24&amp;" / "&amp;B24,'2021'!$C$24:$C$112,B24)+SUMIFS('2021'!$H$24:$H$112,'2021'!$L$24:$L$112,A24&amp;" / "&amp;B24,'2021'!$F$24:$F$112,B24)+SUMIFS('2022'!$E$24:$E$112,'2022'!$L$24:$L$112,A24&amp;" / "&amp;B24,'2022'!$C$24:$C$112,B24)+SUMIFS('2022'!$H$24:$H$112,'2022'!$L$24:$L$112,A24&amp;" / "&amp;B24,'2022'!$F$24:$F$112,B24)+SUMIFS('2023'!$E$24:$E$112,'2023'!$L$24:$L$112,A24&amp;" / "&amp;B24,'2023'!$C$24:$C$112,B24)+SUMIFS('2023'!$H$24:$H$112,'2023'!$L$24:$L$112,A24&amp;" / "&amp;B24,'2023'!$F$24:$F$112,B24)+SUMIFS('2024'!$E$24:$E$112,'2024'!$L$24:$L$112,A24&amp;" / "&amp;B24,'2024'!$C$24:$C$112,B24)+SUMIFS('2024'!$H$24:$H$112,'2024'!$L$24:$L$112,A24&amp;" / "&amp;B24,'2024'!$F$24:$F$112,B24)+SUMIFS('2025'!$E$24:$E$112,'2025'!$L$24:$L$112,A24&amp;" / "&amp;B24,'2025'!$C$24:$C$112,B24)+SUMIFS('2025'!$H$24:$H$112,'2025'!$L$24:$L$112,A24&amp;" / "&amp;B24,'2025'!$F$24:$F$112,B24)</x:f>
        <x:v>104</x:v>
      </x:c>
      <x:c r="I24" s="11" t="n">
        <x:f>IF(C24=0,0,(D24+0.5*F24)/C24)</x:f>
        <x:v>1</x:v>
      </x:c>
      <x:c r="J24" s="2" t="n">
        <x:f>COUNTIFS('2015'!$L$24:$L$96,A24&amp;" / "&amp;B24,'2015'!$B$24:$B$96,"Regular")+COUNTIFS('2016'!$L$24:$L$96,A24&amp;" / "&amp;B24,'2016'!$B$24:$B$96,"Regular")+COUNTIFS('2017'!$L$24:$L$106,A24&amp;" / "&amp;B24,'2017'!$B$24:$B$106,"Regular")+COUNTIFS('2018'!$L$24:$L$106,A24&amp;" / "&amp;B24,'2018'!$B$24:$B$106,"Regular")+COUNTIFS('2019'!$L$24:$L$106,A24&amp;" / "&amp;B24,'2019'!$B$24:$B$106,"Regular")+COUNTIFS('2020'!$L$24:$L$106,A24&amp;" / "&amp;B24,'2020'!$B$24:$B$106,"Regular")+COUNTIFS('2021'!$L$24:$L$112,A24&amp;" / "&amp;B24,'2021'!$B$24:$B$112,"Regular")+COUNTIFS('2022'!$L$24:$L$112,A24&amp;" / "&amp;B24,'2022'!$B$24:$B$112,"Regular")+COUNTIFS('2023'!$L$24:$L$112,A24&amp;" / "&amp;B24,'2023'!$B$24:$B$112,"Regular")+COUNTIFS('2024'!$L$24:$L$112,A24&amp;" / "&amp;B24,'2024'!$B$24:$B$112,"Regular")+COUNTIFS('2025'!$L$24:$L$112,A24&amp;" / "&amp;B24,'2025'!$B$24:$B$112,"Regular")</x:f>
        <x:v>1</x:v>
      </x:c>
      <x:c r="K24" s="2" t="n">
        <x:f>COUNTIFS('2015'!$L$24:$L$96,A24&amp;" / "&amp;B24,'2015'!$B$24:$B$96,"Playoffs")+COUNTIFS('2016'!$L$24:$L$96,A24&amp;" / "&amp;B24,'2016'!$B$24:$B$96,"Playoffs")+COUNTIFS('2017'!$L$24:$L$106,A24&amp;" / "&amp;B24,'2017'!$B$24:$B$106,"Playoffs")+COUNTIFS('2018'!$L$24:$L$106,A24&amp;" / "&amp;B24,'2018'!$B$24:$B$106,"Playoffs")+COUNTIFS('2019'!$L$24:$L$106,A24&amp;" / "&amp;B24,'2019'!$B$24:$B$106,"Playoffs")+COUNTIFS('2020'!$L$24:$L$106,A24&amp;" / "&amp;B24,'2020'!$B$24:$B$106,"Playoffs")+COUNTIFS('2021'!$L$24:$L$112,A24&amp;" / "&amp;B24,'2021'!$B$24:$B$112,"Playoffs")+COUNTIFS('2022'!$L$24:$L$112,A24&amp;" / "&amp;B24,'2022'!$B$24:$B$112,"Playoffs")+COUNTIFS('2023'!$L$24:$L$112,A24&amp;" / "&amp;B24,'2023'!$B$24:$B$112,"Playoffs")+COUNTIFS('2024'!$L$24:$L$112,A24&amp;" / "&amp;B24,'2024'!$B$24:$B$112,"Playoffs")+COUNTIFS('2025'!$L$24:$L$112,A24&amp;" / "&amp;B24,'2025'!$B$24:$B$112,"Playoffs")</x:f>
        <x:v>0</x:v>
      </x:c>
      <x:c r="L24" s="2" t="n">
        <x:f>COUNTIFS('2015'!$L$24:$L$96,A24&amp;" / "&amp;B24,'2015'!$B$24:$B$96,"Unconfirmed")+COUNTIFS('2016'!$L$24:$L$96,A24&amp;" / "&amp;B24,'2016'!$B$24:$B$96,"Unconfirmed")+COUNTIFS('2017'!$L$24:$L$106,A24&amp;" / "&amp;B24,'2017'!$B$24:$B$106,"Unconfirmed")+COUNTIFS('2018'!$L$24:$L$106,A24&amp;" / "&amp;B24,'2018'!$B$24:$B$106,"Unconfirmed")+COUNTIFS('2019'!$L$24:$L$106,A24&amp;" / "&amp;B24,'2019'!$B$24:$B$106,"Unconfirmed")+COUNTIFS('2020'!$L$24:$L$106,A24&amp;" / "&amp;B24,'2020'!$B$24:$B$106,"Unconfirmed")+COUNTIFS('2021'!$L$24:$L$112,A24&amp;" / "&amp;B24,'2021'!$B$24:$B$112,"Unconfirmed")+COUNTIFS('2022'!$L$24:$L$112,A24&amp;" / "&amp;B24,'2022'!$B$24:$B$112,"Unconfirmed")+COUNTIFS('2023'!$L$24:$L$112,A24&amp;" / "&amp;B24,'2023'!$B$24:$B$112,"Unconfirmed")+COUNTIFS('2024'!$L$24:$L$112,A24&amp;" / "&amp;B24,'2024'!$B$24:$B$112,"Unconfirmed")+COUNTIFS('2025'!$L$24:$L$112,A24&amp;" / "&amp;B24,'2025'!$B$24:$B$112,"Unconfirmed")</x:f>
        <x:v>0</x:v>
      </x:c>
    </x:row>
    <x:row r="25" ht="22" customHeight="1">
      <x:c r="A25" s="2" t="str">
        <x:v>Ben</x:v>
      </x:c>
      <x:c r="B25" s="2" t="str">
        <x:v>James B.</x:v>
      </x:c>
      <x:c r="C25" s="2" t="n">
        <x:f>COUNTIFS('2015'!$L$24:$L$96,A25&amp;" / "&amp;B25)+COUNTIFS('2016'!$L$24:$L$96,A25&amp;" / "&amp;B25)+COUNTIFS('2017'!$L$24:$L$106,A25&amp;" / "&amp;B25)+COUNTIFS('2018'!$L$24:$L$106,A25&amp;" / "&amp;B25)+COUNTIFS('2019'!$L$24:$L$106,A25&amp;" / "&amp;B25)+COUNTIFS('2020'!$L$24:$L$106,A25&amp;" / "&amp;B25)+COUNTIFS('2021'!$L$24:$L$112,A25&amp;" / "&amp;B25)+COUNTIFS('2022'!$L$24:$L$112,A25&amp;" / "&amp;B25)+COUNTIFS('2023'!$L$24:$L$112,A25&amp;" / "&amp;B25)+COUNTIFS('2024'!$L$24:$L$112,A25&amp;" / "&amp;B25)+COUNTIFS('2025'!$L$24:$L$112,A25&amp;" / "&amp;B25)</x:f>
        <x:v>5</x:v>
      </x:c>
      <x:c r="D25" s="2" t="n">
        <x:f>COUNTIFS('2015'!$L$24:$L$96,A25&amp;" / "&amp;B25,'2015'!$I$24:$I$96,A25)+COUNTIFS('2016'!$L$24:$L$96,A25&amp;" / "&amp;B25,'2016'!$I$24:$I$96,A25)+COUNTIFS('2017'!$L$24:$L$106,A25&amp;" / "&amp;B25,'2017'!$I$24:$I$106,A25)+COUNTIFS('2018'!$L$24:$L$106,A25&amp;" / "&amp;B25,'2018'!$I$24:$I$106,A25)+COUNTIFS('2019'!$L$24:$L$106,A25&amp;" / "&amp;B25,'2019'!$I$24:$I$106,A25)+COUNTIFS('2020'!$L$24:$L$106,A25&amp;" / "&amp;B25,'2020'!$I$24:$I$106,A25)+COUNTIFS('2021'!$L$24:$L$112,A25&amp;" / "&amp;B25,'2021'!$I$24:$I$112,A25)+COUNTIFS('2022'!$L$24:$L$112,A25&amp;" / "&amp;B25,'2022'!$I$24:$I$112,A25)+COUNTIFS('2023'!$L$24:$L$112,A25&amp;" / "&amp;B25,'2023'!$I$24:$I$112,A25)+COUNTIFS('2024'!$L$24:$L$112,A25&amp;" / "&amp;B25,'2024'!$I$24:$I$112,A25)+COUNTIFS('2025'!$L$24:$L$112,A25&amp;" / "&amp;B25,'2025'!$I$24:$I$112,A25)</x:f>
        <x:v>3</x:v>
      </x:c>
      <x:c r="E25" s="2" t="n">
        <x:f>COUNTIFS('2015'!$L$24:$L$96,A25&amp;" / "&amp;B25,'2015'!$I$24:$I$96,B25)+COUNTIFS('2016'!$L$24:$L$96,A25&amp;" / "&amp;B25,'2016'!$I$24:$I$96,B25)+COUNTIFS('2017'!$L$24:$L$106,A25&amp;" / "&amp;B25,'2017'!$I$24:$I$106,B25)+COUNTIFS('2018'!$L$24:$L$106,A25&amp;" / "&amp;B25,'2018'!$I$24:$I$106,B25)+COUNTIFS('2019'!$L$24:$L$106,A25&amp;" / "&amp;B25,'2019'!$I$24:$I$106,B25)+COUNTIFS('2020'!$L$24:$L$106,A25&amp;" / "&amp;B25,'2020'!$I$24:$I$106,B25)+COUNTIFS('2021'!$L$24:$L$112,A25&amp;" / "&amp;B25,'2021'!$I$24:$I$112,B25)+COUNTIFS('2022'!$L$24:$L$112,A25&amp;" / "&amp;B25,'2022'!$I$24:$I$112,B25)+COUNTIFS('2023'!$L$24:$L$112,A25&amp;" / "&amp;B25,'2023'!$I$24:$I$112,B25)+COUNTIFS('2024'!$L$24:$L$112,A25&amp;" / "&amp;B25,'2024'!$I$24:$I$112,B25)+COUNTIFS('2025'!$L$24:$L$112,A25&amp;" / "&amp;B25,'2025'!$I$24:$I$112,B25)</x:f>
        <x:v>2</x:v>
      </x:c>
      <x:c r="F25" s="2" t="n">
        <x:f>COUNTIFS('2015'!$L$24:$L$96,A25&amp;" / "&amp;B25,'2015'!$K$24:$K$96,1)+COUNTIFS('2016'!$L$24:$L$96,A25&amp;" / "&amp;B25,'2016'!$K$24:$K$96,1)+COUNTIFS('2017'!$L$24:$L$106,A25&amp;" / "&amp;B25,'2017'!$K$24:$K$106,1)+COUNTIFS('2018'!$L$24:$L$106,A25&amp;" / "&amp;B25,'2018'!$K$24:$K$106,1)+COUNTIFS('2019'!$L$24:$L$106,A25&amp;" / "&amp;B25,'2019'!$K$24:$K$106,1)+COUNTIFS('2020'!$L$24:$L$106,A25&amp;" / "&amp;B25,'2020'!$K$24:$K$106,1)+COUNTIFS('2021'!$L$24:$L$112,A25&amp;" / "&amp;B25,'2021'!$K$24:$K$112,1)+COUNTIFS('2022'!$L$24:$L$112,A25&amp;" / "&amp;B25,'2022'!$K$24:$K$112,1)+COUNTIFS('2023'!$L$24:$L$112,A25&amp;" / "&amp;B25,'2023'!$K$24:$K$112,1)+COUNTIFS('2024'!$L$24:$L$112,A25&amp;" / "&amp;B25,'2024'!$K$24:$K$112,1)+COUNTIFS('2025'!$L$24:$L$112,A25&amp;" / "&amp;B25,'2025'!$K$24:$K$112,1)</x:f>
        <x:v>0</x:v>
      </x:c>
      <x:c r="G25" s="25" t="n">
        <x:f>SUMIFS('2015'!$E$24:$E$96,'2015'!$L$24:$L$96,A25&amp;" / "&amp;B25,'2015'!$C$24:$C$96,A25)+SUMIFS('2015'!$H$24:$H$96,'2015'!$L$24:$L$96,A25&amp;" / "&amp;B25,'2015'!$F$24:$F$96,A25)+SUMIFS('2016'!$E$24:$E$96,'2016'!$L$24:$L$96,A25&amp;" / "&amp;B25,'2016'!$C$24:$C$96,A25)+SUMIFS('2016'!$H$24:$H$96,'2016'!$L$24:$L$96,A25&amp;" / "&amp;B25,'2016'!$F$24:$F$96,A25)+SUMIFS('2017'!$E$24:$E$106,'2017'!$L$24:$L$106,A25&amp;" / "&amp;B25,'2017'!$C$24:$C$106,A25)+SUMIFS('2017'!$H$24:$H$106,'2017'!$L$24:$L$106,A25&amp;" / "&amp;B25,'2017'!$F$24:$F$106,A25)+SUMIFS('2018'!$E$24:$E$106,'2018'!$L$24:$L$106,A25&amp;" / "&amp;B25,'2018'!$C$24:$C$106,A25)+SUMIFS('2018'!$H$24:$H$106,'2018'!$L$24:$L$106,A25&amp;" / "&amp;B25,'2018'!$F$24:$F$106,A25)+SUMIFS('2019'!$E$24:$E$106,'2019'!$L$24:$L$106,A25&amp;" / "&amp;B25,'2019'!$C$24:$C$106,A25)+SUMIFS('2019'!$H$24:$H$106,'2019'!$L$24:$L$106,A25&amp;" / "&amp;B25,'2019'!$F$24:$F$106,A25)+SUMIFS('2020'!$E$24:$E$106,'2020'!$L$24:$L$106,A25&amp;" / "&amp;B25,'2020'!$C$24:$C$106,A25)+SUMIFS('2020'!$H$24:$H$106,'2020'!$L$24:$L$106,A25&amp;" / "&amp;B25,'2020'!$F$24:$F$106,A25)+SUMIFS('2021'!$E$24:$E$112,'2021'!$L$24:$L$112,A25&amp;" / "&amp;B25,'2021'!$C$24:$C$112,A25)+SUMIFS('2021'!$H$24:$H$112,'2021'!$L$24:$L$112,A25&amp;" / "&amp;B25,'2021'!$F$24:$F$112,A25)+SUMIFS('2022'!$E$24:$E$112,'2022'!$L$24:$L$112,A25&amp;" / "&amp;B25,'2022'!$C$24:$C$112,A25)+SUMIFS('2022'!$H$24:$H$112,'2022'!$L$24:$L$112,A25&amp;" / "&amp;B25,'2022'!$F$24:$F$112,A25)+SUMIFS('2023'!$E$24:$E$112,'2023'!$L$24:$L$112,A25&amp;" / "&amp;B25,'2023'!$C$24:$C$112,A25)+SUMIFS('2023'!$H$24:$H$112,'2023'!$L$24:$L$112,A25&amp;" / "&amp;B25,'2023'!$F$24:$F$112,A25)+SUMIFS('2024'!$E$24:$E$112,'2024'!$L$24:$L$112,A25&amp;" / "&amp;B25,'2024'!$C$24:$C$112,A25)+SUMIFS('2024'!$H$24:$H$112,'2024'!$L$24:$L$112,A25&amp;" / "&amp;B25,'2024'!$F$24:$F$112,A25)+SUMIFS('2025'!$E$24:$E$112,'2025'!$L$24:$L$112,A25&amp;" / "&amp;B25,'2025'!$C$24:$C$112,A25)+SUMIFS('2025'!$H$24:$H$112,'2025'!$L$24:$L$112,A25&amp;" / "&amp;B25,'2025'!$F$24:$F$112,A25)</x:f>
        <x:v>716</x:v>
      </x:c>
      <x:c r="H25" s="25" t="n">
        <x:f>SUMIFS('2015'!$E$24:$E$96,'2015'!$L$24:$L$96,A25&amp;" / "&amp;B25,'2015'!$C$24:$C$96,B25)+SUMIFS('2015'!$H$24:$H$96,'2015'!$L$24:$L$96,A25&amp;" / "&amp;B25,'2015'!$F$24:$F$96,B25)+SUMIFS('2016'!$E$24:$E$96,'2016'!$L$24:$L$96,A25&amp;" / "&amp;B25,'2016'!$C$24:$C$96,B25)+SUMIFS('2016'!$H$24:$H$96,'2016'!$L$24:$L$96,A25&amp;" / "&amp;B25,'2016'!$F$24:$F$96,B25)+SUMIFS('2017'!$E$24:$E$106,'2017'!$L$24:$L$106,A25&amp;" / "&amp;B25,'2017'!$C$24:$C$106,B25)+SUMIFS('2017'!$H$24:$H$106,'2017'!$L$24:$L$106,A25&amp;" / "&amp;B25,'2017'!$F$24:$F$106,B25)+SUMIFS('2018'!$E$24:$E$106,'2018'!$L$24:$L$106,A25&amp;" / "&amp;B25,'2018'!$C$24:$C$106,B25)+SUMIFS('2018'!$H$24:$H$106,'2018'!$L$24:$L$106,A25&amp;" / "&amp;B25,'2018'!$F$24:$F$106,B25)+SUMIFS('2019'!$E$24:$E$106,'2019'!$L$24:$L$106,A25&amp;" / "&amp;B25,'2019'!$C$24:$C$106,B25)+SUMIFS('2019'!$H$24:$H$106,'2019'!$L$24:$L$106,A25&amp;" / "&amp;B25,'2019'!$F$24:$F$106,B25)+SUMIFS('2020'!$E$24:$E$106,'2020'!$L$24:$L$106,A25&amp;" / "&amp;B25,'2020'!$C$24:$C$106,B25)+SUMIFS('2020'!$H$24:$H$106,'2020'!$L$24:$L$106,A25&amp;" / "&amp;B25,'2020'!$F$24:$F$106,B25)+SUMIFS('2021'!$E$24:$E$112,'2021'!$L$24:$L$112,A25&amp;" / "&amp;B25,'2021'!$C$24:$C$112,B25)+SUMIFS('2021'!$H$24:$H$112,'2021'!$L$24:$L$112,A25&amp;" / "&amp;B25,'2021'!$F$24:$F$112,B25)+SUMIFS('2022'!$E$24:$E$112,'2022'!$L$24:$L$112,A25&amp;" / "&amp;B25,'2022'!$C$24:$C$112,B25)+SUMIFS('2022'!$H$24:$H$112,'2022'!$L$24:$L$112,A25&amp;" / "&amp;B25,'2022'!$F$24:$F$112,B25)+SUMIFS('2023'!$E$24:$E$112,'2023'!$L$24:$L$112,A25&amp;" / "&amp;B25,'2023'!$C$24:$C$112,B25)+SUMIFS('2023'!$H$24:$H$112,'2023'!$L$24:$L$112,A25&amp;" / "&amp;B25,'2023'!$F$24:$F$112,B25)+SUMIFS('2024'!$E$24:$E$112,'2024'!$L$24:$L$112,A25&amp;" / "&amp;B25,'2024'!$C$24:$C$112,B25)+SUMIFS('2024'!$H$24:$H$112,'2024'!$L$24:$L$112,A25&amp;" / "&amp;B25,'2024'!$F$24:$F$112,B25)+SUMIFS('2025'!$E$24:$E$112,'2025'!$L$24:$L$112,A25&amp;" / "&amp;B25,'2025'!$C$24:$C$112,B25)+SUMIFS('2025'!$H$24:$H$112,'2025'!$L$24:$L$112,A25&amp;" / "&amp;B25,'2025'!$F$24:$F$112,B25)</x:f>
        <x:v>591</x:v>
      </x:c>
      <x:c r="I25" s="11" t="n">
        <x:f>IF(C25=0,0,(D25+0.5*F25)/C25)</x:f>
        <x:v>0.6</x:v>
      </x:c>
      <x:c r="J25" s="2" t="n">
        <x:f>COUNTIFS('2015'!$L$24:$L$96,A25&amp;" / "&amp;B25,'2015'!$B$24:$B$96,"Regular")+COUNTIFS('2016'!$L$24:$L$96,A25&amp;" / "&amp;B25,'2016'!$B$24:$B$96,"Regular")+COUNTIFS('2017'!$L$24:$L$106,A25&amp;" / "&amp;B25,'2017'!$B$24:$B$106,"Regular")+COUNTIFS('2018'!$L$24:$L$106,A25&amp;" / "&amp;B25,'2018'!$B$24:$B$106,"Regular")+COUNTIFS('2019'!$L$24:$L$106,A25&amp;" / "&amp;B25,'2019'!$B$24:$B$106,"Regular")+COUNTIFS('2020'!$L$24:$L$106,A25&amp;" / "&amp;B25,'2020'!$B$24:$B$106,"Regular")+COUNTIFS('2021'!$L$24:$L$112,A25&amp;" / "&amp;B25,'2021'!$B$24:$B$112,"Regular")+COUNTIFS('2022'!$L$24:$L$112,A25&amp;" / "&amp;B25,'2022'!$B$24:$B$112,"Regular")+COUNTIFS('2023'!$L$24:$L$112,A25&amp;" / "&amp;B25,'2023'!$B$24:$B$112,"Regular")+COUNTIFS('2024'!$L$24:$L$112,A25&amp;" / "&amp;B25,'2024'!$B$24:$B$112,"Regular")+COUNTIFS('2025'!$L$24:$L$112,A25&amp;" / "&amp;B25,'2025'!$B$24:$B$112,"Regular")</x:f>
        <x:v>4</x:v>
      </x:c>
      <x:c r="K25" s="2" t="n">
        <x:f>COUNTIFS('2015'!$L$24:$L$96,A25&amp;" / "&amp;B25,'2015'!$B$24:$B$96,"Playoffs")+COUNTIFS('2016'!$L$24:$L$96,A25&amp;" / "&amp;B25,'2016'!$B$24:$B$96,"Playoffs")+COUNTIFS('2017'!$L$24:$L$106,A25&amp;" / "&amp;B25,'2017'!$B$24:$B$106,"Playoffs")+COUNTIFS('2018'!$L$24:$L$106,A25&amp;" / "&amp;B25,'2018'!$B$24:$B$106,"Playoffs")+COUNTIFS('2019'!$L$24:$L$106,A25&amp;" / "&amp;B25,'2019'!$B$24:$B$106,"Playoffs")+COUNTIFS('2020'!$L$24:$L$106,A25&amp;" / "&amp;B25,'2020'!$B$24:$B$106,"Playoffs")+COUNTIFS('2021'!$L$24:$L$112,A25&amp;" / "&amp;B25,'2021'!$B$24:$B$112,"Playoffs")+COUNTIFS('2022'!$L$24:$L$112,A25&amp;" / "&amp;B25,'2022'!$B$24:$B$112,"Playoffs")+COUNTIFS('2023'!$L$24:$L$112,A25&amp;" / "&amp;B25,'2023'!$B$24:$B$112,"Playoffs")+COUNTIFS('2024'!$L$24:$L$112,A25&amp;" / "&amp;B25,'2024'!$B$24:$B$112,"Playoffs")+COUNTIFS('2025'!$L$24:$L$112,A25&amp;" / "&amp;B25,'2025'!$B$24:$B$112,"Playoffs")</x:f>
        <x:v>1</x:v>
      </x:c>
      <x:c r="L25" s="2" t="n">
        <x:f>COUNTIFS('2015'!$L$24:$L$96,A25&amp;" / "&amp;B25,'2015'!$B$24:$B$96,"Unconfirmed")+COUNTIFS('2016'!$L$24:$L$96,A25&amp;" / "&amp;B25,'2016'!$B$24:$B$96,"Unconfirmed")+COUNTIFS('2017'!$L$24:$L$106,A25&amp;" / "&amp;B25,'2017'!$B$24:$B$106,"Unconfirmed")+COUNTIFS('2018'!$L$24:$L$106,A25&amp;" / "&amp;B25,'2018'!$B$24:$B$106,"Unconfirmed")+COUNTIFS('2019'!$L$24:$L$106,A25&amp;" / "&amp;B25,'2019'!$B$24:$B$106,"Unconfirmed")+COUNTIFS('2020'!$L$24:$L$106,A25&amp;" / "&amp;B25,'2020'!$B$24:$B$106,"Unconfirmed")+COUNTIFS('2021'!$L$24:$L$112,A25&amp;" / "&amp;B25,'2021'!$B$24:$B$112,"Unconfirmed")+COUNTIFS('2022'!$L$24:$L$112,A25&amp;" / "&amp;B25,'2022'!$B$24:$B$112,"Unconfirmed")+COUNTIFS('2023'!$L$24:$L$112,A25&amp;" / "&amp;B25,'2023'!$B$24:$B$112,"Unconfirmed")+COUNTIFS('2024'!$L$24:$L$112,A25&amp;" / "&amp;B25,'2024'!$B$24:$B$112,"Unconfirmed")+COUNTIFS('2025'!$L$24:$L$112,A25&amp;" / "&amp;B25,'2025'!$B$24:$B$112,"Unconfirmed")</x:f>
        <x:v>0</x:v>
      </x:c>
    </x:row>
    <x:row r="26" ht="22" customHeight="1">
      <x:c r="A26" s="2" t="str">
        <x:v>Ben</x:v>
      </x:c>
      <x:c r="B26" s="2" t="str">
        <x:v>Josh</x:v>
      </x:c>
      <x:c r="C26" s="2" t="n">
        <x:f>COUNTIFS('2015'!$L$24:$L$96,A26&amp;" / "&amp;B26)+COUNTIFS('2016'!$L$24:$L$96,A26&amp;" / "&amp;B26)+COUNTIFS('2017'!$L$24:$L$106,A26&amp;" / "&amp;B26)+COUNTIFS('2018'!$L$24:$L$106,A26&amp;" / "&amp;B26)+COUNTIFS('2019'!$L$24:$L$106,A26&amp;" / "&amp;B26)+COUNTIFS('2020'!$L$24:$L$106,A26&amp;" / "&amp;B26)+COUNTIFS('2021'!$L$24:$L$112,A26&amp;" / "&amp;B26)+COUNTIFS('2022'!$L$24:$L$112,A26&amp;" / "&amp;B26)+COUNTIFS('2023'!$L$24:$L$112,A26&amp;" / "&amp;B26)+COUNTIFS('2024'!$L$24:$L$112,A26&amp;" / "&amp;B26)+COUNTIFS('2025'!$L$24:$L$112,A26&amp;" / "&amp;B26)</x:f>
        <x:v>7</x:v>
      </x:c>
      <x:c r="D26" s="2" t="n">
        <x:f>COUNTIFS('2015'!$L$24:$L$96,A26&amp;" / "&amp;B26,'2015'!$I$24:$I$96,A26)+COUNTIFS('2016'!$L$24:$L$96,A26&amp;" / "&amp;B26,'2016'!$I$24:$I$96,A26)+COUNTIFS('2017'!$L$24:$L$106,A26&amp;" / "&amp;B26,'2017'!$I$24:$I$106,A26)+COUNTIFS('2018'!$L$24:$L$106,A26&amp;" / "&amp;B26,'2018'!$I$24:$I$106,A26)+COUNTIFS('2019'!$L$24:$L$106,A26&amp;" / "&amp;B26,'2019'!$I$24:$I$106,A26)+COUNTIFS('2020'!$L$24:$L$106,A26&amp;" / "&amp;B26,'2020'!$I$24:$I$106,A26)+COUNTIFS('2021'!$L$24:$L$112,A26&amp;" / "&amp;B26,'2021'!$I$24:$I$112,A26)+COUNTIFS('2022'!$L$24:$L$112,A26&amp;" / "&amp;B26,'2022'!$I$24:$I$112,A26)+COUNTIFS('2023'!$L$24:$L$112,A26&amp;" / "&amp;B26,'2023'!$I$24:$I$112,A26)+COUNTIFS('2024'!$L$24:$L$112,A26&amp;" / "&amp;B26,'2024'!$I$24:$I$112,A26)+COUNTIFS('2025'!$L$24:$L$112,A26&amp;" / "&amp;B26,'2025'!$I$24:$I$112,A26)</x:f>
        <x:v>4</x:v>
      </x:c>
      <x:c r="E26" s="2" t="n">
        <x:f>COUNTIFS('2015'!$L$24:$L$96,A26&amp;" / "&amp;B26,'2015'!$I$24:$I$96,B26)+COUNTIFS('2016'!$L$24:$L$96,A26&amp;" / "&amp;B26,'2016'!$I$24:$I$96,B26)+COUNTIFS('2017'!$L$24:$L$106,A26&amp;" / "&amp;B26,'2017'!$I$24:$I$106,B26)+COUNTIFS('2018'!$L$24:$L$106,A26&amp;" / "&amp;B26,'2018'!$I$24:$I$106,B26)+COUNTIFS('2019'!$L$24:$L$106,A26&amp;" / "&amp;B26,'2019'!$I$24:$I$106,B26)+COUNTIFS('2020'!$L$24:$L$106,A26&amp;" / "&amp;B26,'2020'!$I$24:$I$106,B26)+COUNTIFS('2021'!$L$24:$L$112,A26&amp;" / "&amp;B26,'2021'!$I$24:$I$112,B26)+COUNTIFS('2022'!$L$24:$L$112,A26&amp;" / "&amp;B26,'2022'!$I$24:$I$112,B26)+COUNTIFS('2023'!$L$24:$L$112,A26&amp;" / "&amp;B26,'2023'!$I$24:$I$112,B26)+COUNTIFS('2024'!$L$24:$L$112,A26&amp;" / "&amp;B26,'2024'!$I$24:$I$112,B26)+COUNTIFS('2025'!$L$24:$L$112,A26&amp;" / "&amp;B26,'2025'!$I$24:$I$112,B26)</x:f>
        <x:v>2</x:v>
      </x:c>
      <x:c r="F26" s="2" t="n">
        <x:f>COUNTIFS('2015'!$L$24:$L$96,A26&amp;" / "&amp;B26,'2015'!$K$24:$K$96,1)+COUNTIFS('2016'!$L$24:$L$96,A26&amp;" / "&amp;B26,'2016'!$K$24:$K$96,1)+COUNTIFS('2017'!$L$24:$L$106,A26&amp;" / "&amp;B26,'2017'!$K$24:$K$106,1)+COUNTIFS('2018'!$L$24:$L$106,A26&amp;" / "&amp;B26,'2018'!$K$24:$K$106,1)+COUNTIFS('2019'!$L$24:$L$106,A26&amp;" / "&amp;B26,'2019'!$K$24:$K$106,1)+COUNTIFS('2020'!$L$24:$L$106,A26&amp;" / "&amp;B26,'2020'!$K$24:$K$106,1)+COUNTIFS('2021'!$L$24:$L$112,A26&amp;" / "&amp;B26,'2021'!$K$24:$K$112,1)+COUNTIFS('2022'!$L$24:$L$112,A26&amp;" / "&amp;B26,'2022'!$K$24:$K$112,1)+COUNTIFS('2023'!$L$24:$L$112,A26&amp;" / "&amp;B26,'2023'!$K$24:$K$112,1)+COUNTIFS('2024'!$L$24:$L$112,A26&amp;" / "&amp;B26,'2024'!$K$24:$K$112,1)+COUNTIFS('2025'!$L$24:$L$112,A26&amp;" / "&amp;B26,'2025'!$K$24:$K$112,1)</x:f>
        <x:v>1</x:v>
      </x:c>
      <x:c r="G26" s="25" t="n">
        <x:f>SUMIFS('2015'!$E$24:$E$96,'2015'!$L$24:$L$96,A26&amp;" / "&amp;B26,'2015'!$C$24:$C$96,A26)+SUMIFS('2015'!$H$24:$H$96,'2015'!$L$24:$L$96,A26&amp;" / "&amp;B26,'2015'!$F$24:$F$96,A26)+SUMIFS('2016'!$E$24:$E$96,'2016'!$L$24:$L$96,A26&amp;" / "&amp;B26,'2016'!$C$24:$C$96,A26)+SUMIFS('2016'!$H$24:$H$96,'2016'!$L$24:$L$96,A26&amp;" / "&amp;B26,'2016'!$F$24:$F$96,A26)+SUMIFS('2017'!$E$24:$E$106,'2017'!$L$24:$L$106,A26&amp;" / "&amp;B26,'2017'!$C$24:$C$106,A26)+SUMIFS('2017'!$H$24:$H$106,'2017'!$L$24:$L$106,A26&amp;" / "&amp;B26,'2017'!$F$24:$F$106,A26)+SUMIFS('2018'!$E$24:$E$106,'2018'!$L$24:$L$106,A26&amp;" / "&amp;B26,'2018'!$C$24:$C$106,A26)+SUMIFS('2018'!$H$24:$H$106,'2018'!$L$24:$L$106,A26&amp;" / "&amp;B26,'2018'!$F$24:$F$106,A26)+SUMIFS('2019'!$E$24:$E$106,'2019'!$L$24:$L$106,A26&amp;" / "&amp;B26,'2019'!$C$24:$C$106,A26)+SUMIFS('2019'!$H$24:$H$106,'2019'!$L$24:$L$106,A26&amp;" / "&amp;B26,'2019'!$F$24:$F$106,A26)+SUMIFS('2020'!$E$24:$E$106,'2020'!$L$24:$L$106,A26&amp;" / "&amp;B26,'2020'!$C$24:$C$106,A26)+SUMIFS('2020'!$H$24:$H$106,'2020'!$L$24:$L$106,A26&amp;" / "&amp;B26,'2020'!$F$24:$F$106,A26)+SUMIFS('2021'!$E$24:$E$112,'2021'!$L$24:$L$112,A26&amp;" / "&amp;B26,'2021'!$C$24:$C$112,A26)+SUMIFS('2021'!$H$24:$H$112,'2021'!$L$24:$L$112,A26&amp;" / "&amp;B26,'2021'!$F$24:$F$112,A26)+SUMIFS('2022'!$E$24:$E$112,'2022'!$L$24:$L$112,A26&amp;" / "&amp;B26,'2022'!$C$24:$C$112,A26)+SUMIFS('2022'!$H$24:$H$112,'2022'!$L$24:$L$112,A26&amp;" / "&amp;B26,'2022'!$F$24:$F$112,A26)+SUMIFS('2023'!$E$24:$E$112,'2023'!$L$24:$L$112,A26&amp;" / "&amp;B26,'2023'!$C$24:$C$112,A26)+SUMIFS('2023'!$H$24:$H$112,'2023'!$L$24:$L$112,A26&amp;" / "&amp;B26,'2023'!$F$24:$F$112,A26)+SUMIFS('2024'!$E$24:$E$112,'2024'!$L$24:$L$112,A26&amp;" / "&amp;B26,'2024'!$C$24:$C$112,A26)+SUMIFS('2024'!$H$24:$H$112,'2024'!$L$24:$L$112,A26&amp;" / "&amp;B26,'2024'!$F$24:$F$112,A26)+SUMIFS('2025'!$E$24:$E$112,'2025'!$L$24:$L$112,A26&amp;" / "&amp;B26,'2025'!$C$24:$C$112,A26)+SUMIFS('2025'!$H$24:$H$112,'2025'!$L$24:$L$112,A26&amp;" / "&amp;B26,'2025'!$F$24:$F$112,A26)</x:f>
        <x:v>868</x:v>
      </x:c>
      <x:c r="H26" s="25" t="n">
        <x:f>SUMIFS('2015'!$E$24:$E$96,'2015'!$L$24:$L$96,A26&amp;" / "&amp;B26,'2015'!$C$24:$C$96,B26)+SUMIFS('2015'!$H$24:$H$96,'2015'!$L$24:$L$96,A26&amp;" / "&amp;B26,'2015'!$F$24:$F$96,B26)+SUMIFS('2016'!$E$24:$E$96,'2016'!$L$24:$L$96,A26&amp;" / "&amp;B26,'2016'!$C$24:$C$96,B26)+SUMIFS('2016'!$H$24:$H$96,'2016'!$L$24:$L$96,A26&amp;" / "&amp;B26,'2016'!$F$24:$F$96,B26)+SUMIFS('2017'!$E$24:$E$106,'2017'!$L$24:$L$106,A26&amp;" / "&amp;B26,'2017'!$C$24:$C$106,B26)+SUMIFS('2017'!$H$24:$H$106,'2017'!$L$24:$L$106,A26&amp;" / "&amp;B26,'2017'!$F$24:$F$106,B26)+SUMIFS('2018'!$E$24:$E$106,'2018'!$L$24:$L$106,A26&amp;" / "&amp;B26,'2018'!$C$24:$C$106,B26)+SUMIFS('2018'!$H$24:$H$106,'2018'!$L$24:$L$106,A26&amp;" / "&amp;B26,'2018'!$F$24:$F$106,B26)+SUMIFS('2019'!$E$24:$E$106,'2019'!$L$24:$L$106,A26&amp;" / "&amp;B26,'2019'!$C$24:$C$106,B26)+SUMIFS('2019'!$H$24:$H$106,'2019'!$L$24:$L$106,A26&amp;" / "&amp;B26,'2019'!$F$24:$F$106,B26)+SUMIFS('2020'!$E$24:$E$106,'2020'!$L$24:$L$106,A26&amp;" / "&amp;B26,'2020'!$C$24:$C$106,B26)+SUMIFS('2020'!$H$24:$H$106,'2020'!$L$24:$L$106,A26&amp;" / "&amp;B26,'2020'!$F$24:$F$106,B26)+SUMIFS('2021'!$E$24:$E$112,'2021'!$L$24:$L$112,A26&amp;" / "&amp;B26,'2021'!$C$24:$C$112,B26)+SUMIFS('2021'!$H$24:$H$112,'2021'!$L$24:$L$112,A26&amp;" / "&amp;B26,'2021'!$F$24:$F$112,B26)+SUMIFS('2022'!$E$24:$E$112,'2022'!$L$24:$L$112,A26&amp;" / "&amp;B26,'2022'!$C$24:$C$112,B26)+SUMIFS('2022'!$H$24:$H$112,'2022'!$L$24:$L$112,A26&amp;" / "&amp;B26,'2022'!$F$24:$F$112,B26)+SUMIFS('2023'!$E$24:$E$112,'2023'!$L$24:$L$112,A26&amp;" / "&amp;B26,'2023'!$C$24:$C$112,B26)+SUMIFS('2023'!$H$24:$H$112,'2023'!$L$24:$L$112,A26&amp;" / "&amp;B26,'2023'!$F$24:$F$112,B26)+SUMIFS('2024'!$E$24:$E$112,'2024'!$L$24:$L$112,A26&amp;" / "&amp;B26,'2024'!$C$24:$C$112,B26)+SUMIFS('2024'!$H$24:$H$112,'2024'!$L$24:$L$112,A26&amp;" / "&amp;B26,'2024'!$F$24:$F$112,B26)+SUMIFS('2025'!$E$24:$E$112,'2025'!$L$24:$L$112,A26&amp;" / "&amp;B26,'2025'!$C$24:$C$112,B26)+SUMIFS('2025'!$H$24:$H$112,'2025'!$L$24:$L$112,A26&amp;" / "&amp;B26,'2025'!$F$24:$F$112,B26)</x:f>
        <x:v>811</x:v>
      </x:c>
      <x:c r="I26" s="11" t="n">
        <x:f>IF(C26=0,0,(D26+0.5*F26)/C26)</x:f>
        <x:v>0.6428571428571429</x:v>
      </x:c>
      <x:c r="J26" s="2" t="n">
        <x:f>COUNTIFS('2015'!$L$24:$L$96,A26&amp;" / "&amp;B26,'2015'!$B$24:$B$96,"Regular")+COUNTIFS('2016'!$L$24:$L$96,A26&amp;" / "&amp;B26,'2016'!$B$24:$B$96,"Regular")+COUNTIFS('2017'!$L$24:$L$106,A26&amp;" / "&amp;B26,'2017'!$B$24:$B$106,"Regular")+COUNTIFS('2018'!$L$24:$L$106,A26&amp;" / "&amp;B26,'2018'!$B$24:$B$106,"Regular")+COUNTIFS('2019'!$L$24:$L$106,A26&amp;" / "&amp;B26,'2019'!$B$24:$B$106,"Regular")+COUNTIFS('2020'!$L$24:$L$106,A26&amp;" / "&amp;B26,'2020'!$B$24:$B$106,"Regular")+COUNTIFS('2021'!$L$24:$L$112,A26&amp;" / "&amp;B26,'2021'!$B$24:$B$112,"Regular")+COUNTIFS('2022'!$L$24:$L$112,A26&amp;" / "&amp;B26,'2022'!$B$24:$B$112,"Regular")+COUNTIFS('2023'!$L$24:$L$112,A26&amp;" / "&amp;B26,'2023'!$B$24:$B$112,"Regular")+COUNTIFS('2024'!$L$24:$L$112,A26&amp;" / "&amp;B26,'2024'!$B$24:$B$112,"Regular")+COUNTIFS('2025'!$L$24:$L$112,A26&amp;" / "&amp;B26,'2025'!$B$24:$B$112,"Regular")</x:f>
        <x:v>7</x:v>
      </x:c>
      <x:c r="K26" s="2" t="n">
        <x:f>COUNTIFS('2015'!$L$24:$L$96,A26&amp;" / "&amp;B26,'2015'!$B$24:$B$96,"Playoffs")+COUNTIFS('2016'!$L$24:$L$96,A26&amp;" / "&amp;B26,'2016'!$B$24:$B$96,"Playoffs")+COUNTIFS('2017'!$L$24:$L$106,A26&amp;" / "&amp;B26,'2017'!$B$24:$B$106,"Playoffs")+COUNTIFS('2018'!$L$24:$L$106,A26&amp;" / "&amp;B26,'2018'!$B$24:$B$106,"Playoffs")+COUNTIFS('2019'!$L$24:$L$106,A26&amp;" / "&amp;B26,'2019'!$B$24:$B$106,"Playoffs")+COUNTIFS('2020'!$L$24:$L$106,A26&amp;" / "&amp;B26,'2020'!$B$24:$B$106,"Playoffs")+COUNTIFS('2021'!$L$24:$L$112,A26&amp;" / "&amp;B26,'2021'!$B$24:$B$112,"Playoffs")+COUNTIFS('2022'!$L$24:$L$112,A26&amp;" / "&amp;B26,'2022'!$B$24:$B$112,"Playoffs")+COUNTIFS('2023'!$L$24:$L$112,A26&amp;" / "&amp;B26,'2023'!$B$24:$B$112,"Playoffs")+COUNTIFS('2024'!$L$24:$L$112,A26&amp;" / "&amp;B26,'2024'!$B$24:$B$112,"Playoffs")+COUNTIFS('2025'!$L$24:$L$112,A26&amp;" / "&amp;B26,'2025'!$B$24:$B$112,"Playoffs")</x:f>
        <x:v>0</x:v>
      </x:c>
      <x:c r="L26" s="2" t="n">
        <x:f>COUNTIFS('2015'!$L$24:$L$96,A26&amp;" / "&amp;B26,'2015'!$B$24:$B$96,"Unconfirmed")+COUNTIFS('2016'!$L$24:$L$96,A26&amp;" / "&amp;B26,'2016'!$B$24:$B$96,"Unconfirmed")+COUNTIFS('2017'!$L$24:$L$106,A26&amp;" / "&amp;B26,'2017'!$B$24:$B$106,"Unconfirmed")+COUNTIFS('2018'!$L$24:$L$106,A26&amp;" / "&amp;B26,'2018'!$B$24:$B$106,"Unconfirmed")+COUNTIFS('2019'!$L$24:$L$106,A26&amp;" / "&amp;B26,'2019'!$B$24:$B$106,"Unconfirmed")+COUNTIFS('2020'!$L$24:$L$106,A26&amp;" / "&amp;B26,'2020'!$B$24:$B$106,"Unconfirmed")+COUNTIFS('2021'!$L$24:$L$112,A26&amp;" / "&amp;B26,'2021'!$B$24:$B$112,"Unconfirmed")+COUNTIFS('2022'!$L$24:$L$112,A26&amp;" / "&amp;B26,'2022'!$B$24:$B$112,"Unconfirmed")+COUNTIFS('2023'!$L$24:$L$112,A26&amp;" / "&amp;B26,'2023'!$B$24:$B$112,"Unconfirmed")+COUNTIFS('2024'!$L$24:$L$112,A26&amp;" / "&amp;B26,'2024'!$B$24:$B$112,"Unconfirmed")+COUNTIFS('2025'!$L$24:$L$112,A26&amp;" / "&amp;B26,'2025'!$B$24:$B$112,"Unconfirmed")</x:f>
        <x:v>0</x:v>
      </x:c>
    </x:row>
    <x:row r="27" ht="22" customHeight="1">
      <x:c r="A27" s="2" t="str">
        <x:v>Ben</x:v>
      </x:c>
      <x:c r="B27" s="2" t="str">
        <x:v>Mark</x:v>
      </x:c>
      <x:c r="C27" s="2" t="n">
        <x:f>COUNTIFS('2015'!$L$24:$L$96,A27&amp;" / "&amp;B27)+COUNTIFS('2016'!$L$24:$L$96,A27&amp;" / "&amp;B27)+COUNTIFS('2017'!$L$24:$L$106,A27&amp;" / "&amp;B27)+COUNTIFS('2018'!$L$24:$L$106,A27&amp;" / "&amp;B27)+COUNTIFS('2019'!$L$24:$L$106,A27&amp;" / "&amp;B27)+COUNTIFS('2020'!$L$24:$L$106,A27&amp;" / "&amp;B27)+COUNTIFS('2021'!$L$24:$L$112,A27&amp;" / "&amp;B27)+COUNTIFS('2022'!$L$24:$L$112,A27&amp;" / "&amp;B27)+COUNTIFS('2023'!$L$24:$L$112,A27&amp;" / "&amp;B27)+COUNTIFS('2024'!$L$24:$L$112,A27&amp;" / "&amp;B27)+COUNTIFS('2025'!$L$24:$L$112,A27&amp;" / "&amp;B27)</x:f>
        <x:v>6</x:v>
      </x:c>
      <x:c r="D27" s="2" t="n">
        <x:f>COUNTIFS('2015'!$L$24:$L$96,A27&amp;" / "&amp;B27,'2015'!$I$24:$I$96,A27)+COUNTIFS('2016'!$L$24:$L$96,A27&amp;" / "&amp;B27,'2016'!$I$24:$I$96,A27)+COUNTIFS('2017'!$L$24:$L$106,A27&amp;" / "&amp;B27,'2017'!$I$24:$I$106,A27)+COUNTIFS('2018'!$L$24:$L$106,A27&amp;" / "&amp;B27,'2018'!$I$24:$I$106,A27)+COUNTIFS('2019'!$L$24:$L$106,A27&amp;" / "&amp;B27,'2019'!$I$24:$I$106,A27)+COUNTIFS('2020'!$L$24:$L$106,A27&amp;" / "&amp;B27,'2020'!$I$24:$I$106,A27)+COUNTIFS('2021'!$L$24:$L$112,A27&amp;" / "&amp;B27,'2021'!$I$24:$I$112,A27)+COUNTIFS('2022'!$L$24:$L$112,A27&amp;" / "&amp;B27,'2022'!$I$24:$I$112,A27)+COUNTIFS('2023'!$L$24:$L$112,A27&amp;" / "&amp;B27,'2023'!$I$24:$I$112,A27)+COUNTIFS('2024'!$L$24:$L$112,A27&amp;" / "&amp;B27,'2024'!$I$24:$I$112,A27)+COUNTIFS('2025'!$L$24:$L$112,A27&amp;" / "&amp;B27,'2025'!$I$24:$I$112,A27)</x:f>
        <x:v>5</x:v>
      </x:c>
      <x:c r="E27" s="2" t="n">
        <x:f>COUNTIFS('2015'!$L$24:$L$96,A27&amp;" / "&amp;B27,'2015'!$I$24:$I$96,B27)+COUNTIFS('2016'!$L$24:$L$96,A27&amp;" / "&amp;B27,'2016'!$I$24:$I$96,B27)+COUNTIFS('2017'!$L$24:$L$106,A27&amp;" / "&amp;B27,'2017'!$I$24:$I$106,B27)+COUNTIFS('2018'!$L$24:$L$106,A27&amp;" / "&amp;B27,'2018'!$I$24:$I$106,B27)+COUNTIFS('2019'!$L$24:$L$106,A27&amp;" / "&amp;B27,'2019'!$I$24:$I$106,B27)+COUNTIFS('2020'!$L$24:$L$106,A27&amp;" / "&amp;B27,'2020'!$I$24:$I$106,B27)+COUNTIFS('2021'!$L$24:$L$112,A27&amp;" / "&amp;B27,'2021'!$I$24:$I$112,B27)+COUNTIFS('2022'!$L$24:$L$112,A27&amp;" / "&amp;B27,'2022'!$I$24:$I$112,B27)+COUNTIFS('2023'!$L$24:$L$112,A27&amp;" / "&amp;B27,'2023'!$I$24:$I$112,B27)+COUNTIFS('2024'!$L$24:$L$112,A27&amp;" / "&amp;B27,'2024'!$I$24:$I$112,B27)+COUNTIFS('2025'!$L$24:$L$112,A27&amp;" / "&amp;B27,'2025'!$I$24:$I$112,B27)</x:f>
        <x:v>1</x:v>
      </x:c>
      <x:c r="F27" s="2" t="n">
        <x:f>COUNTIFS('2015'!$L$24:$L$96,A27&amp;" / "&amp;B27,'2015'!$K$24:$K$96,1)+COUNTIFS('2016'!$L$24:$L$96,A27&amp;" / "&amp;B27,'2016'!$K$24:$K$96,1)+COUNTIFS('2017'!$L$24:$L$106,A27&amp;" / "&amp;B27,'2017'!$K$24:$K$106,1)+COUNTIFS('2018'!$L$24:$L$106,A27&amp;" / "&amp;B27,'2018'!$K$24:$K$106,1)+COUNTIFS('2019'!$L$24:$L$106,A27&amp;" / "&amp;B27,'2019'!$K$24:$K$106,1)+COUNTIFS('2020'!$L$24:$L$106,A27&amp;" / "&amp;B27,'2020'!$K$24:$K$106,1)+COUNTIFS('2021'!$L$24:$L$112,A27&amp;" / "&amp;B27,'2021'!$K$24:$K$112,1)+COUNTIFS('2022'!$L$24:$L$112,A27&amp;" / "&amp;B27,'2022'!$K$24:$K$112,1)+COUNTIFS('2023'!$L$24:$L$112,A27&amp;" / "&amp;B27,'2023'!$K$24:$K$112,1)+COUNTIFS('2024'!$L$24:$L$112,A27&amp;" / "&amp;B27,'2024'!$K$24:$K$112,1)+COUNTIFS('2025'!$L$24:$L$112,A27&amp;" / "&amp;B27,'2025'!$K$24:$K$112,1)</x:f>
        <x:v>0</x:v>
      </x:c>
      <x:c r="G27" s="25" t="n">
        <x:f>SUMIFS('2015'!$E$24:$E$96,'2015'!$L$24:$L$96,A27&amp;" / "&amp;B27,'2015'!$C$24:$C$96,A27)+SUMIFS('2015'!$H$24:$H$96,'2015'!$L$24:$L$96,A27&amp;" / "&amp;B27,'2015'!$F$24:$F$96,A27)+SUMIFS('2016'!$E$24:$E$96,'2016'!$L$24:$L$96,A27&amp;" / "&amp;B27,'2016'!$C$24:$C$96,A27)+SUMIFS('2016'!$H$24:$H$96,'2016'!$L$24:$L$96,A27&amp;" / "&amp;B27,'2016'!$F$24:$F$96,A27)+SUMIFS('2017'!$E$24:$E$106,'2017'!$L$24:$L$106,A27&amp;" / "&amp;B27,'2017'!$C$24:$C$106,A27)+SUMIFS('2017'!$H$24:$H$106,'2017'!$L$24:$L$106,A27&amp;" / "&amp;B27,'2017'!$F$24:$F$106,A27)+SUMIFS('2018'!$E$24:$E$106,'2018'!$L$24:$L$106,A27&amp;" / "&amp;B27,'2018'!$C$24:$C$106,A27)+SUMIFS('2018'!$H$24:$H$106,'2018'!$L$24:$L$106,A27&amp;" / "&amp;B27,'2018'!$F$24:$F$106,A27)+SUMIFS('2019'!$E$24:$E$106,'2019'!$L$24:$L$106,A27&amp;" / "&amp;B27,'2019'!$C$24:$C$106,A27)+SUMIFS('2019'!$H$24:$H$106,'2019'!$L$24:$L$106,A27&amp;" / "&amp;B27,'2019'!$F$24:$F$106,A27)+SUMIFS('2020'!$E$24:$E$106,'2020'!$L$24:$L$106,A27&amp;" / "&amp;B27,'2020'!$C$24:$C$106,A27)+SUMIFS('2020'!$H$24:$H$106,'2020'!$L$24:$L$106,A27&amp;" / "&amp;B27,'2020'!$F$24:$F$106,A27)+SUMIFS('2021'!$E$24:$E$112,'2021'!$L$24:$L$112,A27&amp;" / "&amp;B27,'2021'!$C$24:$C$112,A27)+SUMIFS('2021'!$H$24:$H$112,'2021'!$L$24:$L$112,A27&amp;" / "&amp;B27,'2021'!$F$24:$F$112,A27)+SUMIFS('2022'!$E$24:$E$112,'2022'!$L$24:$L$112,A27&amp;" / "&amp;B27,'2022'!$C$24:$C$112,A27)+SUMIFS('2022'!$H$24:$H$112,'2022'!$L$24:$L$112,A27&amp;" / "&amp;B27,'2022'!$F$24:$F$112,A27)+SUMIFS('2023'!$E$24:$E$112,'2023'!$L$24:$L$112,A27&amp;" / "&amp;B27,'2023'!$C$24:$C$112,A27)+SUMIFS('2023'!$H$24:$H$112,'2023'!$L$24:$L$112,A27&amp;" / "&amp;B27,'2023'!$F$24:$F$112,A27)+SUMIFS('2024'!$E$24:$E$112,'2024'!$L$24:$L$112,A27&amp;" / "&amp;B27,'2024'!$C$24:$C$112,A27)+SUMIFS('2024'!$H$24:$H$112,'2024'!$L$24:$L$112,A27&amp;" / "&amp;B27,'2024'!$F$24:$F$112,A27)+SUMIFS('2025'!$E$24:$E$112,'2025'!$L$24:$L$112,A27&amp;" / "&amp;B27,'2025'!$C$24:$C$112,A27)+SUMIFS('2025'!$H$24:$H$112,'2025'!$L$24:$L$112,A27&amp;" / "&amp;B27,'2025'!$F$24:$F$112,A27)</x:f>
        <x:v>838</x:v>
      </x:c>
      <x:c r="H27" s="25" t="n">
        <x:f>SUMIFS('2015'!$E$24:$E$96,'2015'!$L$24:$L$96,A27&amp;" / "&amp;B27,'2015'!$C$24:$C$96,B27)+SUMIFS('2015'!$H$24:$H$96,'2015'!$L$24:$L$96,A27&amp;" / "&amp;B27,'2015'!$F$24:$F$96,B27)+SUMIFS('2016'!$E$24:$E$96,'2016'!$L$24:$L$96,A27&amp;" / "&amp;B27,'2016'!$C$24:$C$96,B27)+SUMIFS('2016'!$H$24:$H$96,'2016'!$L$24:$L$96,A27&amp;" / "&amp;B27,'2016'!$F$24:$F$96,B27)+SUMIFS('2017'!$E$24:$E$106,'2017'!$L$24:$L$106,A27&amp;" / "&amp;B27,'2017'!$C$24:$C$106,B27)+SUMIFS('2017'!$H$24:$H$106,'2017'!$L$24:$L$106,A27&amp;" / "&amp;B27,'2017'!$F$24:$F$106,B27)+SUMIFS('2018'!$E$24:$E$106,'2018'!$L$24:$L$106,A27&amp;" / "&amp;B27,'2018'!$C$24:$C$106,B27)+SUMIFS('2018'!$H$24:$H$106,'2018'!$L$24:$L$106,A27&amp;" / "&amp;B27,'2018'!$F$24:$F$106,B27)+SUMIFS('2019'!$E$24:$E$106,'2019'!$L$24:$L$106,A27&amp;" / "&amp;B27,'2019'!$C$24:$C$106,B27)+SUMIFS('2019'!$H$24:$H$106,'2019'!$L$24:$L$106,A27&amp;" / "&amp;B27,'2019'!$F$24:$F$106,B27)+SUMIFS('2020'!$E$24:$E$106,'2020'!$L$24:$L$106,A27&amp;" / "&amp;B27,'2020'!$C$24:$C$106,B27)+SUMIFS('2020'!$H$24:$H$106,'2020'!$L$24:$L$106,A27&amp;" / "&amp;B27,'2020'!$F$24:$F$106,B27)+SUMIFS('2021'!$E$24:$E$112,'2021'!$L$24:$L$112,A27&amp;" / "&amp;B27,'2021'!$C$24:$C$112,B27)+SUMIFS('2021'!$H$24:$H$112,'2021'!$L$24:$L$112,A27&amp;" / "&amp;B27,'2021'!$F$24:$F$112,B27)+SUMIFS('2022'!$E$24:$E$112,'2022'!$L$24:$L$112,A27&amp;" / "&amp;B27,'2022'!$C$24:$C$112,B27)+SUMIFS('2022'!$H$24:$H$112,'2022'!$L$24:$L$112,A27&amp;" / "&amp;B27,'2022'!$F$24:$F$112,B27)+SUMIFS('2023'!$E$24:$E$112,'2023'!$L$24:$L$112,A27&amp;" / "&amp;B27,'2023'!$C$24:$C$112,B27)+SUMIFS('2023'!$H$24:$H$112,'2023'!$L$24:$L$112,A27&amp;" / "&amp;B27,'2023'!$F$24:$F$112,B27)+SUMIFS('2024'!$E$24:$E$112,'2024'!$L$24:$L$112,A27&amp;" / "&amp;B27,'2024'!$C$24:$C$112,B27)+SUMIFS('2024'!$H$24:$H$112,'2024'!$L$24:$L$112,A27&amp;" / "&amp;B27,'2024'!$F$24:$F$112,B27)+SUMIFS('2025'!$E$24:$E$112,'2025'!$L$24:$L$112,A27&amp;" / "&amp;B27,'2025'!$C$24:$C$112,B27)+SUMIFS('2025'!$H$24:$H$112,'2025'!$L$24:$L$112,A27&amp;" / "&amp;B27,'2025'!$F$24:$F$112,B27)</x:f>
        <x:v>654</x:v>
      </x:c>
      <x:c r="I27" s="11" t="n">
        <x:f>IF(C27=0,0,(D27+0.5*F27)/C27)</x:f>
        <x:v>0.8333333333333334</x:v>
      </x:c>
      <x:c r="J27" s="2" t="n">
        <x:f>COUNTIFS('2015'!$L$24:$L$96,A27&amp;" / "&amp;B27,'2015'!$B$24:$B$96,"Regular")+COUNTIFS('2016'!$L$24:$L$96,A27&amp;" / "&amp;B27,'2016'!$B$24:$B$96,"Regular")+COUNTIFS('2017'!$L$24:$L$106,A27&amp;" / "&amp;B27,'2017'!$B$24:$B$106,"Regular")+COUNTIFS('2018'!$L$24:$L$106,A27&amp;" / "&amp;B27,'2018'!$B$24:$B$106,"Regular")+COUNTIFS('2019'!$L$24:$L$106,A27&amp;" / "&amp;B27,'2019'!$B$24:$B$106,"Regular")+COUNTIFS('2020'!$L$24:$L$106,A27&amp;" / "&amp;B27,'2020'!$B$24:$B$106,"Regular")+COUNTIFS('2021'!$L$24:$L$112,A27&amp;" / "&amp;B27,'2021'!$B$24:$B$112,"Regular")+COUNTIFS('2022'!$L$24:$L$112,A27&amp;" / "&amp;B27,'2022'!$B$24:$B$112,"Regular")+COUNTIFS('2023'!$L$24:$L$112,A27&amp;" / "&amp;B27,'2023'!$B$24:$B$112,"Regular")+COUNTIFS('2024'!$L$24:$L$112,A27&amp;" / "&amp;B27,'2024'!$B$24:$B$112,"Regular")+COUNTIFS('2025'!$L$24:$L$112,A27&amp;" / "&amp;B27,'2025'!$B$24:$B$112,"Regular")</x:f>
        <x:v>6</x:v>
      </x:c>
      <x:c r="K27" s="2" t="n">
        <x:f>COUNTIFS('2015'!$L$24:$L$96,A27&amp;" / "&amp;B27,'2015'!$B$24:$B$96,"Playoffs")+COUNTIFS('2016'!$L$24:$L$96,A27&amp;" / "&amp;B27,'2016'!$B$24:$B$96,"Playoffs")+COUNTIFS('2017'!$L$24:$L$106,A27&amp;" / "&amp;B27,'2017'!$B$24:$B$106,"Playoffs")+COUNTIFS('2018'!$L$24:$L$106,A27&amp;" / "&amp;B27,'2018'!$B$24:$B$106,"Playoffs")+COUNTIFS('2019'!$L$24:$L$106,A27&amp;" / "&amp;B27,'2019'!$B$24:$B$106,"Playoffs")+COUNTIFS('2020'!$L$24:$L$106,A27&amp;" / "&amp;B27,'2020'!$B$24:$B$106,"Playoffs")+COUNTIFS('2021'!$L$24:$L$112,A27&amp;" / "&amp;B27,'2021'!$B$24:$B$112,"Playoffs")+COUNTIFS('2022'!$L$24:$L$112,A27&amp;" / "&amp;B27,'2022'!$B$24:$B$112,"Playoffs")+COUNTIFS('2023'!$L$24:$L$112,A27&amp;" / "&amp;B27,'2023'!$B$24:$B$112,"Playoffs")+COUNTIFS('2024'!$L$24:$L$112,A27&amp;" / "&amp;B27,'2024'!$B$24:$B$112,"Playoffs")+COUNTIFS('2025'!$L$24:$L$112,A27&amp;" / "&amp;B27,'2025'!$B$24:$B$112,"Playoffs")</x:f>
        <x:v>0</x:v>
      </x:c>
      <x:c r="L27" s="2" t="n">
        <x:f>COUNTIFS('2015'!$L$24:$L$96,A27&amp;" / "&amp;B27,'2015'!$B$24:$B$96,"Unconfirmed")+COUNTIFS('2016'!$L$24:$L$96,A27&amp;" / "&amp;B27,'2016'!$B$24:$B$96,"Unconfirmed")+COUNTIFS('2017'!$L$24:$L$106,A27&amp;" / "&amp;B27,'2017'!$B$24:$B$106,"Unconfirmed")+COUNTIFS('2018'!$L$24:$L$106,A27&amp;" / "&amp;B27,'2018'!$B$24:$B$106,"Unconfirmed")+COUNTIFS('2019'!$L$24:$L$106,A27&amp;" / "&amp;B27,'2019'!$B$24:$B$106,"Unconfirmed")+COUNTIFS('2020'!$L$24:$L$106,A27&amp;" / "&amp;B27,'2020'!$B$24:$B$106,"Unconfirmed")+COUNTIFS('2021'!$L$24:$L$112,A27&amp;" / "&amp;B27,'2021'!$B$24:$B$112,"Unconfirmed")+COUNTIFS('2022'!$L$24:$L$112,A27&amp;" / "&amp;B27,'2022'!$B$24:$B$112,"Unconfirmed")+COUNTIFS('2023'!$L$24:$L$112,A27&amp;" / "&amp;B27,'2023'!$B$24:$B$112,"Unconfirmed")+COUNTIFS('2024'!$L$24:$L$112,A27&amp;" / "&amp;B27,'2024'!$B$24:$B$112,"Unconfirmed")+COUNTIFS('2025'!$L$24:$L$112,A27&amp;" / "&amp;B27,'2025'!$B$24:$B$112,"Unconfirmed")</x:f>
        <x:v>0</x:v>
      </x:c>
    </x:row>
    <x:row r="28" ht="22" customHeight="1">
      <x:c r="A28" s="2" t="str">
        <x:v>Ben</x:v>
      </x:c>
      <x:c r="B28" s="2" t="str">
        <x:v>Matt</x:v>
      </x:c>
      <x:c r="C28" s="2" t="n">
        <x:f>COUNTIFS('2015'!$L$24:$L$96,A28&amp;" / "&amp;B28)+COUNTIFS('2016'!$L$24:$L$96,A28&amp;" / "&amp;B28)+COUNTIFS('2017'!$L$24:$L$106,A28&amp;" / "&amp;B28)+COUNTIFS('2018'!$L$24:$L$106,A28&amp;" / "&amp;B28)+COUNTIFS('2019'!$L$24:$L$106,A28&amp;" / "&amp;B28)+COUNTIFS('2020'!$L$24:$L$106,A28&amp;" / "&amp;B28)+COUNTIFS('2021'!$L$24:$L$112,A28&amp;" / "&amp;B28)+COUNTIFS('2022'!$L$24:$L$112,A28&amp;" / "&amp;B28)+COUNTIFS('2023'!$L$24:$L$112,A28&amp;" / "&amp;B28)+COUNTIFS('2024'!$L$24:$L$112,A28&amp;" / "&amp;B28)+COUNTIFS('2025'!$L$24:$L$112,A28&amp;" / "&amp;B28)</x:f>
        <x:v>8</x:v>
      </x:c>
      <x:c r="D28" s="2" t="n">
        <x:f>COUNTIFS('2015'!$L$24:$L$96,A28&amp;" / "&amp;B28,'2015'!$I$24:$I$96,A28)+COUNTIFS('2016'!$L$24:$L$96,A28&amp;" / "&amp;B28,'2016'!$I$24:$I$96,A28)+COUNTIFS('2017'!$L$24:$L$106,A28&amp;" / "&amp;B28,'2017'!$I$24:$I$106,A28)+COUNTIFS('2018'!$L$24:$L$106,A28&amp;" / "&amp;B28,'2018'!$I$24:$I$106,A28)+COUNTIFS('2019'!$L$24:$L$106,A28&amp;" / "&amp;B28,'2019'!$I$24:$I$106,A28)+COUNTIFS('2020'!$L$24:$L$106,A28&amp;" / "&amp;B28,'2020'!$I$24:$I$106,A28)+COUNTIFS('2021'!$L$24:$L$112,A28&amp;" / "&amp;B28,'2021'!$I$24:$I$112,A28)+COUNTIFS('2022'!$L$24:$L$112,A28&amp;" / "&amp;B28,'2022'!$I$24:$I$112,A28)+COUNTIFS('2023'!$L$24:$L$112,A28&amp;" / "&amp;B28,'2023'!$I$24:$I$112,A28)+COUNTIFS('2024'!$L$24:$L$112,A28&amp;" / "&amp;B28,'2024'!$I$24:$I$112,A28)+COUNTIFS('2025'!$L$24:$L$112,A28&amp;" / "&amp;B28,'2025'!$I$24:$I$112,A28)</x:f>
        <x:v>3</x:v>
      </x:c>
      <x:c r="E28" s="2" t="n">
        <x:f>COUNTIFS('2015'!$L$24:$L$96,A28&amp;" / "&amp;B28,'2015'!$I$24:$I$96,B28)+COUNTIFS('2016'!$L$24:$L$96,A28&amp;" / "&amp;B28,'2016'!$I$24:$I$96,B28)+COUNTIFS('2017'!$L$24:$L$106,A28&amp;" / "&amp;B28,'2017'!$I$24:$I$106,B28)+COUNTIFS('2018'!$L$24:$L$106,A28&amp;" / "&amp;B28,'2018'!$I$24:$I$106,B28)+COUNTIFS('2019'!$L$24:$L$106,A28&amp;" / "&amp;B28,'2019'!$I$24:$I$106,B28)+COUNTIFS('2020'!$L$24:$L$106,A28&amp;" / "&amp;B28,'2020'!$I$24:$I$106,B28)+COUNTIFS('2021'!$L$24:$L$112,A28&amp;" / "&amp;B28,'2021'!$I$24:$I$112,B28)+COUNTIFS('2022'!$L$24:$L$112,A28&amp;" / "&amp;B28,'2022'!$I$24:$I$112,B28)+COUNTIFS('2023'!$L$24:$L$112,A28&amp;" / "&amp;B28,'2023'!$I$24:$I$112,B28)+COUNTIFS('2024'!$L$24:$L$112,A28&amp;" / "&amp;B28,'2024'!$I$24:$I$112,B28)+COUNTIFS('2025'!$L$24:$L$112,A28&amp;" / "&amp;B28,'2025'!$I$24:$I$112,B28)</x:f>
        <x:v>5</x:v>
      </x:c>
      <x:c r="F28" s="2" t="n">
        <x:f>COUNTIFS('2015'!$L$24:$L$96,A28&amp;" / "&amp;B28,'2015'!$K$24:$K$96,1)+COUNTIFS('2016'!$L$24:$L$96,A28&amp;" / "&amp;B28,'2016'!$K$24:$K$96,1)+COUNTIFS('2017'!$L$24:$L$106,A28&amp;" / "&amp;B28,'2017'!$K$24:$K$106,1)+COUNTIFS('2018'!$L$24:$L$106,A28&amp;" / "&amp;B28,'2018'!$K$24:$K$106,1)+COUNTIFS('2019'!$L$24:$L$106,A28&amp;" / "&amp;B28,'2019'!$K$24:$K$106,1)+COUNTIFS('2020'!$L$24:$L$106,A28&amp;" / "&amp;B28,'2020'!$K$24:$K$106,1)+COUNTIFS('2021'!$L$24:$L$112,A28&amp;" / "&amp;B28,'2021'!$K$24:$K$112,1)+COUNTIFS('2022'!$L$24:$L$112,A28&amp;" / "&amp;B28,'2022'!$K$24:$K$112,1)+COUNTIFS('2023'!$L$24:$L$112,A28&amp;" / "&amp;B28,'2023'!$K$24:$K$112,1)+COUNTIFS('2024'!$L$24:$L$112,A28&amp;" / "&amp;B28,'2024'!$K$24:$K$112,1)+COUNTIFS('2025'!$L$24:$L$112,A28&amp;" / "&amp;B28,'2025'!$K$24:$K$112,1)</x:f>
        <x:v>0</x:v>
      </x:c>
      <x:c r="G28" s="25" t="n">
        <x:f>SUMIFS('2015'!$E$24:$E$96,'2015'!$L$24:$L$96,A28&amp;" / "&amp;B28,'2015'!$C$24:$C$96,A28)+SUMIFS('2015'!$H$24:$H$96,'2015'!$L$24:$L$96,A28&amp;" / "&amp;B28,'2015'!$F$24:$F$96,A28)+SUMIFS('2016'!$E$24:$E$96,'2016'!$L$24:$L$96,A28&amp;" / "&amp;B28,'2016'!$C$24:$C$96,A28)+SUMIFS('2016'!$H$24:$H$96,'2016'!$L$24:$L$96,A28&amp;" / "&amp;B28,'2016'!$F$24:$F$96,A28)+SUMIFS('2017'!$E$24:$E$106,'2017'!$L$24:$L$106,A28&amp;" / "&amp;B28,'2017'!$C$24:$C$106,A28)+SUMIFS('2017'!$H$24:$H$106,'2017'!$L$24:$L$106,A28&amp;" / "&amp;B28,'2017'!$F$24:$F$106,A28)+SUMIFS('2018'!$E$24:$E$106,'2018'!$L$24:$L$106,A28&amp;" / "&amp;B28,'2018'!$C$24:$C$106,A28)+SUMIFS('2018'!$H$24:$H$106,'2018'!$L$24:$L$106,A28&amp;" / "&amp;B28,'2018'!$F$24:$F$106,A28)+SUMIFS('2019'!$E$24:$E$106,'2019'!$L$24:$L$106,A28&amp;" / "&amp;B28,'2019'!$C$24:$C$106,A28)+SUMIFS('2019'!$H$24:$H$106,'2019'!$L$24:$L$106,A28&amp;" / "&amp;B28,'2019'!$F$24:$F$106,A28)+SUMIFS('2020'!$E$24:$E$106,'2020'!$L$24:$L$106,A28&amp;" / "&amp;B28,'2020'!$C$24:$C$106,A28)+SUMIFS('2020'!$H$24:$H$106,'2020'!$L$24:$L$106,A28&amp;" / "&amp;B28,'2020'!$F$24:$F$106,A28)+SUMIFS('2021'!$E$24:$E$112,'2021'!$L$24:$L$112,A28&amp;" / "&amp;B28,'2021'!$C$24:$C$112,A28)+SUMIFS('2021'!$H$24:$H$112,'2021'!$L$24:$L$112,A28&amp;" / "&amp;B28,'2021'!$F$24:$F$112,A28)+SUMIFS('2022'!$E$24:$E$112,'2022'!$L$24:$L$112,A28&amp;" / "&amp;B28,'2022'!$C$24:$C$112,A28)+SUMIFS('2022'!$H$24:$H$112,'2022'!$L$24:$L$112,A28&amp;" / "&amp;B28,'2022'!$F$24:$F$112,A28)+SUMIFS('2023'!$E$24:$E$112,'2023'!$L$24:$L$112,A28&amp;" / "&amp;B28,'2023'!$C$24:$C$112,A28)+SUMIFS('2023'!$H$24:$H$112,'2023'!$L$24:$L$112,A28&amp;" / "&amp;B28,'2023'!$F$24:$F$112,A28)+SUMIFS('2024'!$E$24:$E$112,'2024'!$L$24:$L$112,A28&amp;" / "&amp;B28,'2024'!$C$24:$C$112,A28)+SUMIFS('2024'!$H$24:$H$112,'2024'!$L$24:$L$112,A28&amp;" / "&amp;B28,'2024'!$F$24:$F$112,A28)+SUMIFS('2025'!$E$24:$E$112,'2025'!$L$24:$L$112,A28&amp;" / "&amp;B28,'2025'!$C$24:$C$112,A28)+SUMIFS('2025'!$H$24:$H$112,'2025'!$L$24:$L$112,A28&amp;" / "&amp;B28,'2025'!$F$24:$F$112,A28)</x:f>
        <x:v>900</x:v>
      </x:c>
      <x:c r="H28" s="25" t="n">
        <x:f>SUMIFS('2015'!$E$24:$E$96,'2015'!$L$24:$L$96,A28&amp;" / "&amp;B28,'2015'!$C$24:$C$96,B28)+SUMIFS('2015'!$H$24:$H$96,'2015'!$L$24:$L$96,A28&amp;" / "&amp;B28,'2015'!$F$24:$F$96,B28)+SUMIFS('2016'!$E$24:$E$96,'2016'!$L$24:$L$96,A28&amp;" / "&amp;B28,'2016'!$C$24:$C$96,B28)+SUMIFS('2016'!$H$24:$H$96,'2016'!$L$24:$L$96,A28&amp;" / "&amp;B28,'2016'!$F$24:$F$96,B28)+SUMIFS('2017'!$E$24:$E$106,'2017'!$L$24:$L$106,A28&amp;" / "&amp;B28,'2017'!$C$24:$C$106,B28)+SUMIFS('2017'!$H$24:$H$106,'2017'!$L$24:$L$106,A28&amp;" / "&amp;B28,'2017'!$F$24:$F$106,B28)+SUMIFS('2018'!$E$24:$E$106,'2018'!$L$24:$L$106,A28&amp;" / "&amp;B28,'2018'!$C$24:$C$106,B28)+SUMIFS('2018'!$H$24:$H$106,'2018'!$L$24:$L$106,A28&amp;" / "&amp;B28,'2018'!$F$24:$F$106,B28)+SUMIFS('2019'!$E$24:$E$106,'2019'!$L$24:$L$106,A28&amp;" / "&amp;B28,'2019'!$C$24:$C$106,B28)+SUMIFS('2019'!$H$24:$H$106,'2019'!$L$24:$L$106,A28&amp;" / "&amp;B28,'2019'!$F$24:$F$106,B28)+SUMIFS('2020'!$E$24:$E$106,'2020'!$L$24:$L$106,A28&amp;" / "&amp;B28,'2020'!$C$24:$C$106,B28)+SUMIFS('2020'!$H$24:$H$106,'2020'!$L$24:$L$106,A28&amp;" / "&amp;B28,'2020'!$F$24:$F$106,B28)+SUMIFS('2021'!$E$24:$E$112,'2021'!$L$24:$L$112,A28&amp;" / "&amp;B28,'2021'!$C$24:$C$112,B28)+SUMIFS('2021'!$H$24:$H$112,'2021'!$L$24:$L$112,A28&amp;" / "&amp;B28,'2021'!$F$24:$F$112,B28)+SUMIFS('2022'!$E$24:$E$112,'2022'!$L$24:$L$112,A28&amp;" / "&amp;B28,'2022'!$C$24:$C$112,B28)+SUMIFS('2022'!$H$24:$H$112,'2022'!$L$24:$L$112,A28&amp;" / "&amp;B28,'2022'!$F$24:$F$112,B28)+SUMIFS('2023'!$E$24:$E$112,'2023'!$L$24:$L$112,A28&amp;" / "&amp;B28,'2023'!$C$24:$C$112,B28)+SUMIFS('2023'!$H$24:$H$112,'2023'!$L$24:$L$112,A28&amp;" / "&amp;B28,'2023'!$F$24:$F$112,B28)+SUMIFS('2024'!$E$24:$E$112,'2024'!$L$24:$L$112,A28&amp;" / "&amp;B28,'2024'!$C$24:$C$112,B28)+SUMIFS('2024'!$H$24:$H$112,'2024'!$L$24:$L$112,A28&amp;" / "&amp;B28,'2024'!$F$24:$F$112,B28)+SUMIFS('2025'!$E$24:$E$112,'2025'!$L$24:$L$112,A28&amp;" / "&amp;B28,'2025'!$C$24:$C$112,B28)+SUMIFS('2025'!$H$24:$H$112,'2025'!$L$24:$L$112,A28&amp;" / "&amp;B28,'2025'!$F$24:$F$112,B28)</x:f>
        <x:v>933</x:v>
      </x:c>
      <x:c r="I28" s="11" t="n">
        <x:f>IF(C28=0,0,(D28+0.5*F28)/C28)</x:f>
        <x:v>0.375</x:v>
      </x:c>
      <x:c r="J28" s="2" t="n">
        <x:f>COUNTIFS('2015'!$L$24:$L$96,A28&amp;" / "&amp;B28,'2015'!$B$24:$B$96,"Regular")+COUNTIFS('2016'!$L$24:$L$96,A28&amp;" / "&amp;B28,'2016'!$B$24:$B$96,"Regular")+COUNTIFS('2017'!$L$24:$L$106,A28&amp;" / "&amp;B28,'2017'!$B$24:$B$106,"Regular")+COUNTIFS('2018'!$L$24:$L$106,A28&amp;" / "&amp;B28,'2018'!$B$24:$B$106,"Regular")+COUNTIFS('2019'!$L$24:$L$106,A28&amp;" / "&amp;B28,'2019'!$B$24:$B$106,"Regular")+COUNTIFS('2020'!$L$24:$L$106,A28&amp;" / "&amp;B28,'2020'!$B$24:$B$106,"Regular")+COUNTIFS('2021'!$L$24:$L$112,A28&amp;" / "&amp;B28,'2021'!$B$24:$B$112,"Regular")+COUNTIFS('2022'!$L$24:$L$112,A28&amp;" / "&amp;B28,'2022'!$B$24:$B$112,"Regular")+COUNTIFS('2023'!$L$24:$L$112,A28&amp;" / "&amp;B28,'2023'!$B$24:$B$112,"Regular")+COUNTIFS('2024'!$L$24:$L$112,A28&amp;" / "&amp;B28,'2024'!$B$24:$B$112,"Regular")+COUNTIFS('2025'!$L$24:$L$112,A28&amp;" / "&amp;B28,'2025'!$B$24:$B$112,"Regular")</x:f>
        <x:v>7</x:v>
      </x:c>
      <x:c r="K28" s="2" t="n">
        <x:f>COUNTIFS('2015'!$L$24:$L$96,A28&amp;" / "&amp;B28,'2015'!$B$24:$B$96,"Playoffs")+COUNTIFS('2016'!$L$24:$L$96,A28&amp;" / "&amp;B28,'2016'!$B$24:$B$96,"Playoffs")+COUNTIFS('2017'!$L$24:$L$106,A28&amp;" / "&amp;B28,'2017'!$B$24:$B$106,"Playoffs")+COUNTIFS('2018'!$L$24:$L$106,A28&amp;" / "&amp;B28,'2018'!$B$24:$B$106,"Playoffs")+COUNTIFS('2019'!$L$24:$L$106,A28&amp;" / "&amp;B28,'2019'!$B$24:$B$106,"Playoffs")+COUNTIFS('2020'!$L$24:$L$106,A28&amp;" / "&amp;B28,'2020'!$B$24:$B$106,"Playoffs")+COUNTIFS('2021'!$L$24:$L$112,A28&amp;" / "&amp;B28,'2021'!$B$24:$B$112,"Playoffs")+COUNTIFS('2022'!$L$24:$L$112,A28&amp;" / "&amp;B28,'2022'!$B$24:$B$112,"Playoffs")+COUNTIFS('2023'!$L$24:$L$112,A28&amp;" / "&amp;B28,'2023'!$B$24:$B$112,"Playoffs")+COUNTIFS('2024'!$L$24:$L$112,A28&amp;" / "&amp;B28,'2024'!$B$24:$B$112,"Playoffs")+COUNTIFS('2025'!$L$24:$L$112,A28&amp;" / "&amp;B28,'2025'!$B$24:$B$112,"Playoffs")</x:f>
        <x:v>1</x:v>
      </x:c>
      <x:c r="L28" s="2" t="n">
        <x:f>COUNTIFS('2015'!$L$24:$L$96,A28&amp;" / "&amp;B28,'2015'!$B$24:$B$96,"Unconfirmed")+COUNTIFS('2016'!$L$24:$L$96,A28&amp;" / "&amp;B28,'2016'!$B$24:$B$96,"Unconfirmed")+COUNTIFS('2017'!$L$24:$L$106,A28&amp;" / "&amp;B28,'2017'!$B$24:$B$106,"Unconfirmed")+COUNTIFS('2018'!$L$24:$L$106,A28&amp;" / "&amp;B28,'2018'!$B$24:$B$106,"Unconfirmed")+COUNTIFS('2019'!$L$24:$L$106,A28&amp;" / "&amp;B28,'2019'!$B$24:$B$106,"Unconfirmed")+COUNTIFS('2020'!$L$24:$L$106,A28&amp;" / "&amp;B28,'2020'!$B$24:$B$106,"Unconfirmed")+COUNTIFS('2021'!$L$24:$L$112,A28&amp;" / "&amp;B28,'2021'!$B$24:$B$112,"Unconfirmed")+COUNTIFS('2022'!$L$24:$L$112,A28&amp;" / "&amp;B28,'2022'!$B$24:$B$112,"Unconfirmed")+COUNTIFS('2023'!$L$24:$L$112,A28&amp;" / "&amp;B28,'2023'!$B$24:$B$112,"Unconfirmed")+COUNTIFS('2024'!$L$24:$L$112,A28&amp;" / "&amp;B28,'2024'!$B$24:$B$112,"Unconfirmed")+COUNTIFS('2025'!$L$24:$L$112,A28&amp;" / "&amp;B28,'2025'!$B$24:$B$112,"Unconfirmed")</x:f>
        <x:v>0</x:v>
      </x:c>
    </x:row>
    <x:row r="29" ht="22" customHeight="1">
      <x:c r="A29" s="2" t="str">
        <x:v>Ben</x:v>
      </x:c>
      <x:c r="B29" s="2" t="str">
        <x:v>Mike</x:v>
      </x:c>
      <x:c r="C29" s="2" t="n">
        <x:f>COUNTIFS('2015'!$L$24:$L$96,A29&amp;" / "&amp;B29)+COUNTIFS('2016'!$L$24:$L$96,A29&amp;" / "&amp;B29)+COUNTIFS('2017'!$L$24:$L$106,A29&amp;" / "&amp;B29)+COUNTIFS('2018'!$L$24:$L$106,A29&amp;" / "&amp;B29)+COUNTIFS('2019'!$L$24:$L$106,A29&amp;" / "&amp;B29)+COUNTIFS('2020'!$L$24:$L$106,A29&amp;" / "&amp;B29)+COUNTIFS('2021'!$L$24:$L$112,A29&amp;" / "&amp;B29)+COUNTIFS('2022'!$L$24:$L$112,A29&amp;" / "&amp;B29)+COUNTIFS('2023'!$L$24:$L$112,A29&amp;" / "&amp;B29)+COUNTIFS('2024'!$L$24:$L$112,A29&amp;" / "&amp;B29)+COUNTIFS('2025'!$L$24:$L$112,A29&amp;" / "&amp;B29)</x:f>
        <x:v>3</x:v>
      </x:c>
      <x:c r="D29" s="2" t="n">
        <x:f>COUNTIFS('2015'!$L$24:$L$96,A29&amp;" / "&amp;B29,'2015'!$I$24:$I$96,A29)+COUNTIFS('2016'!$L$24:$L$96,A29&amp;" / "&amp;B29,'2016'!$I$24:$I$96,A29)+COUNTIFS('2017'!$L$24:$L$106,A29&amp;" / "&amp;B29,'2017'!$I$24:$I$106,A29)+COUNTIFS('2018'!$L$24:$L$106,A29&amp;" / "&amp;B29,'2018'!$I$24:$I$106,A29)+COUNTIFS('2019'!$L$24:$L$106,A29&amp;" / "&amp;B29,'2019'!$I$24:$I$106,A29)+COUNTIFS('2020'!$L$24:$L$106,A29&amp;" / "&amp;B29,'2020'!$I$24:$I$106,A29)+COUNTIFS('2021'!$L$24:$L$112,A29&amp;" / "&amp;B29,'2021'!$I$24:$I$112,A29)+COUNTIFS('2022'!$L$24:$L$112,A29&amp;" / "&amp;B29,'2022'!$I$24:$I$112,A29)+COUNTIFS('2023'!$L$24:$L$112,A29&amp;" / "&amp;B29,'2023'!$I$24:$I$112,A29)+COUNTIFS('2024'!$L$24:$L$112,A29&amp;" / "&amp;B29,'2024'!$I$24:$I$112,A29)+COUNTIFS('2025'!$L$24:$L$112,A29&amp;" / "&amp;B29,'2025'!$I$24:$I$112,A29)</x:f>
        <x:v>2</x:v>
      </x:c>
      <x:c r="E29" s="2" t="n">
        <x:f>COUNTIFS('2015'!$L$24:$L$96,A29&amp;" / "&amp;B29,'2015'!$I$24:$I$96,B29)+COUNTIFS('2016'!$L$24:$L$96,A29&amp;" / "&amp;B29,'2016'!$I$24:$I$96,B29)+COUNTIFS('2017'!$L$24:$L$106,A29&amp;" / "&amp;B29,'2017'!$I$24:$I$106,B29)+COUNTIFS('2018'!$L$24:$L$106,A29&amp;" / "&amp;B29,'2018'!$I$24:$I$106,B29)+COUNTIFS('2019'!$L$24:$L$106,A29&amp;" / "&amp;B29,'2019'!$I$24:$I$106,B29)+COUNTIFS('2020'!$L$24:$L$106,A29&amp;" / "&amp;B29,'2020'!$I$24:$I$106,B29)+COUNTIFS('2021'!$L$24:$L$112,A29&amp;" / "&amp;B29,'2021'!$I$24:$I$112,B29)+COUNTIFS('2022'!$L$24:$L$112,A29&amp;" / "&amp;B29,'2022'!$I$24:$I$112,B29)+COUNTIFS('2023'!$L$24:$L$112,A29&amp;" / "&amp;B29,'2023'!$I$24:$I$112,B29)+COUNTIFS('2024'!$L$24:$L$112,A29&amp;" / "&amp;B29,'2024'!$I$24:$I$112,B29)+COUNTIFS('2025'!$L$24:$L$112,A29&amp;" / "&amp;B29,'2025'!$I$24:$I$112,B29)</x:f>
        <x:v>1</x:v>
      </x:c>
      <x:c r="F29" s="2" t="n">
        <x:f>COUNTIFS('2015'!$L$24:$L$96,A29&amp;" / "&amp;B29,'2015'!$K$24:$K$96,1)+COUNTIFS('2016'!$L$24:$L$96,A29&amp;" / "&amp;B29,'2016'!$K$24:$K$96,1)+COUNTIFS('2017'!$L$24:$L$106,A29&amp;" / "&amp;B29,'2017'!$K$24:$K$106,1)+COUNTIFS('2018'!$L$24:$L$106,A29&amp;" / "&amp;B29,'2018'!$K$24:$K$106,1)+COUNTIFS('2019'!$L$24:$L$106,A29&amp;" / "&amp;B29,'2019'!$K$24:$K$106,1)+COUNTIFS('2020'!$L$24:$L$106,A29&amp;" / "&amp;B29,'2020'!$K$24:$K$106,1)+COUNTIFS('2021'!$L$24:$L$112,A29&amp;" / "&amp;B29,'2021'!$K$24:$K$112,1)+COUNTIFS('2022'!$L$24:$L$112,A29&amp;" / "&amp;B29,'2022'!$K$24:$K$112,1)+COUNTIFS('2023'!$L$24:$L$112,A29&amp;" / "&amp;B29,'2023'!$K$24:$K$112,1)+COUNTIFS('2024'!$L$24:$L$112,A29&amp;" / "&amp;B29,'2024'!$K$24:$K$112,1)+COUNTIFS('2025'!$L$24:$L$112,A29&amp;" / "&amp;B29,'2025'!$K$24:$K$112,1)</x:f>
        <x:v>0</x:v>
      </x:c>
      <x:c r="G29" s="25" t="n">
        <x:f>SUMIFS('2015'!$E$24:$E$96,'2015'!$L$24:$L$96,A29&amp;" / "&amp;B29,'2015'!$C$24:$C$96,A29)+SUMIFS('2015'!$H$24:$H$96,'2015'!$L$24:$L$96,A29&amp;" / "&amp;B29,'2015'!$F$24:$F$96,A29)+SUMIFS('2016'!$E$24:$E$96,'2016'!$L$24:$L$96,A29&amp;" / "&amp;B29,'2016'!$C$24:$C$96,A29)+SUMIFS('2016'!$H$24:$H$96,'2016'!$L$24:$L$96,A29&amp;" / "&amp;B29,'2016'!$F$24:$F$96,A29)+SUMIFS('2017'!$E$24:$E$106,'2017'!$L$24:$L$106,A29&amp;" / "&amp;B29,'2017'!$C$24:$C$106,A29)+SUMIFS('2017'!$H$24:$H$106,'2017'!$L$24:$L$106,A29&amp;" / "&amp;B29,'2017'!$F$24:$F$106,A29)+SUMIFS('2018'!$E$24:$E$106,'2018'!$L$24:$L$106,A29&amp;" / "&amp;B29,'2018'!$C$24:$C$106,A29)+SUMIFS('2018'!$H$24:$H$106,'2018'!$L$24:$L$106,A29&amp;" / "&amp;B29,'2018'!$F$24:$F$106,A29)+SUMIFS('2019'!$E$24:$E$106,'2019'!$L$24:$L$106,A29&amp;" / "&amp;B29,'2019'!$C$24:$C$106,A29)+SUMIFS('2019'!$H$24:$H$106,'2019'!$L$24:$L$106,A29&amp;" / "&amp;B29,'2019'!$F$24:$F$106,A29)+SUMIFS('2020'!$E$24:$E$106,'2020'!$L$24:$L$106,A29&amp;" / "&amp;B29,'2020'!$C$24:$C$106,A29)+SUMIFS('2020'!$H$24:$H$106,'2020'!$L$24:$L$106,A29&amp;" / "&amp;B29,'2020'!$F$24:$F$106,A29)+SUMIFS('2021'!$E$24:$E$112,'2021'!$L$24:$L$112,A29&amp;" / "&amp;B29,'2021'!$C$24:$C$112,A29)+SUMIFS('2021'!$H$24:$H$112,'2021'!$L$24:$L$112,A29&amp;" / "&amp;B29,'2021'!$F$24:$F$112,A29)+SUMIFS('2022'!$E$24:$E$112,'2022'!$L$24:$L$112,A29&amp;" / "&amp;B29,'2022'!$C$24:$C$112,A29)+SUMIFS('2022'!$H$24:$H$112,'2022'!$L$24:$L$112,A29&amp;" / "&amp;B29,'2022'!$F$24:$F$112,A29)+SUMIFS('2023'!$E$24:$E$112,'2023'!$L$24:$L$112,A29&amp;" / "&amp;B29,'2023'!$C$24:$C$112,A29)+SUMIFS('2023'!$H$24:$H$112,'2023'!$L$24:$L$112,A29&amp;" / "&amp;B29,'2023'!$F$24:$F$112,A29)+SUMIFS('2024'!$E$24:$E$112,'2024'!$L$24:$L$112,A29&amp;" / "&amp;B29,'2024'!$C$24:$C$112,A29)+SUMIFS('2024'!$H$24:$H$112,'2024'!$L$24:$L$112,A29&amp;" / "&amp;B29,'2024'!$F$24:$F$112,A29)+SUMIFS('2025'!$E$24:$E$112,'2025'!$L$24:$L$112,A29&amp;" / "&amp;B29,'2025'!$C$24:$C$112,A29)+SUMIFS('2025'!$H$24:$H$112,'2025'!$L$24:$L$112,A29&amp;" / "&amp;B29,'2025'!$F$24:$F$112,A29)</x:f>
        <x:v>411</x:v>
      </x:c>
      <x:c r="H29" s="25" t="n">
        <x:f>SUMIFS('2015'!$E$24:$E$96,'2015'!$L$24:$L$96,A29&amp;" / "&amp;B29,'2015'!$C$24:$C$96,B29)+SUMIFS('2015'!$H$24:$H$96,'2015'!$L$24:$L$96,A29&amp;" / "&amp;B29,'2015'!$F$24:$F$96,B29)+SUMIFS('2016'!$E$24:$E$96,'2016'!$L$24:$L$96,A29&amp;" / "&amp;B29,'2016'!$C$24:$C$96,B29)+SUMIFS('2016'!$H$24:$H$96,'2016'!$L$24:$L$96,A29&amp;" / "&amp;B29,'2016'!$F$24:$F$96,B29)+SUMIFS('2017'!$E$24:$E$106,'2017'!$L$24:$L$106,A29&amp;" / "&amp;B29,'2017'!$C$24:$C$106,B29)+SUMIFS('2017'!$H$24:$H$106,'2017'!$L$24:$L$106,A29&amp;" / "&amp;B29,'2017'!$F$24:$F$106,B29)+SUMIFS('2018'!$E$24:$E$106,'2018'!$L$24:$L$106,A29&amp;" / "&amp;B29,'2018'!$C$24:$C$106,B29)+SUMIFS('2018'!$H$24:$H$106,'2018'!$L$24:$L$106,A29&amp;" / "&amp;B29,'2018'!$F$24:$F$106,B29)+SUMIFS('2019'!$E$24:$E$106,'2019'!$L$24:$L$106,A29&amp;" / "&amp;B29,'2019'!$C$24:$C$106,B29)+SUMIFS('2019'!$H$24:$H$106,'2019'!$L$24:$L$106,A29&amp;" / "&amp;B29,'2019'!$F$24:$F$106,B29)+SUMIFS('2020'!$E$24:$E$106,'2020'!$L$24:$L$106,A29&amp;" / "&amp;B29,'2020'!$C$24:$C$106,B29)+SUMIFS('2020'!$H$24:$H$106,'2020'!$L$24:$L$106,A29&amp;" / "&amp;B29,'2020'!$F$24:$F$106,B29)+SUMIFS('2021'!$E$24:$E$112,'2021'!$L$24:$L$112,A29&amp;" / "&amp;B29,'2021'!$C$24:$C$112,B29)+SUMIFS('2021'!$H$24:$H$112,'2021'!$L$24:$L$112,A29&amp;" / "&amp;B29,'2021'!$F$24:$F$112,B29)+SUMIFS('2022'!$E$24:$E$112,'2022'!$L$24:$L$112,A29&amp;" / "&amp;B29,'2022'!$C$24:$C$112,B29)+SUMIFS('2022'!$H$24:$H$112,'2022'!$L$24:$L$112,A29&amp;" / "&amp;B29,'2022'!$F$24:$F$112,B29)+SUMIFS('2023'!$E$24:$E$112,'2023'!$L$24:$L$112,A29&amp;" / "&amp;B29,'2023'!$C$24:$C$112,B29)+SUMIFS('2023'!$H$24:$H$112,'2023'!$L$24:$L$112,A29&amp;" / "&amp;B29,'2023'!$F$24:$F$112,B29)+SUMIFS('2024'!$E$24:$E$112,'2024'!$L$24:$L$112,A29&amp;" / "&amp;B29,'2024'!$C$24:$C$112,B29)+SUMIFS('2024'!$H$24:$H$112,'2024'!$L$24:$L$112,A29&amp;" / "&amp;B29,'2024'!$F$24:$F$112,B29)+SUMIFS('2025'!$E$24:$E$112,'2025'!$L$24:$L$112,A29&amp;" / "&amp;B29,'2025'!$C$24:$C$112,B29)+SUMIFS('2025'!$H$24:$H$112,'2025'!$L$24:$L$112,A29&amp;" / "&amp;B29,'2025'!$F$24:$F$112,B29)</x:f>
        <x:v>316</x:v>
      </x:c>
      <x:c r="I29" s="11" t="n">
        <x:f>IF(C29=0,0,(D29+0.5*F29)/C29)</x:f>
        <x:v>0.6666666666666666</x:v>
      </x:c>
      <x:c r="J29" s="2" t="n">
        <x:f>COUNTIFS('2015'!$L$24:$L$96,A29&amp;" / "&amp;B29,'2015'!$B$24:$B$96,"Regular")+COUNTIFS('2016'!$L$24:$L$96,A29&amp;" / "&amp;B29,'2016'!$B$24:$B$96,"Regular")+COUNTIFS('2017'!$L$24:$L$106,A29&amp;" / "&amp;B29,'2017'!$B$24:$B$106,"Regular")+COUNTIFS('2018'!$L$24:$L$106,A29&amp;" / "&amp;B29,'2018'!$B$24:$B$106,"Regular")+COUNTIFS('2019'!$L$24:$L$106,A29&amp;" / "&amp;B29,'2019'!$B$24:$B$106,"Regular")+COUNTIFS('2020'!$L$24:$L$106,A29&amp;" / "&amp;B29,'2020'!$B$24:$B$106,"Regular")+COUNTIFS('2021'!$L$24:$L$112,A29&amp;" / "&amp;B29,'2021'!$B$24:$B$112,"Regular")+COUNTIFS('2022'!$L$24:$L$112,A29&amp;" / "&amp;B29,'2022'!$B$24:$B$112,"Regular")+COUNTIFS('2023'!$L$24:$L$112,A29&amp;" / "&amp;B29,'2023'!$B$24:$B$112,"Regular")+COUNTIFS('2024'!$L$24:$L$112,A29&amp;" / "&amp;B29,'2024'!$B$24:$B$112,"Regular")+COUNTIFS('2025'!$L$24:$L$112,A29&amp;" / "&amp;B29,'2025'!$B$24:$B$112,"Regular")</x:f>
        <x:v>3</x:v>
      </x:c>
      <x:c r="K29" s="2" t="n">
        <x:f>COUNTIFS('2015'!$L$24:$L$96,A29&amp;" / "&amp;B29,'2015'!$B$24:$B$96,"Playoffs")+COUNTIFS('2016'!$L$24:$L$96,A29&amp;" / "&amp;B29,'2016'!$B$24:$B$96,"Playoffs")+COUNTIFS('2017'!$L$24:$L$106,A29&amp;" / "&amp;B29,'2017'!$B$24:$B$106,"Playoffs")+COUNTIFS('2018'!$L$24:$L$106,A29&amp;" / "&amp;B29,'2018'!$B$24:$B$106,"Playoffs")+COUNTIFS('2019'!$L$24:$L$106,A29&amp;" / "&amp;B29,'2019'!$B$24:$B$106,"Playoffs")+COUNTIFS('2020'!$L$24:$L$106,A29&amp;" / "&amp;B29,'2020'!$B$24:$B$106,"Playoffs")+COUNTIFS('2021'!$L$24:$L$112,A29&amp;" / "&amp;B29,'2021'!$B$24:$B$112,"Playoffs")+COUNTIFS('2022'!$L$24:$L$112,A29&amp;" / "&amp;B29,'2022'!$B$24:$B$112,"Playoffs")+COUNTIFS('2023'!$L$24:$L$112,A29&amp;" / "&amp;B29,'2023'!$B$24:$B$112,"Playoffs")+COUNTIFS('2024'!$L$24:$L$112,A29&amp;" / "&amp;B29,'2024'!$B$24:$B$112,"Playoffs")+COUNTIFS('2025'!$L$24:$L$112,A29&amp;" / "&amp;B29,'2025'!$B$24:$B$112,"Playoffs")</x:f>
        <x:v>0</x:v>
      </x:c>
      <x:c r="L29" s="2" t="n">
        <x:f>COUNTIFS('2015'!$L$24:$L$96,A29&amp;" / "&amp;B29,'2015'!$B$24:$B$96,"Unconfirmed")+COUNTIFS('2016'!$L$24:$L$96,A29&amp;" / "&amp;B29,'2016'!$B$24:$B$96,"Unconfirmed")+COUNTIFS('2017'!$L$24:$L$106,A29&amp;" / "&amp;B29,'2017'!$B$24:$B$106,"Unconfirmed")+COUNTIFS('2018'!$L$24:$L$106,A29&amp;" / "&amp;B29,'2018'!$B$24:$B$106,"Unconfirmed")+COUNTIFS('2019'!$L$24:$L$106,A29&amp;" / "&amp;B29,'2019'!$B$24:$B$106,"Unconfirmed")+COUNTIFS('2020'!$L$24:$L$106,A29&amp;" / "&amp;B29,'2020'!$B$24:$B$106,"Unconfirmed")+COUNTIFS('2021'!$L$24:$L$112,A29&amp;" / "&amp;B29,'2021'!$B$24:$B$112,"Unconfirmed")+COUNTIFS('2022'!$L$24:$L$112,A29&amp;" / "&amp;B29,'2022'!$B$24:$B$112,"Unconfirmed")+COUNTIFS('2023'!$L$24:$L$112,A29&amp;" / "&amp;B29,'2023'!$B$24:$B$112,"Unconfirmed")+COUNTIFS('2024'!$L$24:$L$112,A29&amp;" / "&amp;B29,'2024'!$B$24:$B$112,"Unconfirmed")+COUNTIFS('2025'!$L$24:$L$112,A29&amp;" / "&amp;B29,'2025'!$B$24:$B$112,"Unconfirmed")</x:f>
        <x:v>0</x:v>
      </x:c>
    </x:row>
    <x:row r="30" ht="22" customHeight="1">
      <x:c r="A30" s="2" t="str">
        <x:v>Ben</x:v>
      </x:c>
      <x:c r="B30" s="2" t="str">
        <x:v>Paul</x:v>
      </x:c>
      <x:c r="C30" s="2" t="n">
        <x:f>COUNTIFS('2015'!$L$24:$L$96,A30&amp;" / "&amp;B30)+COUNTIFS('2016'!$L$24:$L$96,A30&amp;" / "&amp;B30)+COUNTIFS('2017'!$L$24:$L$106,A30&amp;" / "&amp;B30)+COUNTIFS('2018'!$L$24:$L$106,A30&amp;" / "&amp;B30)+COUNTIFS('2019'!$L$24:$L$106,A30&amp;" / "&amp;B30)+COUNTIFS('2020'!$L$24:$L$106,A30&amp;" / "&amp;B30)+COUNTIFS('2021'!$L$24:$L$112,A30&amp;" / "&amp;B30)+COUNTIFS('2022'!$L$24:$L$112,A30&amp;" / "&amp;B30)+COUNTIFS('2023'!$L$24:$L$112,A30&amp;" / "&amp;B30)+COUNTIFS('2024'!$L$24:$L$112,A30&amp;" / "&amp;B30)+COUNTIFS('2025'!$L$24:$L$112,A30&amp;" / "&amp;B30)</x:f>
        <x:v>4</x:v>
      </x:c>
      <x:c r="D30" s="2" t="n">
        <x:f>COUNTIFS('2015'!$L$24:$L$96,A30&amp;" / "&amp;B30,'2015'!$I$24:$I$96,A30)+COUNTIFS('2016'!$L$24:$L$96,A30&amp;" / "&amp;B30,'2016'!$I$24:$I$96,A30)+COUNTIFS('2017'!$L$24:$L$106,A30&amp;" / "&amp;B30,'2017'!$I$24:$I$106,A30)+COUNTIFS('2018'!$L$24:$L$106,A30&amp;" / "&amp;B30,'2018'!$I$24:$I$106,A30)+COUNTIFS('2019'!$L$24:$L$106,A30&amp;" / "&amp;B30,'2019'!$I$24:$I$106,A30)+COUNTIFS('2020'!$L$24:$L$106,A30&amp;" / "&amp;B30,'2020'!$I$24:$I$106,A30)+COUNTIFS('2021'!$L$24:$L$112,A30&amp;" / "&amp;B30,'2021'!$I$24:$I$112,A30)+COUNTIFS('2022'!$L$24:$L$112,A30&amp;" / "&amp;B30,'2022'!$I$24:$I$112,A30)+COUNTIFS('2023'!$L$24:$L$112,A30&amp;" / "&amp;B30,'2023'!$I$24:$I$112,A30)+COUNTIFS('2024'!$L$24:$L$112,A30&amp;" / "&amp;B30,'2024'!$I$24:$I$112,A30)+COUNTIFS('2025'!$L$24:$L$112,A30&amp;" / "&amp;B30,'2025'!$I$24:$I$112,A30)</x:f>
        <x:v>4</x:v>
      </x:c>
      <x:c r="E30" s="2" t="n">
        <x:f>COUNTIFS('2015'!$L$24:$L$96,A30&amp;" / "&amp;B30,'2015'!$I$24:$I$96,B30)+COUNTIFS('2016'!$L$24:$L$96,A30&amp;" / "&amp;B30,'2016'!$I$24:$I$96,B30)+COUNTIFS('2017'!$L$24:$L$106,A30&amp;" / "&amp;B30,'2017'!$I$24:$I$106,B30)+COUNTIFS('2018'!$L$24:$L$106,A30&amp;" / "&amp;B30,'2018'!$I$24:$I$106,B30)+COUNTIFS('2019'!$L$24:$L$106,A30&amp;" / "&amp;B30,'2019'!$I$24:$I$106,B30)+COUNTIFS('2020'!$L$24:$L$106,A30&amp;" / "&amp;B30,'2020'!$I$24:$I$106,B30)+COUNTIFS('2021'!$L$24:$L$112,A30&amp;" / "&amp;B30,'2021'!$I$24:$I$112,B30)+COUNTIFS('2022'!$L$24:$L$112,A30&amp;" / "&amp;B30,'2022'!$I$24:$I$112,B30)+COUNTIFS('2023'!$L$24:$L$112,A30&amp;" / "&amp;B30,'2023'!$I$24:$I$112,B30)+COUNTIFS('2024'!$L$24:$L$112,A30&amp;" / "&amp;B30,'2024'!$I$24:$I$112,B30)+COUNTIFS('2025'!$L$24:$L$112,A30&amp;" / "&amp;B30,'2025'!$I$24:$I$112,B30)</x:f>
        <x:v>0</x:v>
      </x:c>
      <x:c r="F30" s="2" t="n">
        <x:f>COUNTIFS('2015'!$L$24:$L$96,A30&amp;" / "&amp;B30,'2015'!$K$24:$K$96,1)+COUNTIFS('2016'!$L$24:$L$96,A30&amp;" / "&amp;B30,'2016'!$K$24:$K$96,1)+COUNTIFS('2017'!$L$24:$L$106,A30&amp;" / "&amp;B30,'2017'!$K$24:$K$106,1)+COUNTIFS('2018'!$L$24:$L$106,A30&amp;" / "&amp;B30,'2018'!$K$24:$K$106,1)+COUNTIFS('2019'!$L$24:$L$106,A30&amp;" / "&amp;B30,'2019'!$K$24:$K$106,1)+COUNTIFS('2020'!$L$24:$L$106,A30&amp;" / "&amp;B30,'2020'!$K$24:$K$106,1)+COUNTIFS('2021'!$L$24:$L$112,A30&amp;" / "&amp;B30,'2021'!$K$24:$K$112,1)+COUNTIFS('2022'!$L$24:$L$112,A30&amp;" / "&amp;B30,'2022'!$K$24:$K$112,1)+COUNTIFS('2023'!$L$24:$L$112,A30&amp;" / "&amp;B30,'2023'!$K$24:$K$112,1)+COUNTIFS('2024'!$L$24:$L$112,A30&amp;" / "&amp;B30,'2024'!$K$24:$K$112,1)+COUNTIFS('2025'!$L$24:$L$112,A30&amp;" / "&amp;B30,'2025'!$K$24:$K$112,1)</x:f>
        <x:v>0</x:v>
      </x:c>
      <x:c r="G30" s="25" t="n">
        <x:f>SUMIFS('2015'!$E$24:$E$96,'2015'!$L$24:$L$96,A30&amp;" / "&amp;B30,'2015'!$C$24:$C$96,A30)+SUMIFS('2015'!$H$24:$H$96,'2015'!$L$24:$L$96,A30&amp;" / "&amp;B30,'2015'!$F$24:$F$96,A30)+SUMIFS('2016'!$E$24:$E$96,'2016'!$L$24:$L$96,A30&amp;" / "&amp;B30,'2016'!$C$24:$C$96,A30)+SUMIFS('2016'!$H$24:$H$96,'2016'!$L$24:$L$96,A30&amp;" / "&amp;B30,'2016'!$F$24:$F$96,A30)+SUMIFS('2017'!$E$24:$E$106,'2017'!$L$24:$L$106,A30&amp;" / "&amp;B30,'2017'!$C$24:$C$106,A30)+SUMIFS('2017'!$H$24:$H$106,'2017'!$L$24:$L$106,A30&amp;" / "&amp;B30,'2017'!$F$24:$F$106,A30)+SUMIFS('2018'!$E$24:$E$106,'2018'!$L$24:$L$106,A30&amp;" / "&amp;B30,'2018'!$C$24:$C$106,A30)+SUMIFS('2018'!$H$24:$H$106,'2018'!$L$24:$L$106,A30&amp;" / "&amp;B30,'2018'!$F$24:$F$106,A30)+SUMIFS('2019'!$E$24:$E$106,'2019'!$L$24:$L$106,A30&amp;" / "&amp;B30,'2019'!$C$24:$C$106,A30)+SUMIFS('2019'!$H$24:$H$106,'2019'!$L$24:$L$106,A30&amp;" / "&amp;B30,'2019'!$F$24:$F$106,A30)+SUMIFS('2020'!$E$24:$E$106,'2020'!$L$24:$L$106,A30&amp;" / "&amp;B30,'2020'!$C$24:$C$106,A30)+SUMIFS('2020'!$H$24:$H$106,'2020'!$L$24:$L$106,A30&amp;" / "&amp;B30,'2020'!$F$24:$F$106,A30)+SUMIFS('2021'!$E$24:$E$112,'2021'!$L$24:$L$112,A30&amp;" / "&amp;B30,'2021'!$C$24:$C$112,A30)+SUMIFS('2021'!$H$24:$H$112,'2021'!$L$24:$L$112,A30&amp;" / "&amp;B30,'2021'!$F$24:$F$112,A30)+SUMIFS('2022'!$E$24:$E$112,'2022'!$L$24:$L$112,A30&amp;" / "&amp;B30,'2022'!$C$24:$C$112,A30)+SUMIFS('2022'!$H$24:$H$112,'2022'!$L$24:$L$112,A30&amp;" / "&amp;B30,'2022'!$F$24:$F$112,A30)+SUMIFS('2023'!$E$24:$E$112,'2023'!$L$24:$L$112,A30&amp;" / "&amp;B30,'2023'!$C$24:$C$112,A30)+SUMIFS('2023'!$H$24:$H$112,'2023'!$L$24:$L$112,A30&amp;" / "&amp;B30,'2023'!$F$24:$F$112,A30)+SUMIFS('2024'!$E$24:$E$112,'2024'!$L$24:$L$112,A30&amp;" / "&amp;B30,'2024'!$C$24:$C$112,A30)+SUMIFS('2024'!$H$24:$H$112,'2024'!$L$24:$L$112,A30&amp;" / "&amp;B30,'2024'!$F$24:$F$112,A30)+SUMIFS('2025'!$E$24:$E$112,'2025'!$L$24:$L$112,A30&amp;" / "&amp;B30,'2025'!$C$24:$C$112,A30)+SUMIFS('2025'!$H$24:$H$112,'2025'!$L$24:$L$112,A30&amp;" / "&amp;B30,'2025'!$F$24:$F$112,A30)</x:f>
        <x:v>501</x:v>
      </x:c>
      <x:c r="H30" s="25" t="n">
        <x:f>SUMIFS('2015'!$E$24:$E$96,'2015'!$L$24:$L$96,A30&amp;" / "&amp;B30,'2015'!$C$24:$C$96,B30)+SUMIFS('2015'!$H$24:$H$96,'2015'!$L$24:$L$96,A30&amp;" / "&amp;B30,'2015'!$F$24:$F$96,B30)+SUMIFS('2016'!$E$24:$E$96,'2016'!$L$24:$L$96,A30&amp;" / "&amp;B30,'2016'!$C$24:$C$96,B30)+SUMIFS('2016'!$H$24:$H$96,'2016'!$L$24:$L$96,A30&amp;" / "&amp;B30,'2016'!$F$24:$F$96,B30)+SUMIFS('2017'!$E$24:$E$106,'2017'!$L$24:$L$106,A30&amp;" / "&amp;B30,'2017'!$C$24:$C$106,B30)+SUMIFS('2017'!$H$24:$H$106,'2017'!$L$24:$L$106,A30&amp;" / "&amp;B30,'2017'!$F$24:$F$106,B30)+SUMIFS('2018'!$E$24:$E$106,'2018'!$L$24:$L$106,A30&amp;" / "&amp;B30,'2018'!$C$24:$C$106,B30)+SUMIFS('2018'!$H$24:$H$106,'2018'!$L$24:$L$106,A30&amp;" / "&amp;B30,'2018'!$F$24:$F$106,B30)+SUMIFS('2019'!$E$24:$E$106,'2019'!$L$24:$L$106,A30&amp;" / "&amp;B30,'2019'!$C$24:$C$106,B30)+SUMIFS('2019'!$H$24:$H$106,'2019'!$L$24:$L$106,A30&amp;" / "&amp;B30,'2019'!$F$24:$F$106,B30)+SUMIFS('2020'!$E$24:$E$106,'2020'!$L$24:$L$106,A30&amp;" / "&amp;B30,'2020'!$C$24:$C$106,B30)+SUMIFS('2020'!$H$24:$H$106,'2020'!$L$24:$L$106,A30&amp;" / "&amp;B30,'2020'!$F$24:$F$106,B30)+SUMIFS('2021'!$E$24:$E$112,'2021'!$L$24:$L$112,A30&amp;" / "&amp;B30,'2021'!$C$24:$C$112,B30)+SUMIFS('2021'!$H$24:$H$112,'2021'!$L$24:$L$112,A30&amp;" / "&amp;B30,'2021'!$F$24:$F$112,B30)+SUMIFS('2022'!$E$24:$E$112,'2022'!$L$24:$L$112,A30&amp;" / "&amp;B30,'2022'!$C$24:$C$112,B30)+SUMIFS('2022'!$H$24:$H$112,'2022'!$L$24:$L$112,A30&amp;" / "&amp;B30,'2022'!$F$24:$F$112,B30)+SUMIFS('2023'!$E$24:$E$112,'2023'!$L$24:$L$112,A30&amp;" / "&amp;B30,'2023'!$C$24:$C$112,B30)+SUMIFS('2023'!$H$24:$H$112,'2023'!$L$24:$L$112,A30&amp;" / "&amp;B30,'2023'!$F$24:$F$112,B30)+SUMIFS('2024'!$E$24:$E$112,'2024'!$L$24:$L$112,A30&amp;" / "&amp;B30,'2024'!$C$24:$C$112,B30)+SUMIFS('2024'!$H$24:$H$112,'2024'!$L$24:$L$112,A30&amp;" / "&amp;B30,'2024'!$F$24:$F$112,B30)+SUMIFS('2025'!$E$24:$E$112,'2025'!$L$24:$L$112,A30&amp;" / "&amp;B30,'2025'!$C$24:$C$112,B30)+SUMIFS('2025'!$H$24:$H$112,'2025'!$L$24:$L$112,A30&amp;" / "&amp;B30,'2025'!$F$24:$F$112,B30)</x:f>
        <x:v>395</x:v>
      </x:c>
      <x:c r="I30" s="11" t="n">
        <x:f>IF(C30=0,0,(D30+0.5*F30)/C30)</x:f>
        <x:v>1</x:v>
      </x:c>
      <x:c r="J30" s="2" t="n">
        <x:f>COUNTIFS('2015'!$L$24:$L$96,A30&amp;" / "&amp;B30,'2015'!$B$24:$B$96,"Regular")+COUNTIFS('2016'!$L$24:$L$96,A30&amp;" / "&amp;B30,'2016'!$B$24:$B$96,"Regular")+COUNTIFS('2017'!$L$24:$L$106,A30&amp;" / "&amp;B30,'2017'!$B$24:$B$106,"Regular")+COUNTIFS('2018'!$L$24:$L$106,A30&amp;" / "&amp;B30,'2018'!$B$24:$B$106,"Regular")+COUNTIFS('2019'!$L$24:$L$106,A30&amp;" / "&amp;B30,'2019'!$B$24:$B$106,"Regular")+COUNTIFS('2020'!$L$24:$L$106,A30&amp;" / "&amp;B30,'2020'!$B$24:$B$106,"Regular")+COUNTIFS('2021'!$L$24:$L$112,A30&amp;" / "&amp;B30,'2021'!$B$24:$B$112,"Regular")+COUNTIFS('2022'!$L$24:$L$112,A30&amp;" / "&amp;B30,'2022'!$B$24:$B$112,"Regular")+COUNTIFS('2023'!$L$24:$L$112,A30&amp;" / "&amp;B30,'2023'!$B$24:$B$112,"Regular")+COUNTIFS('2024'!$L$24:$L$112,A30&amp;" / "&amp;B30,'2024'!$B$24:$B$112,"Regular")+COUNTIFS('2025'!$L$24:$L$112,A30&amp;" / "&amp;B30,'2025'!$B$24:$B$112,"Regular")</x:f>
        <x:v>3</x:v>
      </x:c>
      <x:c r="K30" s="2" t="n">
        <x:f>COUNTIFS('2015'!$L$24:$L$96,A30&amp;" / "&amp;B30,'2015'!$B$24:$B$96,"Playoffs")+COUNTIFS('2016'!$L$24:$L$96,A30&amp;" / "&amp;B30,'2016'!$B$24:$B$96,"Playoffs")+COUNTIFS('2017'!$L$24:$L$106,A30&amp;" / "&amp;B30,'2017'!$B$24:$B$106,"Playoffs")+COUNTIFS('2018'!$L$24:$L$106,A30&amp;" / "&amp;B30,'2018'!$B$24:$B$106,"Playoffs")+COUNTIFS('2019'!$L$24:$L$106,A30&amp;" / "&amp;B30,'2019'!$B$24:$B$106,"Playoffs")+COUNTIFS('2020'!$L$24:$L$106,A30&amp;" / "&amp;B30,'2020'!$B$24:$B$106,"Playoffs")+COUNTIFS('2021'!$L$24:$L$112,A30&amp;" / "&amp;B30,'2021'!$B$24:$B$112,"Playoffs")+COUNTIFS('2022'!$L$24:$L$112,A30&amp;" / "&amp;B30,'2022'!$B$24:$B$112,"Playoffs")+COUNTIFS('2023'!$L$24:$L$112,A30&amp;" / "&amp;B30,'2023'!$B$24:$B$112,"Playoffs")+COUNTIFS('2024'!$L$24:$L$112,A30&amp;" / "&amp;B30,'2024'!$B$24:$B$112,"Playoffs")+COUNTIFS('2025'!$L$24:$L$112,A30&amp;" / "&amp;B30,'2025'!$B$24:$B$112,"Playoffs")</x:f>
        <x:v>1</x:v>
      </x:c>
      <x:c r="L30" s="2" t="n">
        <x:f>COUNTIFS('2015'!$L$24:$L$96,A30&amp;" / "&amp;B30,'2015'!$B$24:$B$96,"Unconfirmed")+COUNTIFS('2016'!$L$24:$L$96,A30&amp;" / "&amp;B30,'2016'!$B$24:$B$96,"Unconfirmed")+COUNTIFS('2017'!$L$24:$L$106,A30&amp;" / "&amp;B30,'2017'!$B$24:$B$106,"Unconfirmed")+COUNTIFS('2018'!$L$24:$L$106,A30&amp;" / "&amp;B30,'2018'!$B$24:$B$106,"Unconfirmed")+COUNTIFS('2019'!$L$24:$L$106,A30&amp;" / "&amp;B30,'2019'!$B$24:$B$106,"Unconfirmed")+COUNTIFS('2020'!$L$24:$L$106,A30&amp;" / "&amp;B30,'2020'!$B$24:$B$106,"Unconfirmed")+COUNTIFS('2021'!$L$24:$L$112,A30&amp;" / "&amp;B30,'2021'!$B$24:$B$112,"Unconfirmed")+COUNTIFS('2022'!$L$24:$L$112,A30&amp;" / "&amp;B30,'2022'!$B$24:$B$112,"Unconfirmed")+COUNTIFS('2023'!$L$24:$L$112,A30&amp;" / "&amp;B30,'2023'!$B$24:$B$112,"Unconfirmed")+COUNTIFS('2024'!$L$24:$L$112,A30&amp;" / "&amp;B30,'2024'!$B$24:$B$112,"Unconfirmed")+COUNTIFS('2025'!$L$24:$L$112,A30&amp;" / "&amp;B30,'2025'!$B$24:$B$112,"Unconfirmed")</x:f>
        <x:v>0</x:v>
      </x:c>
    </x:row>
    <x:row r="31" ht="22" customHeight="1">
      <x:c r="A31" s="2" t="str">
        <x:v>Ben</x:v>
      </x:c>
      <x:c r="B31" s="2" t="str">
        <x:v>Poker Dude</x:v>
      </x:c>
      <x:c r="C31" s="2" t="n">
        <x:f>COUNTIFS('2015'!$L$24:$L$96,A31&amp;" / "&amp;B31)+COUNTIFS('2016'!$L$24:$L$96,A31&amp;" / "&amp;B31)+COUNTIFS('2017'!$L$24:$L$106,A31&amp;" / "&amp;B31)+COUNTIFS('2018'!$L$24:$L$106,A31&amp;" / "&amp;B31)+COUNTIFS('2019'!$L$24:$L$106,A31&amp;" / "&amp;B31)+COUNTIFS('2020'!$L$24:$L$106,A31&amp;" / "&amp;B31)+COUNTIFS('2021'!$L$24:$L$112,A31&amp;" / "&amp;B31)+COUNTIFS('2022'!$L$24:$L$112,A31&amp;" / "&amp;B31)+COUNTIFS('2023'!$L$24:$L$112,A31&amp;" / "&amp;B31)+COUNTIFS('2024'!$L$24:$L$112,A31&amp;" / "&amp;B31)+COUNTIFS('2025'!$L$24:$L$112,A31&amp;" / "&amp;B31)</x:f>
        <x:v>2</x:v>
      </x:c>
      <x:c r="D31" s="2" t="n">
        <x:f>COUNTIFS('2015'!$L$24:$L$96,A31&amp;" / "&amp;B31,'2015'!$I$24:$I$96,A31)+COUNTIFS('2016'!$L$24:$L$96,A31&amp;" / "&amp;B31,'2016'!$I$24:$I$96,A31)+COUNTIFS('2017'!$L$24:$L$106,A31&amp;" / "&amp;B31,'2017'!$I$24:$I$106,A31)+COUNTIFS('2018'!$L$24:$L$106,A31&amp;" / "&amp;B31,'2018'!$I$24:$I$106,A31)+COUNTIFS('2019'!$L$24:$L$106,A31&amp;" / "&amp;B31,'2019'!$I$24:$I$106,A31)+COUNTIFS('2020'!$L$24:$L$106,A31&amp;" / "&amp;B31,'2020'!$I$24:$I$106,A31)+COUNTIFS('2021'!$L$24:$L$112,A31&amp;" / "&amp;B31,'2021'!$I$24:$I$112,A31)+COUNTIFS('2022'!$L$24:$L$112,A31&amp;" / "&amp;B31,'2022'!$I$24:$I$112,A31)+COUNTIFS('2023'!$L$24:$L$112,A31&amp;" / "&amp;B31,'2023'!$I$24:$I$112,A31)+COUNTIFS('2024'!$L$24:$L$112,A31&amp;" / "&amp;B31,'2024'!$I$24:$I$112,A31)+COUNTIFS('2025'!$L$24:$L$112,A31&amp;" / "&amp;B31,'2025'!$I$24:$I$112,A31)</x:f>
        <x:v>0</x:v>
      </x:c>
      <x:c r="E31" s="2" t="n">
        <x:f>COUNTIFS('2015'!$L$24:$L$96,A31&amp;" / "&amp;B31,'2015'!$I$24:$I$96,B31)+COUNTIFS('2016'!$L$24:$L$96,A31&amp;" / "&amp;B31,'2016'!$I$24:$I$96,B31)+COUNTIFS('2017'!$L$24:$L$106,A31&amp;" / "&amp;B31,'2017'!$I$24:$I$106,B31)+COUNTIFS('2018'!$L$24:$L$106,A31&amp;" / "&amp;B31,'2018'!$I$24:$I$106,B31)+COUNTIFS('2019'!$L$24:$L$106,A31&amp;" / "&amp;B31,'2019'!$I$24:$I$106,B31)+COUNTIFS('2020'!$L$24:$L$106,A31&amp;" / "&amp;B31,'2020'!$I$24:$I$106,B31)+COUNTIFS('2021'!$L$24:$L$112,A31&amp;" / "&amp;B31,'2021'!$I$24:$I$112,B31)+COUNTIFS('2022'!$L$24:$L$112,A31&amp;" / "&amp;B31,'2022'!$I$24:$I$112,B31)+COUNTIFS('2023'!$L$24:$L$112,A31&amp;" / "&amp;B31,'2023'!$I$24:$I$112,B31)+COUNTIFS('2024'!$L$24:$L$112,A31&amp;" / "&amp;B31,'2024'!$I$24:$I$112,B31)+COUNTIFS('2025'!$L$24:$L$112,A31&amp;" / "&amp;B31,'2025'!$I$24:$I$112,B31)</x:f>
        <x:v>2</x:v>
      </x:c>
      <x:c r="F31" s="2" t="n">
        <x:f>COUNTIFS('2015'!$L$24:$L$96,A31&amp;" / "&amp;B31,'2015'!$K$24:$K$96,1)+COUNTIFS('2016'!$L$24:$L$96,A31&amp;" / "&amp;B31,'2016'!$K$24:$K$96,1)+COUNTIFS('2017'!$L$24:$L$106,A31&amp;" / "&amp;B31,'2017'!$K$24:$K$106,1)+COUNTIFS('2018'!$L$24:$L$106,A31&amp;" / "&amp;B31,'2018'!$K$24:$K$106,1)+COUNTIFS('2019'!$L$24:$L$106,A31&amp;" / "&amp;B31,'2019'!$K$24:$K$106,1)+COUNTIFS('2020'!$L$24:$L$106,A31&amp;" / "&amp;B31,'2020'!$K$24:$K$106,1)+COUNTIFS('2021'!$L$24:$L$112,A31&amp;" / "&amp;B31,'2021'!$K$24:$K$112,1)+COUNTIFS('2022'!$L$24:$L$112,A31&amp;" / "&amp;B31,'2022'!$K$24:$K$112,1)+COUNTIFS('2023'!$L$24:$L$112,A31&amp;" / "&amp;B31,'2023'!$K$24:$K$112,1)+COUNTIFS('2024'!$L$24:$L$112,A31&amp;" / "&amp;B31,'2024'!$K$24:$K$112,1)+COUNTIFS('2025'!$L$24:$L$112,A31&amp;" / "&amp;B31,'2025'!$K$24:$K$112,1)</x:f>
        <x:v>0</x:v>
      </x:c>
      <x:c r="G31" s="25" t="n">
        <x:f>SUMIFS('2015'!$E$24:$E$96,'2015'!$L$24:$L$96,A31&amp;" / "&amp;B31,'2015'!$C$24:$C$96,A31)+SUMIFS('2015'!$H$24:$H$96,'2015'!$L$24:$L$96,A31&amp;" / "&amp;B31,'2015'!$F$24:$F$96,A31)+SUMIFS('2016'!$E$24:$E$96,'2016'!$L$24:$L$96,A31&amp;" / "&amp;B31,'2016'!$C$24:$C$96,A31)+SUMIFS('2016'!$H$24:$H$96,'2016'!$L$24:$L$96,A31&amp;" / "&amp;B31,'2016'!$F$24:$F$96,A31)+SUMIFS('2017'!$E$24:$E$106,'2017'!$L$24:$L$106,A31&amp;" / "&amp;B31,'2017'!$C$24:$C$106,A31)+SUMIFS('2017'!$H$24:$H$106,'2017'!$L$24:$L$106,A31&amp;" / "&amp;B31,'2017'!$F$24:$F$106,A31)+SUMIFS('2018'!$E$24:$E$106,'2018'!$L$24:$L$106,A31&amp;" / "&amp;B31,'2018'!$C$24:$C$106,A31)+SUMIFS('2018'!$H$24:$H$106,'2018'!$L$24:$L$106,A31&amp;" / "&amp;B31,'2018'!$F$24:$F$106,A31)+SUMIFS('2019'!$E$24:$E$106,'2019'!$L$24:$L$106,A31&amp;" / "&amp;B31,'2019'!$C$24:$C$106,A31)+SUMIFS('2019'!$H$24:$H$106,'2019'!$L$24:$L$106,A31&amp;" / "&amp;B31,'2019'!$F$24:$F$106,A31)+SUMIFS('2020'!$E$24:$E$106,'2020'!$L$24:$L$106,A31&amp;" / "&amp;B31,'2020'!$C$24:$C$106,A31)+SUMIFS('2020'!$H$24:$H$106,'2020'!$L$24:$L$106,A31&amp;" / "&amp;B31,'2020'!$F$24:$F$106,A31)+SUMIFS('2021'!$E$24:$E$112,'2021'!$L$24:$L$112,A31&amp;" / "&amp;B31,'2021'!$C$24:$C$112,A31)+SUMIFS('2021'!$H$24:$H$112,'2021'!$L$24:$L$112,A31&amp;" / "&amp;B31,'2021'!$F$24:$F$112,A31)+SUMIFS('2022'!$E$24:$E$112,'2022'!$L$24:$L$112,A31&amp;" / "&amp;B31,'2022'!$C$24:$C$112,A31)+SUMIFS('2022'!$H$24:$H$112,'2022'!$L$24:$L$112,A31&amp;" / "&amp;B31,'2022'!$F$24:$F$112,A31)+SUMIFS('2023'!$E$24:$E$112,'2023'!$L$24:$L$112,A31&amp;" / "&amp;B31,'2023'!$C$24:$C$112,A31)+SUMIFS('2023'!$H$24:$H$112,'2023'!$L$24:$L$112,A31&amp;" / "&amp;B31,'2023'!$F$24:$F$112,A31)+SUMIFS('2024'!$E$24:$E$112,'2024'!$L$24:$L$112,A31&amp;" / "&amp;B31,'2024'!$C$24:$C$112,A31)+SUMIFS('2024'!$H$24:$H$112,'2024'!$L$24:$L$112,A31&amp;" / "&amp;B31,'2024'!$F$24:$F$112,A31)+SUMIFS('2025'!$E$24:$E$112,'2025'!$L$24:$L$112,A31&amp;" / "&amp;B31,'2025'!$C$24:$C$112,A31)+SUMIFS('2025'!$H$24:$H$112,'2025'!$L$24:$L$112,A31&amp;" / "&amp;B31,'2025'!$F$24:$F$112,A31)</x:f>
        <x:v>201</x:v>
      </x:c>
      <x:c r="H31" s="25" t="n">
        <x:f>SUMIFS('2015'!$E$24:$E$96,'2015'!$L$24:$L$96,A31&amp;" / "&amp;B31,'2015'!$C$24:$C$96,B31)+SUMIFS('2015'!$H$24:$H$96,'2015'!$L$24:$L$96,A31&amp;" / "&amp;B31,'2015'!$F$24:$F$96,B31)+SUMIFS('2016'!$E$24:$E$96,'2016'!$L$24:$L$96,A31&amp;" / "&amp;B31,'2016'!$C$24:$C$96,B31)+SUMIFS('2016'!$H$24:$H$96,'2016'!$L$24:$L$96,A31&amp;" / "&amp;B31,'2016'!$F$24:$F$96,B31)+SUMIFS('2017'!$E$24:$E$106,'2017'!$L$24:$L$106,A31&amp;" / "&amp;B31,'2017'!$C$24:$C$106,B31)+SUMIFS('2017'!$H$24:$H$106,'2017'!$L$24:$L$106,A31&amp;" / "&amp;B31,'2017'!$F$24:$F$106,B31)+SUMIFS('2018'!$E$24:$E$106,'2018'!$L$24:$L$106,A31&amp;" / "&amp;B31,'2018'!$C$24:$C$106,B31)+SUMIFS('2018'!$H$24:$H$106,'2018'!$L$24:$L$106,A31&amp;" / "&amp;B31,'2018'!$F$24:$F$106,B31)+SUMIFS('2019'!$E$24:$E$106,'2019'!$L$24:$L$106,A31&amp;" / "&amp;B31,'2019'!$C$24:$C$106,B31)+SUMIFS('2019'!$H$24:$H$106,'2019'!$L$24:$L$106,A31&amp;" / "&amp;B31,'2019'!$F$24:$F$106,B31)+SUMIFS('2020'!$E$24:$E$106,'2020'!$L$24:$L$106,A31&amp;" / "&amp;B31,'2020'!$C$24:$C$106,B31)+SUMIFS('2020'!$H$24:$H$106,'2020'!$L$24:$L$106,A31&amp;" / "&amp;B31,'2020'!$F$24:$F$106,B31)+SUMIFS('2021'!$E$24:$E$112,'2021'!$L$24:$L$112,A31&amp;" / "&amp;B31,'2021'!$C$24:$C$112,B31)+SUMIFS('2021'!$H$24:$H$112,'2021'!$L$24:$L$112,A31&amp;" / "&amp;B31,'2021'!$F$24:$F$112,B31)+SUMIFS('2022'!$E$24:$E$112,'2022'!$L$24:$L$112,A31&amp;" / "&amp;B31,'2022'!$C$24:$C$112,B31)+SUMIFS('2022'!$H$24:$H$112,'2022'!$L$24:$L$112,A31&amp;" / "&amp;B31,'2022'!$F$24:$F$112,B31)+SUMIFS('2023'!$E$24:$E$112,'2023'!$L$24:$L$112,A31&amp;" / "&amp;B31,'2023'!$C$24:$C$112,B31)+SUMIFS('2023'!$H$24:$H$112,'2023'!$L$24:$L$112,A31&amp;" / "&amp;B31,'2023'!$F$24:$F$112,B31)+SUMIFS('2024'!$E$24:$E$112,'2024'!$L$24:$L$112,A31&amp;" / "&amp;B31,'2024'!$C$24:$C$112,B31)+SUMIFS('2024'!$H$24:$H$112,'2024'!$L$24:$L$112,A31&amp;" / "&amp;B31,'2024'!$F$24:$F$112,B31)+SUMIFS('2025'!$E$24:$E$112,'2025'!$L$24:$L$112,A31&amp;" / "&amp;B31,'2025'!$C$24:$C$112,B31)+SUMIFS('2025'!$H$24:$H$112,'2025'!$L$24:$L$112,A31&amp;" / "&amp;B31,'2025'!$F$24:$F$112,B31)</x:f>
        <x:v>225</x:v>
      </x:c>
      <x:c r="I31" s="11" t="n">
        <x:f>IF(C31=0,0,(D31+0.5*F31)/C31)</x:f>
        <x:v>0</x:v>
      </x:c>
      <x:c r="J31" s="2" t="n">
        <x:f>COUNTIFS('2015'!$L$24:$L$96,A31&amp;" / "&amp;B31,'2015'!$B$24:$B$96,"Regular")+COUNTIFS('2016'!$L$24:$L$96,A31&amp;" / "&amp;B31,'2016'!$B$24:$B$96,"Regular")+COUNTIFS('2017'!$L$24:$L$106,A31&amp;" / "&amp;B31,'2017'!$B$24:$B$106,"Regular")+COUNTIFS('2018'!$L$24:$L$106,A31&amp;" / "&amp;B31,'2018'!$B$24:$B$106,"Regular")+COUNTIFS('2019'!$L$24:$L$106,A31&amp;" / "&amp;B31,'2019'!$B$24:$B$106,"Regular")+COUNTIFS('2020'!$L$24:$L$106,A31&amp;" / "&amp;B31,'2020'!$B$24:$B$106,"Regular")+COUNTIFS('2021'!$L$24:$L$112,A31&amp;" / "&amp;B31,'2021'!$B$24:$B$112,"Regular")+COUNTIFS('2022'!$L$24:$L$112,A31&amp;" / "&amp;B31,'2022'!$B$24:$B$112,"Regular")+COUNTIFS('2023'!$L$24:$L$112,A31&amp;" / "&amp;B31,'2023'!$B$24:$B$112,"Regular")+COUNTIFS('2024'!$L$24:$L$112,A31&amp;" / "&amp;B31,'2024'!$B$24:$B$112,"Regular")+COUNTIFS('2025'!$L$24:$L$112,A31&amp;" / "&amp;B31,'2025'!$B$24:$B$112,"Regular")</x:f>
        <x:v>2</x:v>
      </x:c>
      <x:c r="K31" s="2" t="n">
        <x:f>COUNTIFS('2015'!$L$24:$L$96,A31&amp;" / "&amp;B31,'2015'!$B$24:$B$96,"Playoffs")+COUNTIFS('2016'!$L$24:$L$96,A31&amp;" / "&amp;B31,'2016'!$B$24:$B$96,"Playoffs")+COUNTIFS('2017'!$L$24:$L$106,A31&amp;" / "&amp;B31,'2017'!$B$24:$B$106,"Playoffs")+COUNTIFS('2018'!$L$24:$L$106,A31&amp;" / "&amp;B31,'2018'!$B$24:$B$106,"Playoffs")+COUNTIFS('2019'!$L$24:$L$106,A31&amp;" / "&amp;B31,'2019'!$B$24:$B$106,"Playoffs")+COUNTIFS('2020'!$L$24:$L$106,A31&amp;" / "&amp;B31,'2020'!$B$24:$B$106,"Playoffs")+COUNTIFS('2021'!$L$24:$L$112,A31&amp;" / "&amp;B31,'2021'!$B$24:$B$112,"Playoffs")+COUNTIFS('2022'!$L$24:$L$112,A31&amp;" / "&amp;B31,'2022'!$B$24:$B$112,"Playoffs")+COUNTIFS('2023'!$L$24:$L$112,A31&amp;" / "&amp;B31,'2023'!$B$24:$B$112,"Playoffs")+COUNTIFS('2024'!$L$24:$L$112,A31&amp;" / "&amp;B31,'2024'!$B$24:$B$112,"Playoffs")+COUNTIFS('2025'!$L$24:$L$112,A31&amp;" / "&amp;B31,'2025'!$B$24:$B$112,"Playoffs")</x:f>
        <x:v>0</x:v>
      </x:c>
      <x:c r="L31" s="2" t="n">
        <x:f>COUNTIFS('2015'!$L$24:$L$96,A31&amp;" / "&amp;B31,'2015'!$B$24:$B$96,"Unconfirmed")+COUNTIFS('2016'!$L$24:$L$96,A31&amp;" / "&amp;B31,'2016'!$B$24:$B$96,"Unconfirmed")+COUNTIFS('2017'!$L$24:$L$106,A31&amp;" / "&amp;B31,'2017'!$B$24:$B$106,"Unconfirmed")+COUNTIFS('2018'!$L$24:$L$106,A31&amp;" / "&amp;B31,'2018'!$B$24:$B$106,"Unconfirmed")+COUNTIFS('2019'!$L$24:$L$106,A31&amp;" / "&amp;B31,'2019'!$B$24:$B$106,"Unconfirmed")+COUNTIFS('2020'!$L$24:$L$106,A31&amp;" / "&amp;B31,'2020'!$B$24:$B$106,"Unconfirmed")+COUNTIFS('2021'!$L$24:$L$112,A31&amp;" / "&amp;B31,'2021'!$B$24:$B$112,"Unconfirmed")+COUNTIFS('2022'!$L$24:$L$112,A31&amp;" / "&amp;B31,'2022'!$B$24:$B$112,"Unconfirmed")+COUNTIFS('2023'!$L$24:$L$112,A31&amp;" / "&amp;B31,'2023'!$B$24:$B$112,"Unconfirmed")+COUNTIFS('2024'!$L$24:$L$112,A31&amp;" / "&amp;B31,'2024'!$B$24:$B$112,"Unconfirmed")+COUNTIFS('2025'!$L$24:$L$112,A31&amp;" / "&amp;B31,'2025'!$B$24:$B$112,"Unconfirmed")</x:f>
        <x:v>0</x:v>
      </x:c>
    </x:row>
    <x:row r="32" ht="22" customHeight="1">
      <x:c r="A32" s="2" t="str">
        <x:v>Ben</x:v>
      </x:c>
      <x:c r="B32" s="2" t="str">
        <x:v>Taylor</x:v>
      </x:c>
      <x:c r="C32" s="2" t="n">
        <x:f>COUNTIFS('2015'!$L$24:$L$96,A32&amp;" / "&amp;B32)+COUNTIFS('2016'!$L$24:$L$96,A32&amp;" / "&amp;B32)+COUNTIFS('2017'!$L$24:$L$106,A32&amp;" / "&amp;B32)+COUNTIFS('2018'!$L$24:$L$106,A32&amp;" / "&amp;B32)+COUNTIFS('2019'!$L$24:$L$106,A32&amp;" / "&amp;B32)+COUNTIFS('2020'!$L$24:$L$106,A32&amp;" / "&amp;B32)+COUNTIFS('2021'!$L$24:$L$112,A32&amp;" / "&amp;B32)+COUNTIFS('2022'!$L$24:$L$112,A32&amp;" / "&amp;B32)+COUNTIFS('2023'!$L$24:$L$112,A32&amp;" / "&amp;B32)+COUNTIFS('2024'!$L$24:$L$112,A32&amp;" / "&amp;B32)+COUNTIFS('2025'!$L$24:$L$112,A32&amp;" / "&amp;B32)</x:f>
        <x:v>3</x:v>
      </x:c>
      <x:c r="D32" s="2" t="n">
        <x:f>COUNTIFS('2015'!$L$24:$L$96,A32&amp;" / "&amp;B32,'2015'!$I$24:$I$96,A32)+COUNTIFS('2016'!$L$24:$L$96,A32&amp;" / "&amp;B32,'2016'!$I$24:$I$96,A32)+COUNTIFS('2017'!$L$24:$L$106,A32&amp;" / "&amp;B32,'2017'!$I$24:$I$106,A32)+COUNTIFS('2018'!$L$24:$L$106,A32&amp;" / "&amp;B32,'2018'!$I$24:$I$106,A32)+COUNTIFS('2019'!$L$24:$L$106,A32&amp;" / "&amp;B32,'2019'!$I$24:$I$106,A32)+COUNTIFS('2020'!$L$24:$L$106,A32&amp;" / "&amp;B32,'2020'!$I$24:$I$106,A32)+COUNTIFS('2021'!$L$24:$L$112,A32&amp;" / "&amp;B32,'2021'!$I$24:$I$112,A32)+COUNTIFS('2022'!$L$24:$L$112,A32&amp;" / "&amp;B32,'2022'!$I$24:$I$112,A32)+COUNTIFS('2023'!$L$24:$L$112,A32&amp;" / "&amp;B32,'2023'!$I$24:$I$112,A32)+COUNTIFS('2024'!$L$24:$L$112,A32&amp;" / "&amp;B32,'2024'!$I$24:$I$112,A32)+COUNTIFS('2025'!$L$24:$L$112,A32&amp;" / "&amp;B32,'2025'!$I$24:$I$112,A32)</x:f>
        <x:v>0</x:v>
      </x:c>
      <x:c r="E32" s="2" t="n">
        <x:f>COUNTIFS('2015'!$L$24:$L$96,A32&amp;" / "&amp;B32,'2015'!$I$24:$I$96,B32)+COUNTIFS('2016'!$L$24:$L$96,A32&amp;" / "&amp;B32,'2016'!$I$24:$I$96,B32)+COUNTIFS('2017'!$L$24:$L$106,A32&amp;" / "&amp;B32,'2017'!$I$24:$I$106,B32)+COUNTIFS('2018'!$L$24:$L$106,A32&amp;" / "&amp;B32,'2018'!$I$24:$I$106,B32)+COUNTIFS('2019'!$L$24:$L$106,A32&amp;" / "&amp;B32,'2019'!$I$24:$I$106,B32)+COUNTIFS('2020'!$L$24:$L$106,A32&amp;" / "&amp;B32,'2020'!$I$24:$I$106,B32)+COUNTIFS('2021'!$L$24:$L$112,A32&amp;" / "&amp;B32,'2021'!$I$24:$I$112,B32)+COUNTIFS('2022'!$L$24:$L$112,A32&amp;" / "&amp;B32,'2022'!$I$24:$I$112,B32)+COUNTIFS('2023'!$L$24:$L$112,A32&amp;" / "&amp;B32,'2023'!$I$24:$I$112,B32)+COUNTIFS('2024'!$L$24:$L$112,A32&amp;" / "&amp;B32,'2024'!$I$24:$I$112,B32)+COUNTIFS('2025'!$L$24:$L$112,A32&amp;" / "&amp;B32,'2025'!$I$24:$I$112,B32)</x:f>
        <x:v>3</x:v>
      </x:c>
      <x:c r="F32" s="2" t="n">
        <x:f>COUNTIFS('2015'!$L$24:$L$96,A32&amp;" / "&amp;B32,'2015'!$K$24:$K$96,1)+COUNTIFS('2016'!$L$24:$L$96,A32&amp;" / "&amp;B32,'2016'!$K$24:$K$96,1)+COUNTIFS('2017'!$L$24:$L$106,A32&amp;" / "&amp;B32,'2017'!$K$24:$K$106,1)+COUNTIFS('2018'!$L$24:$L$106,A32&amp;" / "&amp;B32,'2018'!$K$24:$K$106,1)+COUNTIFS('2019'!$L$24:$L$106,A32&amp;" / "&amp;B32,'2019'!$K$24:$K$106,1)+COUNTIFS('2020'!$L$24:$L$106,A32&amp;" / "&amp;B32,'2020'!$K$24:$K$106,1)+COUNTIFS('2021'!$L$24:$L$112,A32&amp;" / "&amp;B32,'2021'!$K$24:$K$112,1)+COUNTIFS('2022'!$L$24:$L$112,A32&amp;" / "&amp;B32,'2022'!$K$24:$K$112,1)+COUNTIFS('2023'!$L$24:$L$112,A32&amp;" / "&amp;B32,'2023'!$K$24:$K$112,1)+COUNTIFS('2024'!$L$24:$L$112,A32&amp;" / "&amp;B32,'2024'!$K$24:$K$112,1)+COUNTIFS('2025'!$L$24:$L$112,A32&amp;" / "&amp;B32,'2025'!$K$24:$K$112,1)</x:f>
        <x:v>0</x:v>
      </x:c>
      <x:c r="G32" s="25" t="n">
        <x:f>SUMIFS('2015'!$E$24:$E$96,'2015'!$L$24:$L$96,A32&amp;" / "&amp;B32,'2015'!$C$24:$C$96,A32)+SUMIFS('2015'!$H$24:$H$96,'2015'!$L$24:$L$96,A32&amp;" / "&amp;B32,'2015'!$F$24:$F$96,A32)+SUMIFS('2016'!$E$24:$E$96,'2016'!$L$24:$L$96,A32&amp;" / "&amp;B32,'2016'!$C$24:$C$96,A32)+SUMIFS('2016'!$H$24:$H$96,'2016'!$L$24:$L$96,A32&amp;" / "&amp;B32,'2016'!$F$24:$F$96,A32)+SUMIFS('2017'!$E$24:$E$106,'2017'!$L$24:$L$106,A32&amp;" / "&amp;B32,'2017'!$C$24:$C$106,A32)+SUMIFS('2017'!$H$24:$H$106,'2017'!$L$24:$L$106,A32&amp;" / "&amp;B32,'2017'!$F$24:$F$106,A32)+SUMIFS('2018'!$E$24:$E$106,'2018'!$L$24:$L$106,A32&amp;" / "&amp;B32,'2018'!$C$24:$C$106,A32)+SUMIFS('2018'!$H$24:$H$106,'2018'!$L$24:$L$106,A32&amp;" / "&amp;B32,'2018'!$F$24:$F$106,A32)+SUMIFS('2019'!$E$24:$E$106,'2019'!$L$24:$L$106,A32&amp;" / "&amp;B32,'2019'!$C$24:$C$106,A32)+SUMIFS('2019'!$H$24:$H$106,'2019'!$L$24:$L$106,A32&amp;" / "&amp;B32,'2019'!$F$24:$F$106,A32)+SUMIFS('2020'!$E$24:$E$106,'2020'!$L$24:$L$106,A32&amp;" / "&amp;B32,'2020'!$C$24:$C$106,A32)+SUMIFS('2020'!$H$24:$H$106,'2020'!$L$24:$L$106,A32&amp;" / "&amp;B32,'2020'!$F$24:$F$106,A32)+SUMIFS('2021'!$E$24:$E$112,'2021'!$L$24:$L$112,A32&amp;" / "&amp;B32,'2021'!$C$24:$C$112,A32)+SUMIFS('2021'!$H$24:$H$112,'2021'!$L$24:$L$112,A32&amp;" / "&amp;B32,'2021'!$F$24:$F$112,A32)+SUMIFS('2022'!$E$24:$E$112,'2022'!$L$24:$L$112,A32&amp;" / "&amp;B32,'2022'!$C$24:$C$112,A32)+SUMIFS('2022'!$H$24:$H$112,'2022'!$L$24:$L$112,A32&amp;" / "&amp;B32,'2022'!$F$24:$F$112,A32)+SUMIFS('2023'!$E$24:$E$112,'2023'!$L$24:$L$112,A32&amp;" / "&amp;B32,'2023'!$C$24:$C$112,A32)+SUMIFS('2023'!$H$24:$H$112,'2023'!$L$24:$L$112,A32&amp;" / "&amp;B32,'2023'!$F$24:$F$112,A32)+SUMIFS('2024'!$E$24:$E$112,'2024'!$L$24:$L$112,A32&amp;" / "&amp;B32,'2024'!$C$24:$C$112,A32)+SUMIFS('2024'!$H$24:$H$112,'2024'!$L$24:$L$112,A32&amp;" / "&amp;B32,'2024'!$F$24:$F$112,A32)+SUMIFS('2025'!$E$24:$E$112,'2025'!$L$24:$L$112,A32&amp;" / "&amp;B32,'2025'!$C$24:$C$112,A32)+SUMIFS('2025'!$H$24:$H$112,'2025'!$L$24:$L$112,A32&amp;" / "&amp;B32,'2025'!$F$24:$F$112,A32)</x:f>
        <x:v>286</x:v>
      </x:c>
      <x:c r="H32" s="25" t="n">
        <x:f>SUMIFS('2015'!$E$24:$E$96,'2015'!$L$24:$L$96,A32&amp;" / "&amp;B32,'2015'!$C$24:$C$96,B32)+SUMIFS('2015'!$H$24:$H$96,'2015'!$L$24:$L$96,A32&amp;" / "&amp;B32,'2015'!$F$24:$F$96,B32)+SUMIFS('2016'!$E$24:$E$96,'2016'!$L$24:$L$96,A32&amp;" / "&amp;B32,'2016'!$C$24:$C$96,B32)+SUMIFS('2016'!$H$24:$H$96,'2016'!$L$24:$L$96,A32&amp;" / "&amp;B32,'2016'!$F$24:$F$96,B32)+SUMIFS('2017'!$E$24:$E$106,'2017'!$L$24:$L$106,A32&amp;" / "&amp;B32,'2017'!$C$24:$C$106,B32)+SUMIFS('2017'!$H$24:$H$106,'2017'!$L$24:$L$106,A32&amp;" / "&amp;B32,'2017'!$F$24:$F$106,B32)+SUMIFS('2018'!$E$24:$E$106,'2018'!$L$24:$L$106,A32&amp;" / "&amp;B32,'2018'!$C$24:$C$106,B32)+SUMIFS('2018'!$H$24:$H$106,'2018'!$L$24:$L$106,A32&amp;" / "&amp;B32,'2018'!$F$24:$F$106,B32)+SUMIFS('2019'!$E$24:$E$106,'2019'!$L$24:$L$106,A32&amp;" / "&amp;B32,'2019'!$C$24:$C$106,B32)+SUMIFS('2019'!$H$24:$H$106,'2019'!$L$24:$L$106,A32&amp;" / "&amp;B32,'2019'!$F$24:$F$106,B32)+SUMIFS('2020'!$E$24:$E$106,'2020'!$L$24:$L$106,A32&amp;" / "&amp;B32,'2020'!$C$24:$C$106,B32)+SUMIFS('2020'!$H$24:$H$106,'2020'!$L$24:$L$106,A32&amp;" / "&amp;B32,'2020'!$F$24:$F$106,B32)+SUMIFS('2021'!$E$24:$E$112,'2021'!$L$24:$L$112,A32&amp;" / "&amp;B32,'2021'!$C$24:$C$112,B32)+SUMIFS('2021'!$H$24:$H$112,'2021'!$L$24:$L$112,A32&amp;" / "&amp;B32,'2021'!$F$24:$F$112,B32)+SUMIFS('2022'!$E$24:$E$112,'2022'!$L$24:$L$112,A32&amp;" / "&amp;B32,'2022'!$C$24:$C$112,B32)+SUMIFS('2022'!$H$24:$H$112,'2022'!$L$24:$L$112,A32&amp;" / "&amp;B32,'2022'!$F$24:$F$112,B32)+SUMIFS('2023'!$E$24:$E$112,'2023'!$L$24:$L$112,A32&amp;" / "&amp;B32,'2023'!$C$24:$C$112,B32)+SUMIFS('2023'!$H$24:$H$112,'2023'!$L$24:$L$112,A32&amp;" / "&amp;B32,'2023'!$F$24:$F$112,B32)+SUMIFS('2024'!$E$24:$E$112,'2024'!$L$24:$L$112,A32&amp;" / "&amp;B32,'2024'!$C$24:$C$112,B32)+SUMIFS('2024'!$H$24:$H$112,'2024'!$L$24:$L$112,A32&amp;" / "&amp;B32,'2024'!$F$24:$F$112,B32)+SUMIFS('2025'!$E$24:$E$112,'2025'!$L$24:$L$112,A32&amp;" / "&amp;B32,'2025'!$C$24:$C$112,B32)+SUMIFS('2025'!$H$24:$H$112,'2025'!$L$24:$L$112,A32&amp;" / "&amp;B32,'2025'!$F$24:$F$112,B32)</x:f>
        <x:v>352</x:v>
      </x:c>
      <x:c r="I32" s="11" t="n">
        <x:f>IF(C32=0,0,(D32+0.5*F32)/C32)</x:f>
        <x:v>0</x:v>
      </x:c>
      <x:c r="J32" s="2" t="n">
        <x:f>COUNTIFS('2015'!$L$24:$L$96,A32&amp;" / "&amp;B32,'2015'!$B$24:$B$96,"Regular")+COUNTIFS('2016'!$L$24:$L$96,A32&amp;" / "&amp;B32,'2016'!$B$24:$B$96,"Regular")+COUNTIFS('2017'!$L$24:$L$106,A32&amp;" / "&amp;B32,'2017'!$B$24:$B$106,"Regular")+COUNTIFS('2018'!$L$24:$L$106,A32&amp;" / "&amp;B32,'2018'!$B$24:$B$106,"Regular")+COUNTIFS('2019'!$L$24:$L$106,A32&amp;" / "&amp;B32,'2019'!$B$24:$B$106,"Regular")+COUNTIFS('2020'!$L$24:$L$106,A32&amp;" / "&amp;B32,'2020'!$B$24:$B$106,"Regular")+COUNTIFS('2021'!$L$24:$L$112,A32&amp;" / "&amp;B32,'2021'!$B$24:$B$112,"Regular")+COUNTIFS('2022'!$L$24:$L$112,A32&amp;" / "&amp;B32,'2022'!$B$24:$B$112,"Regular")+COUNTIFS('2023'!$L$24:$L$112,A32&amp;" / "&amp;B32,'2023'!$B$24:$B$112,"Regular")+COUNTIFS('2024'!$L$24:$L$112,A32&amp;" / "&amp;B32,'2024'!$B$24:$B$112,"Regular")+COUNTIFS('2025'!$L$24:$L$112,A32&amp;" / "&amp;B32,'2025'!$B$24:$B$112,"Regular")</x:f>
        <x:v>3</x:v>
      </x:c>
      <x:c r="K32" s="2" t="n">
        <x:f>COUNTIFS('2015'!$L$24:$L$96,A32&amp;" / "&amp;B32,'2015'!$B$24:$B$96,"Playoffs")+COUNTIFS('2016'!$L$24:$L$96,A32&amp;" / "&amp;B32,'2016'!$B$24:$B$96,"Playoffs")+COUNTIFS('2017'!$L$24:$L$106,A32&amp;" / "&amp;B32,'2017'!$B$24:$B$106,"Playoffs")+COUNTIFS('2018'!$L$24:$L$106,A32&amp;" / "&amp;B32,'2018'!$B$24:$B$106,"Playoffs")+COUNTIFS('2019'!$L$24:$L$106,A32&amp;" / "&amp;B32,'2019'!$B$24:$B$106,"Playoffs")+COUNTIFS('2020'!$L$24:$L$106,A32&amp;" / "&amp;B32,'2020'!$B$24:$B$106,"Playoffs")+COUNTIFS('2021'!$L$24:$L$112,A32&amp;" / "&amp;B32,'2021'!$B$24:$B$112,"Playoffs")+COUNTIFS('2022'!$L$24:$L$112,A32&amp;" / "&amp;B32,'2022'!$B$24:$B$112,"Playoffs")+COUNTIFS('2023'!$L$24:$L$112,A32&amp;" / "&amp;B32,'2023'!$B$24:$B$112,"Playoffs")+COUNTIFS('2024'!$L$24:$L$112,A32&amp;" / "&amp;B32,'2024'!$B$24:$B$112,"Playoffs")+COUNTIFS('2025'!$L$24:$L$112,A32&amp;" / "&amp;B32,'2025'!$B$24:$B$112,"Playoffs")</x:f>
        <x:v>0</x:v>
      </x:c>
      <x:c r="L32" s="2" t="n">
        <x:f>COUNTIFS('2015'!$L$24:$L$96,A32&amp;" / "&amp;B32,'2015'!$B$24:$B$96,"Unconfirmed")+COUNTIFS('2016'!$L$24:$L$96,A32&amp;" / "&amp;B32,'2016'!$B$24:$B$96,"Unconfirmed")+COUNTIFS('2017'!$L$24:$L$106,A32&amp;" / "&amp;B32,'2017'!$B$24:$B$106,"Unconfirmed")+COUNTIFS('2018'!$L$24:$L$106,A32&amp;" / "&amp;B32,'2018'!$B$24:$B$106,"Unconfirmed")+COUNTIFS('2019'!$L$24:$L$106,A32&amp;" / "&amp;B32,'2019'!$B$24:$B$106,"Unconfirmed")+COUNTIFS('2020'!$L$24:$L$106,A32&amp;" / "&amp;B32,'2020'!$B$24:$B$106,"Unconfirmed")+COUNTIFS('2021'!$L$24:$L$112,A32&amp;" / "&amp;B32,'2021'!$B$24:$B$112,"Unconfirmed")+COUNTIFS('2022'!$L$24:$L$112,A32&amp;" / "&amp;B32,'2022'!$B$24:$B$112,"Unconfirmed")+COUNTIFS('2023'!$L$24:$L$112,A32&amp;" / "&amp;B32,'2023'!$B$24:$B$112,"Unconfirmed")+COUNTIFS('2024'!$L$24:$L$112,A32&amp;" / "&amp;B32,'2024'!$B$24:$B$112,"Unconfirmed")+COUNTIFS('2025'!$L$24:$L$112,A32&amp;" / "&amp;B32,'2025'!$B$24:$B$112,"Unconfirmed")</x:f>
        <x:v>0</x:v>
      </x:c>
    </x:row>
    <x:row r="33" ht="22" customHeight="1">
      <x:c r="A33" s="2" t="str">
        <x:v>Ben</x:v>
      </x:c>
      <x:c r="B33" s="2" t="str">
        <x:v>Troy</x:v>
      </x:c>
      <x:c r="C33" s="2" t="n">
        <x:f>COUNTIFS('2015'!$L$24:$L$96,A33&amp;" / "&amp;B33)+COUNTIFS('2016'!$L$24:$L$96,A33&amp;" / "&amp;B33)+COUNTIFS('2017'!$L$24:$L$106,A33&amp;" / "&amp;B33)+COUNTIFS('2018'!$L$24:$L$106,A33&amp;" / "&amp;B33)+COUNTIFS('2019'!$L$24:$L$106,A33&amp;" / "&amp;B33)+COUNTIFS('2020'!$L$24:$L$106,A33&amp;" / "&amp;B33)+COUNTIFS('2021'!$L$24:$L$112,A33&amp;" / "&amp;B33)+COUNTIFS('2022'!$L$24:$L$112,A33&amp;" / "&amp;B33)+COUNTIFS('2023'!$L$24:$L$112,A33&amp;" / "&amp;B33)+COUNTIFS('2024'!$L$24:$L$112,A33&amp;" / "&amp;B33)+COUNTIFS('2025'!$L$24:$L$112,A33&amp;" / "&amp;B33)</x:f>
        <x:v>1</x:v>
      </x:c>
      <x:c r="D33" s="2" t="n">
        <x:f>COUNTIFS('2015'!$L$24:$L$96,A33&amp;" / "&amp;B33,'2015'!$I$24:$I$96,A33)+COUNTIFS('2016'!$L$24:$L$96,A33&amp;" / "&amp;B33,'2016'!$I$24:$I$96,A33)+COUNTIFS('2017'!$L$24:$L$106,A33&amp;" / "&amp;B33,'2017'!$I$24:$I$106,A33)+COUNTIFS('2018'!$L$24:$L$106,A33&amp;" / "&amp;B33,'2018'!$I$24:$I$106,A33)+COUNTIFS('2019'!$L$24:$L$106,A33&amp;" / "&amp;B33,'2019'!$I$24:$I$106,A33)+COUNTIFS('2020'!$L$24:$L$106,A33&amp;" / "&amp;B33,'2020'!$I$24:$I$106,A33)+COUNTIFS('2021'!$L$24:$L$112,A33&amp;" / "&amp;B33,'2021'!$I$24:$I$112,A33)+COUNTIFS('2022'!$L$24:$L$112,A33&amp;" / "&amp;B33,'2022'!$I$24:$I$112,A33)+COUNTIFS('2023'!$L$24:$L$112,A33&amp;" / "&amp;B33,'2023'!$I$24:$I$112,A33)+COUNTIFS('2024'!$L$24:$L$112,A33&amp;" / "&amp;B33,'2024'!$I$24:$I$112,A33)+COUNTIFS('2025'!$L$24:$L$112,A33&amp;" / "&amp;B33,'2025'!$I$24:$I$112,A33)</x:f>
        <x:v>1</x:v>
      </x:c>
      <x:c r="E33" s="2" t="n">
        <x:f>COUNTIFS('2015'!$L$24:$L$96,A33&amp;" / "&amp;B33,'2015'!$I$24:$I$96,B33)+COUNTIFS('2016'!$L$24:$L$96,A33&amp;" / "&amp;B33,'2016'!$I$24:$I$96,B33)+COUNTIFS('2017'!$L$24:$L$106,A33&amp;" / "&amp;B33,'2017'!$I$24:$I$106,B33)+COUNTIFS('2018'!$L$24:$L$106,A33&amp;" / "&amp;B33,'2018'!$I$24:$I$106,B33)+COUNTIFS('2019'!$L$24:$L$106,A33&amp;" / "&amp;B33,'2019'!$I$24:$I$106,B33)+COUNTIFS('2020'!$L$24:$L$106,A33&amp;" / "&amp;B33,'2020'!$I$24:$I$106,B33)+COUNTIFS('2021'!$L$24:$L$112,A33&amp;" / "&amp;B33,'2021'!$I$24:$I$112,B33)+COUNTIFS('2022'!$L$24:$L$112,A33&amp;" / "&amp;B33,'2022'!$I$24:$I$112,B33)+COUNTIFS('2023'!$L$24:$L$112,A33&amp;" / "&amp;B33,'2023'!$I$24:$I$112,B33)+COUNTIFS('2024'!$L$24:$L$112,A33&amp;" / "&amp;B33,'2024'!$I$24:$I$112,B33)+COUNTIFS('2025'!$L$24:$L$112,A33&amp;" / "&amp;B33,'2025'!$I$24:$I$112,B33)</x:f>
        <x:v>0</x:v>
      </x:c>
      <x:c r="F33" s="2" t="n">
        <x:f>COUNTIFS('2015'!$L$24:$L$96,A33&amp;" / "&amp;B33,'2015'!$K$24:$K$96,1)+COUNTIFS('2016'!$L$24:$L$96,A33&amp;" / "&amp;B33,'2016'!$K$24:$K$96,1)+COUNTIFS('2017'!$L$24:$L$106,A33&amp;" / "&amp;B33,'2017'!$K$24:$K$106,1)+COUNTIFS('2018'!$L$24:$L$106,A33&amp;" / "&amp;B33,'2018'!$K$24:$K$106,1)+COUNTIFS('2019'!$L$24:$L$106,A33&amp;" / "&amp;B33,'2019'!$K$24:$K$106,1)+COUNTIFS('2020'!$L$24:$L$106,A33&amp;" / "&amp;B33,'2020'!$K$24:$K$106,1)+COUNTIFS('2021'!$L$24:$L$112,A33&amp;" / "&amp;B33,'2021'!$K$24:$K$112,1)+COUNTIFS('2022'!$L$24:$L$112,A33&amp;" / "&amp;B33,'2022'!$K$24:$K$112,1)+COUNTIFS('2023'!$L$24:$L$112,A33&amp;" / "&amp;B33,'2023'!$K$24:$K$112,1)+COUNTIFS('2024'!$L$24:$L$112,A33&amp;" / "&amp;B33,'2024'!$K$24:$K$112,1)+COUNTIFS('2025'!$L$24:$L$112,A33&amp;" / "&amp;B33,'2025'!$K$24:$K$112,1)</x:f>
        <x:v>0</x:v>
      </x:c>
      <x:c r="G33" s="25" t="n">
        <x:f>SUMIFS('2015'!$E$24:$E$96,'2015'!$L$24:$L$96,A33&amp;" / "&amp;B33,'2015'!$C$24:$C$96,A33)+SUMIFS('2015'!$H$24:$H$96,'2015'!$L$24:$L$96,A33&amp;" / "&amp;B33,'2015'!$F$24:$F$96,A33)+SUMIFS('2016'!$E$24:$E$96,'2016'!$L$24:$L$96,A33&amp;" / "&amp;B33,'2016'!$C$24:$C$96,A33)+SUMIFS('2016'!$H$24:$H$96,'2016'!$L$24:$L$96,A33&amp;" / "&amp;B33,'2016'!$F$24:$F$96,A33)+SUMIFS('2017'!$E$24:$E$106,'2017'!$L$24:$L$106,A33&amp;" / "&amp;B33,'2017'!$C$24:$C$106,A33)+SUMIFS('2017'!$H$24:$H$106,'2017'!$L$24:$L$106,A33&amp;" / "&amp;B33,'2017'!$F$24:$F$106,A33)+SUMIFS('2018'!$E$24:$E$106,'2018'!$L$24:$L$106,A33&amp;" / "&amp;B33,'2018'!$C$24:$C$106,A33)+SUMIFS('2018'!$H$24:$H$106,'2018'!$L$24:$L$106,A33&amp;" / "&amp;B33,'2018'!$F$24:$F$106,A33)+SUMIFS('2019'!$E$24:$E$106,'2019'!$L$24:$L$106,A33&amp;" / "&amp;B33,'2019'!$C$24:$C$106,A33)+SUMIFS('2019'!$H$24:$H$106,'2019'!$L$24:$L$106,A33&amp;" / "&amp;B33,'2019'!$F$24:$F$106,A33)+SUMIFS('2020'!$E$24:$E$106,'2020'!$L$24:$L$106,A33&amp;" / "&amp;B33,'2020'!$C$24:$C$106,A33)+SUMIFS('2020'!$H$24:$H$106,'2020'!$L$24:$L$106,A33&amp;" / "&amp;B33,'2020'!$F$24:$F$106,A33)+SUMIFS('2021'!$E$24:$E$112,'2021'!$L$24:$L$112,A33&amp;" / "&amp;B33,'2021'!$C$24:$C$112,A33)+SUMIFS('2021'!$H$24:$H$112,'2021'!$L$24:$L$112,A33&amp;" / "&amp;B33,'2021'!$F$24:$F$112,A33)+SUMIFS('2022'!$E$24:$E$112,'2022'!$L$24:$L$112,A33&amp;" / "&amp;B33,'2022'!$C$24:$C$112,A33)+SUMIFS('2022'!$H$24:$H$112,'2022'!$L$24:$L$112,A33&amp;" / "&amp;B33,'2022'!$F$24:$F$112,A33)+SUMIFS('2023'!$E$24:$E$112,'2023'!$L$24:$L$112,A33&amp;" / "&amp;B33,'2023'!$C$24:$C$112,A33)+SUMIFS('2023'!$H$24:$H$112,'2023'!$L$24:$L$112,A33&amp;" / "&amp;B33,'2023'!$F$24:$F$112,A33)+SUMIFS('2024'!$E$24:$E$112,'2024'!$L$24:$L$112,A33&amp;" / "&amp;B33,'2024'!$C$24:$C$112,A33)+SUMIFS('2024'!$H$24:$H$112,'2024'!$L$24:$L$112,A33&amp;" / "&amp;B33,'2024'!$F$24:$F$112,A33)+SUMIFS('2025'!$E$24:$E$112,'2025'!$L$24:$L$112,A33&amp;" / "&amp;B33,'2025'!$C$24:$C$112,A33)+SUMIFS('2025'!$H$24:$H$112,'2025'!$L$24:$L$112,A33&amp;" / "&amp;B33,'2025'!$F$24:$F$112,A33)</x:f>
        <x:v>140</x:v>
      </x:c>
      <x:c r="H33" s="25" t="n">
        <x:f>SUMIFS('2015'!$E$24:$E$96,'2015'!$L$24:$L$96,A33&amp;" / "&amp;B33,'2015'!$C$24:$C$96,B33)+SUMIFS('2015'!$H$24:$H$96,'2015'!$L$24:$L$96,A33&amp;" / "&amp;B33,'2015'!$F$24:$F$96,B33)+SUMIFS('2016'!$E$24:$E$96,'2016'!$L$24:$L$96,A33&amp;" / "&amp;B33,'2016'!$C$24:$C$96,B33)+SUMIFS('2016'!$H$24:$H$96,'2016'!$L$24:$L$96,A33&amp;" / "&amp;B33,'2016'!$F$24:$F$96,B33)+SUMIFS('2017'!$E$24:$E$106,'2017'!$L$24:$L$106,A33&amp;" / "&amp;B33,'2017'!$C$24:$C$106,B33)+SUMIFS('2017'!$H$24:$H$106,'2017'!$L$24:$L$106,A33&amp;" / "&amp;B33,'2017'!$F$24:$F$106,B33)+SUMIFS('2018'!$E$24:$E$106,'2018'!$L$24:$L$106,A33&amp;" / "&amp;B33,'2018'!$C$24:$C$106,B33)+SUMIFS('2018'!$H$24:$H$106,'2018'!$L$24:$L$106,A33&amp;" / "&amp;B33,'2018'!$F$24:$F$106,B33)+SUMIFS('2019'!$E$24:$E$106,'2019'!$L$24:$L$106,A33&amp;" / "&amp;B33,'2019'!$C$24:$C$106,B33)+SUMIFS('2019'!$H$24:$H$106,'2019'!$L$24:$L$106,A33&amp;" / "&amp;B33,'2019'!$F$24:$F$106,B33)+SUMIFS('2020'!$E$24:$E$106,'2020'!$L$24:$L$106,A33&amp;" / "&amp;B33,'2020'!$C$24:$C$106,B33)+SUMIFS('2020'!$H$24:$H$106,'2020'!$L$24:$L$106,A33&amp;" / "&amp;B33,'2020'!$F$24:$F$106,B33)+SUMIFS('2021'!$E$24:$E$112,'2021'!$L$24:$L$112,A33&amp;" / "&amp;B33,'2021'!$C$24:$C$112,B33)+SUMIFS('2021'!$H$24:$H$112,'2021'!$L$24:$L$112,A33&amp;" / "&amp;B33,'2021'!$F$24:$F$112,B33)+SUMIFS('2022'!$E$24:$E$112,'2022'!$L$24:$L$112,A33&amp;" / "&amp;B33,'2022'!$C$24:$C$112,B33)+SUMIFS('2022'!$H$24:$H$112,'2022'!$L$24:$L$112,A33&amp;" / "&amp;B33,'2022'!$F$24:$F$112,B33)+SUMIFS('2023'!$E$24:$E$112,'2023'!$L$24:$L$112,A33&amp;" / "&amp;B33,'2023'!$C$24:$C$112,B33)+SUMIFS('2023'!$H$24:$H$112,'2023'!$L$24:$L$112,A33&amp;" / "&amp;B33,'2023'!$F$24:$F$112,B33)+SUMIFS('2024'!$E$24:$E$112,'2024'!$L$24:$L$112,A33&amp;" / "&amp;B33,'2024'!$C$24:$C$112,B33)+SUMIFS('2024'!$H$24:$H$112,'2024'!$L$24:$L$112,A33&amp;" / "&amp;B33,'2024'!$F$24:$F$112,B33)+SUMIFS('2025'!$E$24:$E$112,'2025'!$L$24:$L$112,A33&amp;" / "&amp;B33,'2025'!$C$24:$C$112,B33)+SUMIFS('2025'!$H$24:$H$112,'2025'!$L$24:$L$112,A33&amp;" / "&amp;B33,'2025'!$F$24:$F$112,B33)</x:f>
        <x:v>131</x:v>
      </x:c>
      <x:c r="I33" s="11" t="n">
        <x:f>IF(C33=0,0,(D33+0.5*F33)/C33)</x:f>
        <x:v>1</x:v>
      </x:c>
      <x:c r="J33" s="2" t="n">
        <x:f>COUNTIFS('2015'!$L$24:$L$96,A33&amp;" / "&amp;B33,'2015'!$B$24:$B$96,"Regular")+COUNTIFS('2016'!$L$24:$L$96,A33&amp;" / "&amp;B33,'2016'!$B$24:$B$96,"Regular")+COUNTIFS('2017'!$L$24:$L$106,A33&amp;" / "&amp;B33,'2017'!$B$24:$B$106,"Regular")+COUNTIFS('2018'!$L$24:$L$106,A33&amp;" / "&amp;B33,'2018'!$B$24:$B$106,"Regular")+COUNTIFS('2019'!$L$24:$L$106,A33&amp;" / "&amp;B33,'2019'!$B$24:$B$106,"Regular")+COUNTIFS('2020'!$L$24:$L$106,A33&amp;" / "&amp;B33,'2020'!$B$24:$B$106,"Regular")+COUNTIFS('2021'!$L$24:$L$112,A33&amp;" / "&amp;B33,'2021'!$B$24:$B$112,"Regular")+COUNTIFS('2022'!$L$24:$L$112,A33&amp;" / "&amp;B33,'2022'!$B$24:$B$112,"Regular")+COUNTIFS('2023'!$L$24:$L$112,A33&amp;" / "&amp;B33,'2023'!$B$24:$B$112,"Regular")+COUNTIFS('2024'!$L$24:$L$112,A33&amp;" / "&amp;B33,'2024'!$B$24:$B$112,"Regular")+COUNTIFS('2025'!$L$24:$L$112,A33&amp;" / "&amp;B33,'2025'!$B$24:$B$112,"Regular")</x:f>
        <x:v>1</x:v>
      </x:c>
      <x:c r="K33" s="2" t="n">
        <x:f>COUNTIFS('2015'!$L$24:$L$96,A33&amp;" / "&amp;B33,'2015'!$B$24:$B$96,"Playoffs")+COUNTIFS('2016'!$L$24:$L$96,A33&amp;" / "&amp;B33,'2016'!$B$24:$B$96,"Playoffs")+COUNTIFS('2017'!$L$24:$L$106,A33&amp;" / "&amp;B33,'2017'!$B$24:$B$106,"Playoffs")+COUNTIFS('2018'!$L$24:$L$106,A33&amp;" / "&amp;B33,'2018'!$B$24:$B$106,"Playoffs")+COUNTIFS('2019'!$L$24:$L$106,A33&amp;" / "&amp;B33,'2019'!$B$24:$B$106,"Playoffs")+COUNTIFS('2020'!$L$24:$L$106,A33&amp;" / "&amp;B33,'2020'!$B$24:$B$106,"Playoffs")+COUNTIFS('2021'!$L$24:$L$112,A33&amp;" / "&amp;B33,'2021'!$B$24:$B$112,"Playoffs")+COUNTIFS('2022'!$L$24:$L$112,A33&amp;" / "&amp;B33,'2022'!$B$24:$B$112,"Playoffs")+COUNTIFS('2023'!$L$24:$L$112,A33&amp;" / "&amp;B33,'2023'!$B$24:$B$112,"Playoffs")+COUNTIFS('2024'!$L$24:$L$112,A33&amp;" / "&amp;B33,'2024'!$B$24:$B$112,"Playoffs")+COUNTIFS('2025'!$L$24:$L$112,A33&amp;" / "&amp;B33,'2025'!$B$24:$B$112,"Playoffs")</x:f>
        <x:v>0</x:v>
      </x:c>
      <x:c r="L33" s="2" t="n">
        <x:f>COUNTIFS('2015'!$L$24:$L$96,A33&amp;" / "&amp;B33,'2015'!$B$24:$B$96,"Unconfirmed")+COUNTIFS('2016'!$L$24:$L$96,A33&amp;" / "&amp;B33,'2016'!$B$24:$B$96,"Unconfirmed")+COUNTIFS('2017'!$L$24:$L$106,A33&amp;" / "&amp;B33,'2017'!$B$24:$B$106,"Unconfirmed")+COUNTIFS('2018'!$L$24:$L$106,A33&amp;" / "&amp;B33,'2018'!$B$24:$B$106,"Unconfirmed")+COUNTIFS('2019'!$L$24:$L$106,A33&amp;" / "&amp;B33,'2019'!$B$24:$B$106,"Unconfirmed")+COUNTIFS('2020'!$L$24:$L$106,A33&amp;" / "&amp;B33,'2020'!$B$24:$B$106,"Unconfirmed")+COUNTIFS('2021'!$L$24:$L$112,A33&amp;" / "&amp;B33,'2021'!$B$24:$B$112,"Unconfirmed")+COUNTIFS('2022'!$L$24:$L$112,A33&amp;" / "&amp;B33,'2022'!$B$24:$B$112,"Unconfirmed")+COUNTIFS('2023'!$L$24:$L$112,A33&amp;" / "&amp;B33,'2023'!$B$24:$B$112,"Unconfirmed")+COUNTIFS('2024'!$L$24:$L$112,A33&amp;" / "&amp;B33,'2024'!$B$24:$B$112,"Unconfirmed")+COUNTIFS('2025'!$L$24:$L$112,A33&amp;" / "&amp;B33,'2025'!$B$24:$B$112,"Unconfirmed")</x:f>
        <x:v>0</x:v>
      </x:c>
    </x:row>
    <x:row r="34" ht="22" customHeight="1">
      <x:c r="A34" s="2" t="str">
        <x:v>Bruce</x:v>
      </x:c>
      <x:c r="B34" s="2" t="str">
        <x:v>Chas</x:v>
      </x:c>
      <x:c r="C34" s="2" t="n">
        <x:f>COUNTIFS('2015'!$L$24:$L$96,A34&amp;" / "&amp;B34)+COUNTIFS('2016'!$L$24:$L$96,A34&amp;" / "&amp;B34)+COUNTIFS('2017'!$L$24:$L$106,A34&amp;" / "&amp;B34)+COUNTIFS('2018'!$L$24:$L$106,A34&amp;" / "&amp;B34)+COUNTIFS('2019'!$L$24:$L$106,A34&amp;" / "&amp;B34)+COUNTIFS('2020'!$L$24:$L$106,A34&amp;" / "&amp;B34)+COUNTIFS('2021'!$L$24:$L$112,A34&amp;" / "&amp;B34)+COUNTIFS('2022'!$L$24:$L$112,A34&amp;" / "&amp;B34)+COUNTIFS('2023'!$L$24:$L$112,A34&amp;" / "&amp;B34)+COUNTIFS('2024'!$L$24:$L$112,A34&amp;" / "&amp;B34)+COUNTIFS('2025'!$L$24:$L$112,A34&amp;" / "&amp;B34)</x:f>
        <x:v>2</x:v>
      </x:c>
      <x:c r="D34" s="2" t="n">
        <x:f>COUNTIFS('2015'!$L$24:$L$96,A34&amp;" / "&amp;B34,'2015'!$I$24:$I$96,A34)+COUNTIFS('2016'!$L$24:$L$96,A34&amp;" / "&amp;B34,'2016'!$I$24:$I$96,A34)+COUNTIFS('2017'!$L$24:$L$106,A34&amp;" / "&amp;B34,'2017'!$I$24:$I$106,A34)+COUNTIFS('2018'!$L$24:$L$106,A34&amp;" / "&amp;B34,'2018'!$I$24:$I$106,A34)+COUNTIFS('2019'!$L$24:$L$106,A34&amp;" / "&amp;B34,'2019'!$I$24:$I$106,A34)+COUNTIFS('2020'!$L$24:$L$106,A34&amp;" / "&amp;B34,'2020'!$I$24:$I$106,A34)+COUNTIFS('2021'!$L$24:$L$112,A34&amp;" / "&amp;B34,'2021'!$I$24:$I$112,A34)+COUNTIFS('2022'!$L$24:$L$112,A34&amp;" / "&amp;B34,'2022'!$I$24:$I$112,A34)+COUNTIFS('2023'!$L$24:$L$112,A34&amp;" / "&amp;B34,'2023'!$I$24:$I$112,A34)+COUNTIFS('2024'!$L$24:$L$112,A34&amp;" / "&amp;B34,'2024'!$I$24:$I$112,A34)+COUNTIFS('2025'!$L$24:$L$112,A34&amp;" / "&amp;B34,'2025'!$I$24:$I$112,A34)</x:f>
        <x:v>2</x:v>
      </x:c>
      <x:c r="E34" s="2" t="n">
        <x:f>COUNTIFS('2015'!$L$24:$L$96,A34&amp;" / "&amp;B34,'2015'!$I$24:$I$96,B34)+COUNTIFS('2016'!$L$24:$L$96,A34&amp;" / "&amp;B34,'2016'!$I$24:$I$96,B34)+COUNTIFS('2017'!$L$24:$L$106,A34&amp;" / "&amp;B34,'2017'!$I$24:$I$106,B34)+COUNTIFS('2018'!$L$24:$L$106,A34&amp;" / "&amp;B34,'2018'!$I$24:$I$106,B34)+COUNTIFS('2019'!$L$24:$L$106,A34&amp;" / "&amp;B34,'2019'!$I$24:$I$106,B34)+COUNTIFS('2020'!$L$24:$L$106,A34&amp;" / "&amp;B34,'2020'!$I$24:$I$106,B34)+COUNTIFS('2021'!$L$24:$L$112,A34&amp;" / "&amp;B34,'2021'!$I$24:$I$112,B34)+COUNTIFS('2022'!$L$24:$L$112,A34&amp;" / "&amp;B34,'2022'!$I$24:$I$112,B34)+COUNTIFS('2023'!$L$24:$L$112,A34&amp;" / "&amp;B34,'2023'!$I$24:$I$112,B34)+COUNTIFS('2024'!$L$24:$L$112,A34&amp;" / "&amp;B34,'2024'!$I$24:$I$112,B34)+COUNTIFS('2025'!$L$24:$L$112,A34&amp;" / "&amp;B34,'2025'!$I$24:$I$112,B34)</x:f>
        <x:v>0</x:v>
      </x:c>
      <x:c r="F34" s="2" t="n">
        <x:f>COUNTIFS('2015'!$L$24:$L$96,A34&amp;" / "&amp;B34,'2015'!$K$24:$K$96,1)+COUNTIFS('2016'!$L$24:$L$96,A34&amp;" / "&amp;B34,'2016'!$K$24:$K$96,1)+COUNTIFS('2017'!$L$24:$L$106,A34&amp;" / "&amp;B34,'2017'!$K$24:$K$106,1)+COUNTIFS('2018'!$L$24:$L$106,A34&amp;" / "&amp;B34,'2018'!$K$24:$K$106,1)+COUNTIFS('2019'!$L$24:$L$106,A34&amp;" / "&amp;B34,'2019'!$K$24:$K$106,1)+COUNTIFS('2020'!$L$24:$L$106,A34&amp;" / "&amp;B34,'2020'!$K$24:$K$106,1)+COUNTIFS('2021'!$L$24:$L$112,A34&amp;" / "&amp;B34,'2021'!$K$24:$K$112,1)+COUNTIFS('2022'!$L$24:$L$112,A34&amp;" / "&amp;B34,'2022'!$K$24:$K$112,1)+COUNTIFS('2023'!$L$24:$L$112,A34&amp;" / "&amp;B34,'2023'!$K$24:$K$112,1)+COUNTIFS('2024'!$L$24:$L$112,A34&amp;" / "&amp;B34,'2024'!$K$24:$K$112,1)+COUNTIFS('2025'!$L$24:$L$112,A34&amp;" / "&amp;B34,'2025'!$K$24:$K$112,1)</x:f>
        <x:v>0</x:v>
      </x:c>
      <x:c r="G34" s="25" t="n">
        <x:f>SUMIFS('2015'!$E$24:$E$96,'2015'!$L$24:$L$96,A34&amp;" / "&amp;B34,'2015'!$C$24:$C$96,A34)+SUMIFS('2015'!$H$24:$H$96,'2015'!$L$24:$L$96,A34&amp;" / "&amp;B34,'2015'!$F$24:$F$96,A34)+SUMIFS('2016'!$E$24:$E$96,'2016'!$L$24:$L$96,A34&amp;" / "&amp;B34,'2016'!$C$24:$C$96,A34)+SUMIFS('2016'!$H$24:$H$96,'2016'!$L$24:$L$96,A34&amp;" / "&amp;B34,'2016'!$F$24:$F$96,A34)+SUMIFS('2017'!$E$24:$E$106,'2017'!$L$24:$L$106,A34&amp;" / "&amp;B34,'2017'!$C$24:$C$106,A34)+SUMIFS('2017'!$H$24:$H$106,'2017'!$L$24:$L$106,A34&amp;" / "&amp;B34,'2017'!$F$24:$F$106,A34)+SUMIFS('2018'!$E$24:$E$106,'2018'!$L$24:$L$106,A34&amp;" / "&amp;B34,'2018'!$C$24:$C$106,A34)+SUMIFS('2018'!$H$24:$H$106,'2018'!$L$24:$L$106,A34&amp;" / "&amp;B34,'2018'!$F$24:$F$106,A34)+SUMIFS('2019'!$E$24:$E$106,'2019'!$L$24:$L$106,A34&amp;" / "&amp;B34,'2019'!$C$24:$C$106,A34)+SUMIFS('2019'!$H$24:$H$106,'2019'!$L$24:$L$106,A34&amp;" / "&amp;B34,'2019'!$F$24:$F$106,A34)+SUMIFS('2020'!$E$24:$E$106,'2020'!$L$24:$L$106,A34&amp;" / "&amp;B34,'2020'!$C$24:$C$106,A34)+SUMIFS('2020'!$H$24:$H$106,'2020'!$L$24:$L$106,A34&amp;" / "&amp;B34,'2020'!$F$24:$F$106,A34)+SUMIFS('2021'!$E$24:$E$112,'2021'!$L$24:$L$112,A34&amp;" / "&amp;B34,'2021'!$C$24:$C$112,A34)+SUMIFS('2021'!$H$24:$H$112,'2021'!$L$24:$L$112,A34&amp;" / "&amp;B34,'2021'!$F$24:$F$112,A34)+SUMIFS('2022'!$E$24:$E$112,'2022'!$L$24:$L$112,A34&amp;" / "&amp;B34,'2022'!$C$24:$C$112,A34)+SUMIFS('2022'!$H$24:$H$112,'2022'!$L$24:$L$112,A34&amp;" / "&amp;B34,'2022'!$F$24:$F$112,A34)+SUMIFS('2023'!$E$24:$E$112,'2023'!$L$24:$L$112,A34&amp;" / "&amp;B34,'2023'!$C$24:$C$112,A34)+SUMIFS('2023'!$H$24:$H$112,'2023'!$L$24:$L$112,A34&amp;" / "&amp;B34,'2023'!$F$24:$F$112,A34)+SUMIFS('2024'!$E$24:$E$112,'2024'!$L$24:$L$112,A34&amp;" / "&amp;B34,'2024'!$C$24:$C$112,A34)+SUMIFS('2024'!$H$24:$H$112,'2024'!$L$24:$L$112,A34&amp;" / "&amp;B34,'2024'!$F$24:$F$112,A34)+SUMIFS('2025'!$E$24:$E$112,'2025'!$L$24:$L$112,A34&amp;" / "&amp;B34,'2025'!$C$24:$C$112,A34)+SUMIFS('2025'!$H$24:$H$112,'2025'!$L$24:$L$112,A34&amp;" / "&amp;B34,'2025'!$F$24:$F$112,A34)</x:f>
        <x:v>208</x:v>
      </x:c>
      <x:c r="H34" s="25" t="n">
        <x:f>SUMIFS('2015'!$E$24:$E$96,'2015'!$L$24:$L$96,A34&amp;" / "&amp;B34,'2015'!$C$24:$C$96,B34)+SUMIFS('2015'!$H$24:$H$96,'2015'!$L$24:$L$96,A34&amp;" / "&amp;B34,'2015'!$F$24:$F$96,B34)+SUMIFS('2016'!$E$24:$E$96,'2016'!$L$24:$L$96,A34&amp;" / "&amp;B34,'2016'!$C$24:$C$96,B34)+SUMIFS('2016'!$H$24:$H$96,'2016'!$L$24:$L$96,A34&amp;" / "&amp;B34,'2016'!$F$24:$F$96,B34)+SUMIFS('2017'!$E$24:$E$106,'2017'!$L$24:$L$106,A34&amp;" / "&amp;B34,'2017'!$C$24:$C$106,B34)+SUMIFS('2017'!$H$24:$H$106,'2017'!$L$24:$L$106,A34&amp;" / "&amp;B34,'2017'!$F$24:$F$106,B34)+SUMIFS('2018'!$E$24:$E$106,'2018'!$L$24:$L$106,A34&amp;" / "&amp;B34,'2018'!$C$24:$C$106,B34)+SUMIFS('2018'!$H$24:$H$106,'2018'!$L$24:$L$106,A34&amp;" / "&amp;B34,'2018'!$F$24:$F$106,B34)+SUMIFS('2019'!$E$24:$E$106,'2019'!$L$24:$L$106,A34&amp;" / "&amp;B34,'2019'!$C$24:$C$106,B34)+SUMIFS('2019'!$H$24:$H$106,'2019'!$L$24:$L$106,A34&amp;" / "&amp;B34,'2019'!$F$24:$F$106,B34)+SUMIFS('2020'!$E$24:$E$106,'2020'!$L$24:$L$106,A34&amp;" / "&amp;B34,'2020'!$C$24:$C$106,B34)+SUMIFS('2020'!$H$24:$H$106,'2020'!$L$24:$L$106,A34&amp;" / "&amp;B34,'2020'!$F$24:$F$106,B34)+SUMIFS('2021'!$E$24:$E$112,'2021'!$L$24:$L$112,A34&amp;" / "&amp;B34,'2021'!$C$24:$C$112,B34)+SUMIFS('2021'!$H$24:$H$112,'2021'!$L$24:$L$112,A34&amp;" / "&amp;B34,'2021'!$F$24:$F$112,B34)+SUMIFS('2022'!$E$24:$E$112,'2022'!$L$24:$L$112,A34&amp;" / "&amp;B34,'2022'!$C$24:$C$112,B34)+SUMIFS('2022'!$H$24:$H$112,'2022'!$L$24:$L$112,A34&amp;" / "&amp;B34,'2022'!$F$24:$F$112,B34)+SUMIFS('2023'!$E$24:$E$112,'2023'!$L$24:$L$112,A34&amp;" / "&amp;B34,'2023'!$C$24:$C$112,B34)+SUMIFS('2023'!$H$24:$H$112,'2023'!$L$24:$L$112,A34&amp;" / "&amp;B34,'2023'!$F$24:$F$112,B34)+SUMIFS('2024'!$E$24:$E$112,'2024'!$L$24:$L$112,A34&amp;" / "&amp;B34,'2024'!$C$24:$C$112,B34)+SUMIFS('2024'!$H$24:$H$112,'2024'!$L$24:$L$112,A34&amp;" / "&amp;B34,'2024'!$F$24:$F$112,B34)+SUMIFS('2025'!$E$24:$E$112,'2025'!$L$24:$L$112,A34&amp;" / "&amp;B34,'2025'!$C$24:$C$112,B34)+SUMIFS('2025'!$H$24:$H$112,'2025'!$L$24:$L$112,A34&amp;" / "&amp;B34,'2025'!$F$24:$F$112,B34)</x:f>
        <x:v>164</x:v>
      </x:c>
      <x:c r="I34" s="11" t="n">
        <x:f>IF(C34=0,0,(D34+0.5*F34)/C34)</x:f>
        <x:v>1</x:v>
      </x:c>
      <x:c r="J34" s="2" t="n">
        <x:f>COUNTIFS('2015'!$L$24:$L$96,A34&amp;" / "&amp;B34,'2015'!$B$24:$B$96,"Regular")+COUNTIFS('2016'!$L$24:$L$96,A34&amp;" / "&amp;B34,'2016'!$B$24:$B$96,"Regular")+COUNTIFS('2017'!$L$24:$L$106,A34&amp;" / "&amp;B34,'2017'!$B$24:$B$106,"Regular")+COUNTIFS('2018'!$L$24:$L$106,A34&amp;" / "&amp;B34,'2018'!$B$24:$B$106,"Regular")+COUNTIFS('2019'!$L$24:$L$106,A34&amp;" / "&amp;B34,'2019'!$B$24:$B$106,"Regular")+COUNTIFS('2020'!$L$24:$L$106,A34&amp;" / "&amp;B34,'2020'!$B$24:$B$106,"Regular")+COUNTIFS('2021'!$L$24:$L$112,A34&amp;" / "&amp;B34,'2021'!$B$24:$B$112,"Regular")+COUNTIFS('2022'!$L$24:$L$112,A34&amp;" / "&amp;B34,'2022'!$B$24:$B$112,"Regular")+COUNTIFS('2023'!$L$24:$L$112,A34&amp;" / "&amp;B34,'2023'!$B$24:$B$112,"Regular")+COUNTIFS('2024'!$L$24:$L$112,A34&amp;" / "&amp;B34,'2024'!$B$24:$B$112,"Regular")+COUNTIFS('2025'!$L$24:$L$112,A34&amp;" / "&amp;B34,'2025'!$B$24:$B$112,"Regular")</x:f>
        <x:v>2</x:v>
      </x:c>
      <x:c r="K34" s="2" t="n">
        <x:f>COUNTIFS('2015'!$L$24:$L$96,A34&amp;" / "&amp;B34,'2015'!$B$24:$B$96,"Playoffs")+COUNTIFS('2016'!$L$24:$L$96,A34&amp;" / "&amp;B34,'2016'!$B$24:$B$96,"Playoffs")+COUNTIFS('2017'!$L$24:$L$106,A34&amp;" / "&amp;B34,'2017'!$B$24:$B$106,"Playoffs")+COUNTIFS('2018'!$L$24:$L$106,A34&amp;" / "&amp;B34,'2018'!$B$24:$B$106,"Playoffs")+COUNTIFS('2019'!$L$24:$L$106,A34&amp;" / "&amp;B34,'2019'!$B$24:$B$106,"Playoffs")+COUNTIFS('2020'!$L$24:$L$106,A34&amp;" / "&amp;B34,'2020'!$B$24:$B$106,"Playoffs")+COUNTIFS('2021'!$L$24:$L$112,A34&amp;" / "&amp;B34,'2021'!$B$24:$B$112,"Playoffs")+COUNTIFS('2022'!$L$24:$L$112,A34&amp;" / "&amp;B34,'2022'!$B$24:$B$112,"Playoffs")+COUNTIFS('2023'!$L$24:$L$112,A34&amp;" / "&amp;B34,'2023'!$B$24:$B$112,"Playoffs")+COUNTIFS('2024'!$L$24:$L$112,A34&amp;" / "&amp;B34,'2024'!$B$24:$B$112,"Playoffs")+COUNTIFS('2025'!$L$24:$L$112,A34&amp;" / "&amp;B34,'2025'!$B$24:$B$112,"Playoffs")</x:f>
        <x:v>0</x:v>
      </x:c>
      <x:c r="L34" s="2" t="n">
        <x:f>COUNTIFS('2015'!$L$24:$L$96,A34&amp;" / "&amp;B34,'2015'!$B$24:$B$96,"Unconfirmed")+COUNTIFS('2016'!$L$24:$L$96,A34&amp;" / "&amp;B34,'2016'!$B$24:$B$96,"Unconfirmed")+COUNTIFS('2017'!$L$24:$L$106,A34&amp;" / "&amp;B34,'2017'!$B$24:$B$106,"Unconfirmed")+COUNTIFS('2018'!$L$24:$L$106,A34&amp;" / "&amp;B34,'2018'!$B$24:$B$106,"Unconfirmed")+COUNTIFS('2019'!$L$24:$L$106,A34&amp;" / "&amp;B34,'2019'!$B$24:$B$106,"Unconfirmed")+COUNTIFS('2020'!$L$24:$L$106,A34&amp;" / "&amp;B34,'2020'!$B$24:$B$106,"Unconfirmed")+COUNTIFS('2021'!$L$24:$L$112,A34&amp;" / "&amp;B34,'2021'!$B$24:$B$112,"Unconfirmed")+COUNTIFS('2022'!$L$24:$L$112,A34&amp;" / "&amp;B34,'2022'!$B$24:$B$112,"Unconfirmed")+COUNTIFS('2023'!$L$24:$L$112,A34&amp;" / "&amp;B34,'2023'!$B$24:$B$112,"Unconfirmed")+COUNTIFS('2024'!$L$24:$L$112,A34&amp;" / "&amp;B34,'2024'!$B$24:$B$112,"Unconfirmed")+COUNTIFS('2025'!$L$24:$L$112,A34&amp;" / "&amp;B34,'2025'!$B$24:$B$112,"Unconfirmed")</x:f>
        <x:v>0</x:v>
      </x:c>
    </x:row>
    <x:row r="35" ht="22" customHeight="1">
      <x:c r="A35" s="2" t="str">
        <x:v>Bruce</x:v>
      </x:c>
      <x:c r="B35" s="2" t="str">
        <x:v>Craig</x:v>
      </x:c>
      <x:c r="C35" s="2" t="n">
        <x:f>COUNTIFS('2015'!$L$24:$L$96,A35&amp;" / "&amp;B35)+COUNTIFS('2016'!$L$24:$L$96,A35&amp;" / "&amp;B35)+COUNTIFS('2017'!$L$24:$L$106,A35&amp;" / "&amp;B35)+COUNTIFS('2018'!$L$24:$L$106,A35&amp;" / "&amp;B35)+COUNTIFS('2019'!$L$24:$L$106,A35&amp;" / "&amp;B35)+COUNTIFS('2020'!$L$24:$L$106,A35&amp;" / "&amp;B35)+COUNTIFS('2021'!$L$24:$L$112,A35&amp;" / "&amp;B35)+COUNTIFS('2022'!$L$24:$L$112,A35&amp;" / "&amp;B35)+COUNTIFS('2023'!$L$24:$L$112,A35&amp;" / "&amp;B35)+COUNTIFS('2024'!$L$24:$L$112,A35&amp;" / "&amp;B35)+COUNTIFS('2025'!$L$24:$L$112,A35&amp;" / "&amp;B35)</x:f>
        <x:v>18</x:v>
      </x:c>
      <x:c r="D35" s="2" t="n">
        <x:f>COUNTIFS('2015'!$L$24:$L$96,A35&amp;" / "&amp;B35,'2015'!$I$24:$I$96,A35)+COUNTIFS('2016'!$L$24:$L$96,A35&amp;" / "&amp;B35,'2016'!$I$24:$I$96,A35)+COUNTIFS('2017'!$L$24:$L$106,A35&amp;" / "&amp;B35,'2017'!$I$24:$I$106,A35)+COUNTIFS('2018'!$L$24:$L$106,A35&amp;" / "&amp;B35,'2018'!$I$24:$I$106,A35)+COUNTIFS('2019'!$L$24:$L$106,A35&amp;" / "&amp;B35,'2019'!$I$24:$I$106,A35)+COUNTIFS('2020'!$L$24:$L$106,A35&amp;" / "&amp;B35,'2020'!$I$24:$I$106,A35)+COUNTIFS('2021'!$L$24:$L$112,A35&amp;" / "&amp;B35,'2021'!$I$24:$I$112,A35)+COUNTIFS('2022'!$L$24:$L$112,A35&amp;" / "&amp;B35,'2022'!$I$24:$I$112,A35)+COUNTIFS('2023'!$L$24:$L$112,A35&amp;" / "&amp;B35,'2023'!$I$24:$I$112,A35)+COUNTIFS('2024'!$L$24:$L$112,A35&amp;" / "&amp;B35,'2024'!$I$24:$I$112,A35)+COUNTIFS('2025'!$L$24:$L$112,A35&amp;" / "&amp;B35,'2025'!$I$24:$I$112,A35)</x:f>
        <x:v>7</x:v>
      </x:c>
      <x:c r="E35" s="2" t="n">
        <x:f>COUNTIFS('2015'!$L$24:$L$96,A35&amp;" / "&amp;B35,'2015'!$I$24:$I$96,B35)+COUNTIFS('2016'!$L$24:$L$96,A35&amp;" / "&amp;B35,'2016'!$I$24:$I$96,B35)+COUNTIFS('2017'!$L$24:$L$106,A35&amp;" / "&amp;B35,'2017'!$I$24:$I$106,B35)+COUNTIFS('2018'!$L$24:$L$106,A35&amp;" / "&amp;B35,'2018'!$I$24:$I$106,B35)+COUNTIFS('2019'!$L$24:$L$106,A35&amp;" / "&amp;B35,'2019'!$I$24:$I$106,B35)+COUNTIFS('2020'!$L$24:$L$106,A35&amp;" / "&amp;B35,'2020'!$I$24:$I$106,B35)+COUNTIFS('2021'!$L$24:$L$112,A35&amp;" / "&amp;B35,'2021'!$I$24:$I$112,B35)+COUNTIFS('2022'!$L$24:$L$112,A35&amp;" / "&amp;B35,'2022'!$I$24:$I$112,B35)+COUNTIFS('2023'!$L$24:$L$112,A35&amp;" / "&amp;B35,'2023'!$I$24:$I$112,B35)+COUNTIFS('2024'!$L$24:$L$112,A35&amp;" / "&amp;B35,'2024'!$I$24:$I$112,B35)+COUNTIFS('2025'!$L$24:$L$112,A35&amp;" / "&amp;B35,'2025'!$I$24:$I$112,B35)</x:f>
        <x:v>11</x:v>
      </x:c>
      <x:c r="F35" s="2" t="n">
        <x:f>COUNTIFS('2015'!$L$24:$L$96,A35&amp;" / "&amp;B35,'2015'!$K$24:$K$96,1)+COUNTIFS('2016'!$L$24:$L$96,A35&amp;" / "&amp;B35,'2016'!$K$24:$K$96,1)+COUNTIFS('2017'!$L$24:$L$106,A35&amp;" / "&amp;B35,'2017'!$K$24:$K$106,1)+COUNTIFS('2018'!$L$24:$L$106,A35&amp;" / "&amp;B35,'2018'!$K$24:$K$106,1)+COUNTIFS('2019'!$L$24:$L$106,A35&amp;" / "&amp;B35,'2019'!$K$24:$K$106,1)+COUNTIFS('2020'!$L$24:$L$106,A35&amp;" / "&amp;B35,'2020'!$K$24:$K$106,1)+COUNTIFS('2021'!$L$24:$L$112,A35&amp;" / "&amp;B35,'2021'!$K$24:$K$112,1)+COUNTIFS('2022'!$L$24:$L$112,A35&amp;" / "&amp;B35,'2022'!$K$24:$K$112,1)+COUNTIFS('2023'!$L$24:$L$112,A35&amp;" / "&amp;B35,'2023'!$K$24:$K$112,1)+COUNTIFS('2024'!$L$24:$L$112,A35&amp;" / "&amp;B35,'2024'!$K$24:$K$112,1)+COUNTIFS('2025'!$L$24:$L$112,A35&amp;" / "&amp;B35,'2025'!$K$24:$K$112,1)</x:f>
        <x:v>0</x:v>
      </x:c>
      <x:c r="G35" s="25" t="n">
        <x:f>SUMIFS('2015'!$E$24:$E$96,'2015'!$L$24:$L$96,A35&amp;" / "&amp;B35,'2015'!$C$24:$C$96,A35)+SUMIFS('2015'!$H$24:$H$96,'2015'!$L$24:$L$96,A35&amp;" / "&amp;B35,'2015'!$F$24:$F$96,A35)+SUMIFS('2016'!$E$24:$E$96,'2016'!$L$24:$L$96,A35&amp;" / "&amp;B35,'2016'!$C$24:$C$96,A35)+SUMIFS('2016'!$H$24:$H$96,'2016'!$L$24:$L$96,A35&amp;" / "&amp;B35,'2016'!$F$24:$F$96,A35)+SUMIFS('2017'!$E$24:$E$106,'2017'!$L$24:$L$106,A35&amp;" / "&amp;B35,'2017'!$C$24:$C$106,A35)+SUMIFS('2017'!$H$24:$H$106,'2017'!$L$24:$L$106,A35&amp;" / "&amp;B35,'2017'!$F$24:$F$106,A35)+SUMIFS('2018'!$E$24:$E$106,'2018'!$L$24:$L$106,A35&amp;" / "&amp;B35,'2018'!$C$24:$C$106,A35)+SUMIFS('2018'!$H$24:$H$106,'2018'!$L$24:$L$106,A35&amp;" / "&amp;B35,'2018'!$F$24:$F$106,A35)+SUMIFS('2019'!$E$24:$E$106,'2019'!$L$24:$L$106,A35&amp;" / "&amp;B35,'2019'!$C$24:$C$106,A35)+SUMIFS('2019'!$H$24:$H$106,'2019'!$L$24:$L$106,A35&amp;" / "&amp;B35,'2019'!$F$24:$F$106,A35)+SUMIFS('2020'!$E$24:$E$106,'2020'!$L$24:$L$106,A35&amp;" / "&amp;B35,'2020'!$C$24:$C$106,A35)+SUMIFS('2020'!$H$24:$H$106,'2020'!$L$24:$L$106,A35&amp;" / "&amp;B35,'2020'!$F$24:$F$106,A35)+SUMIFS('2021'!$E$24:$E$112,'2021'!$L$24:$L$112,A35&amp;" / "&amp;B35,'2021'!$C$24:$C$112,A35)+SUMIFS('2021'!$H$24:$H$112,'2021'!$L$24:$L$112,A35&amp;" / "&amp;B35,'2021'!$F$24:$F$112,A35)+SUMIFS('2022'!$E$24:$E$112,'2022'!$L$24:$L$112,A35&amp;" / "&amp;B35,'2022'!$C$24:$C$112,A35)+SUMIFS('2022'!$H$24:$H$112,'2022'!$L$24:$L$112,A35&amp;" / "&amp;B35,'2022'!$F$24:$F$112,A35)+SUMIFS('2023'!$E$24:$E$112,'2023'!$L$24:$L$112,A35&amp;" / "&amp;B35,'2023'!$C$24:$C$112,A35)+SUMIFS('2023'!$H$24:$H$112,'2023'!$L$24:$L$112,A35&amp;" / "&amp;B35,'2023'!$F$24:$F$112,A35)+SUMIFS('2024'!$E$24:$E$112,'2024'!$L$24:$L$112,A35&amp;" / "&amp;B35,'2024'!$C$24:$C$112,A35)+SUMIFS('2024'!$H$24:$H$112,'2024'!$L$24:$L$112,A35&amp;" / "&amp;B35,'2024'!$F$24:$F$112,A35)+SUMIFS('2025'!$E$24:$E$112,'2025'!$L$24:$L$112,A35&amp;" / "&amp;B35,'2025'!$C$24:$C$112,A35)+SUMIFS('2025'!$H$24:$H$112,'2025'!$L$24:$L$112,A35&amp;" / "&amp;B35,'2025'!$F$24:$F$112,A35)</x:f>
        <x:v>2026.9</x:v>
      </x:c>
      <x:c r="H35" s="25" t="n">
        <x:f>SUMIFS('2015'!$E$24:$E$96,'2015'!$L$24:$L$96,A35&amp;" / "&amp;B35,'2015'!$C$24:$C$96,B35)+SUMIFS('2015'!$H$24:$H$96,'2015'!$L$24:$L$96,A35&amp;" / "&amp;B35,'2015'!$F$24:$F$96,B35)+SUMIFS('2016'!$E$24:$E$96,'2016'!$L$24:$L$96,A35&amp;" / "&amp;B35,'2016'!$C$24:$C$96,B35)+SUMIFS('2016'!$H$24:$H$96,'2016'!$L$24:$L$96,A35&amp;" / "&amp;B35,'2016'!$F$24:$F$96,B35)+SUMIFS('2017'!$E$24:$E$106,'2017'!$L$24:$L$106,A35&amp;" / "&amp;B35,'2017'!$C$24:$C$106,B35)+SUMIFS('2017'!$H$24:$H$106,'2017'!$L$24:$L$106,A35&amp;" / "&amp;B35,'2017'!$F$24:$F$106,B35)+SUMIFS('2018'!$E$24:$E$106,'2018'!$L$24:$L$106,A35&amp;" / "&amp;B35,'2018'!$C$24:$C$106,B35)+SUMIFS('2018'!$H$24:$H$106,'2018'!$L$24:$L$106,A35&amp;" / "&amp;B35,'2018'!$F$24:$F$106,B35)+SUMIFS('2019'!$E$24:$E$106,'2019'!$L$24:$L$106,A35&amp;" / "&amp;B35,'2019'!$C$24:$C$106,B35)+SUMIFS('2019'!$H$24:$H$106,'2019'!$L$24:$L$106,A35&amp;" / "&amp;B35,'2019'!$F$24:$F$106,B35)+SUMIFS('2020'!$E$24:$E$106,'2020'!$L$24:$L$106,A35&amp;" / "&amp;B35,'2020'!$C$24:$C$106,B35)+SUMIFS('2020'!$H$24:$H$106,'2020'!$L$24:$L$106,A35&amp;" / "&amp;B35,'2020'!$F$24:$F$106,B35)+SUMIFS('2021'!$E$24:$E$112,'2021'!$L$24:$L$112,A35&amp;" / "&amp;B35,'2021'!$C$24:$C$112,B35)+SUMIFS('2021'!$H$24:$H$112,'2021'!$L$24:$L$112,A35&amp;" / "&amp;B35,'2021'!$F$24:$F$112,B35)+SUMIFS('2022'!$E$24:$E$112,'2022'!$L$24:$L$112,A35&amp;" / "&amp;B35,'2022'!$C$24:$C$112,B35)+SUMIFS('2022'!$H$24:$H$112,'2022'!$L$24:$L$112,A35&amp;" / "&amp;B35,'2022'!$F$24:$F$112,B35)+SUMIFS('2023'!$E$24:$E$112,'2023'!$L$24:$L$112,A35&amp;" / "&amp;B35,'2023'!$C$24:$C$112,B35)+SUMIFS('2023'!$H$24:$H$112,'2023'!$L$24:$L$112,A35&amp;" / "&amp;B35,'2023'!$F$24:$F$112,B35)+SUMIFS('2024'!$E$24:$E$112,'2024'!$L$24:$L$112,A35&amp;" / "&amp;B35,'2024'!$C$24:$C$112,B35)+SUMIFS('2024'!$H$24:$H$112,'2024'!$L$24:$L$112,A35&amp;" / "&amp;B35,'2024'!$F$24:$F$112,B35)+SUMIFS('2025'!$E$24:$E$112,'2025'!$L$24:$L$112,A35&amp;" / "&amp;B35,'2025'!$C$24:$C$112,B35)+SUMIFS('2025'!$H$24:$H$112,'2025'!$L$24:$L$112,A35&amp;" / "&amp;B35,'2025'!$F$24:$F$112,B35)</x:f>
        <x:v>2272.4500000000003</x:v>
      </x:c>
      <x:c r="I35" s="11" t="n">
        <x:f>IF(C35=0,0,(D35+0.5*F35)/C35)</x:f>
        <x:v>0.3888888888888889</x:v>
      </x:c>
      <x:c r="J35" s="2" t="n">
        <x:f>COUNTIFS('2015'!$L$24:$L$96,A35&amp;" / "&amp;B35,'2015'!$B$24:$B$96,"Regular")+COUNTIFS('2016'!$L$24:$L$96,A35&amp;" / "&amp;B35,'2016'!$B$24:$B$96,"Regular")+COUNTIFS('2017'!$L$24:$L$106,A35&amp;" / "&amp;B35,'2017'!$B$24:$B$106,"Regular")+COUNTIFS('2018'!$L$24:$L$106,A35&amp;" / "&amp;B35,'2018'!$B$24:$B$106,"Regular")+COUNTIFS('2019'!$L$24:$L$106,A35&amp;" / "&amp;B35,'2019'!$B$24:$B$106,"Regular")+COUNTIFS('2020'!$L$24:$L$106,A35&amp;" / "&amp;B35,'2020'!$B$24:$B$106,"Regular")+COUNTIFS('2021'!$L$24:$L$112,A35&amp;" / "&amp;B35,'2021'!$B$24:$B$112,"Regular")+COUNTIFS('2022'!$L$24:$L$112,A35&amp;" / "&amp;B35,'2022'!$B$24:$B$112,"Regular")+COUNTIFS('2023'!$L$24:$L$112,A35&amp;" / "&amp;B35,'2023'!$B$24:$B$112,"Regular")+COUNTIFS('2024'!$L$24:$L$112,A35&amp;" / "&amp;B35,'2024'!$B$24:$B$112,"Regular")+COUNTIFS('2025'!$L$24:$L$112,A35&amp;" / "&amp;B35,'2025'!$B$24:$B$112,"Regular")</x:f>
        <x:v>17</x:v>
      </x:c>
      <x:c r="K35" s="2" t="n">
        <x:f>COUNTIFS('2015'!$L$24:$L$96,A35&amp;" / "&amp;B35,'2015'!$B$24:$B$96,"Playoffs")+COUNTIFS('2016'!$L$24:$L$96,A35&amp;" / "&amp;B35,'2016'!$B$24:$B$96,"Playoffs")+COUNTIFS('2017'!$L$24:$L$106,A35&amp;" / "&amp;B35,'2017'!$B$24:$B$106,"Playoffs")+COUNTIFS('2018'!$L$24:$L$106,A35&amp;" / "&amp;B35,'2018'!$B$24:$B$106,"Playoffs")+COUNTIFS('2019'!$L$24:$L$106,A35&amp;" / "&amp;B35,'2019'!$B$24:$B$106,"Playoffs")+COUNTIFS('2020'!$L$24:$L$106,A35&amp;" / "&amp;B35,'2020'!$B$24:$B$106,"Playoffs")+COUNTIFS('2021'!$L$24:$L$112,A35&amp;" / "&amp;B35,'2021'!$B$24:$B$112,"Playoffs")+COUNTIFS('2022'!$L$24:$L$112,A35&amp;" / "&amp;B35,'2022'!$B$24:$B$112,"Playoffs")+COUNTIFS('2023'!$L$24:$L$112,A35&amp;" / "&amp;B35,'2023'!$B$24:$B$112,"Playoffs")+COUNTIFS('2024'!$L$24:$L$112,A35&amp;" / "&amp;B35,'2024'!$B$24:$B$112,"Playoffs")+COUNTIFS('2025'!$L$24:$L$112,A35&amp;" / "&amp;B35,'2025'!$B$24:$B$112,"Playoffs")</x:f>
        <x:v>1</x:v>
      </x:c>
      <x:c r="L35" s="2" t="n">
        <x:f>COUNTIFS('2015'!$L$24:$L$96,A35&amp;" / "&amp;B35,'2015'!$B$24:$B$96,"Unconfirmed")+COUNTIFS('2016'!$L$24:$L$96,A35&amp;" / "&amp;B35,'2016'!$B$24:$B$96,"Unconfirmed")+COUNTIFS('2017'!$L$24:$L$106,A35&amp;" / "&amp;B35,'2017'!$B$24:$B$106,"Unconfirmed")+COUNTIFS('2018'!$L$24:$L$106,A35&amp;" / "&amp;B35,'2018'!$B$24:$B$106,"Unconfirmed")+COUNTIFS('2019'!$L$24:$L$106,A35&amp;" / "&amp;B35,'2019'!$B$24:$B$106,"Unconfirmed")+COUNTIFS('2020'!$L$24:$L$106,A35&amp;" / "&amp;B35,'2020'!$B$24:$B$106,"Unconfirmed")+COUNTIFS('2021'!$L$24:$L$112,A35&amp;" / "&amp;B35,'2021'!$B$24:$B$112,"Unconfirmed")+COUNTIFS('2022'!$L$24:$L$112,A35&amp;" / "&amp;B35,'2022'!$B$24:$B$112,"Unconfirmed")+COUNTIFS('2023'!$L$24:$L$112,A35&amp;" / "&amp;B35,'2023'!$B$24:$B$112,"Unconfirmed")+COUNTIFS('2024'!$L$24:$L$112,A35&amp;" / "&amp;B35,'2024'!$B$24:$B$112,"Unconfirmed")+COUNTIFS('2025'!$L$24:$L$112,A35&amp;" / "&amp;B35,'2025'!$B$24:$B$112,"Unconfirmed")</x:f>
        <x:v>0</x:v>
      </x:c>
    </x:row>
    <x:row r="36" ht="22" customHeight="1">
      <x:c r="A36" s="2" t="str">
        <x:v>Bruce</x:v>
      </x:c>
      <x:c r="B36" s="2" t="str">
        <x:v>Dave</x:v>
      </x:c>
      <x:c r="C36" s="2" t="n">
        <x:f>COUNTIFS('2015'!$L$24:$L$96,A36&amp;" / "&amp;B36)+COUNTIFS('2016'!$L$24:$L$96,A36&amp;" / "&amp;B36)+COUNTIFS('2017'!$L$24:$L$106,A36&amp;" / "&amp;B36)+COUNTIFS('2018'!$L$24:$L$106,A36&amp;" / "&amp;B36)+COUNTIFS('2019'!$L$24:$L$106,A36&amp;" / "&amp;B36)+COUNTIFS('2020'!$L$24:$L$106,A36&amp;" / "&amp;B36)+COUNTIFS('2021'!$L$24:$L$112,A36&amp;" / "&amp;B36)+COUNTIFS('2022'!$L$24:$L$112,A36&amp;" / "&amp;B36)+COUNTIFS('2023'!$L$24:$L$112,A36&amp;" / "&amp;B36)+COUNTIFS('2024'!$L$24:$L$112,A36&amp;" / "&amp;B36)+COUNTIFS('2025'!$L$24:$L$112,A36&amp;" / "&amp;B36)</x:f>
        <x:v>9</x:v>
      </x:c>
      <x:c r="D36" s="2" t="n">
        <x:f>COUNTIFS('2015'!$L$24:$L$96,A36&amp;" / "&amp;B36,'2015'!$I$24:$I$96,A36)+COUNTIFS('2016'!$L$24:$L$96,A36&amp;" / "&amp;B36,'2016'!$I$24:$I$96,A36)+COUNTIFS('2017'!$L$24:$L$106,A36&amp;" / "&amp;B36,'2017'!$I$24:$I$106,A36)+COUNTIFS('2018'!$L$24:$L$106,A36&amp;" / "&amp;B36,'2018'!$I$24:$I$106,A36)+COUNTIFS('2019'!$L$24:$L$106,A36&amp;" / "&amp;B36,'2019'!$I$24:$I$106,A36)+COUNTIFS('2020'!$L$24:$L$106,A36&amp;" / "&amp;B36,'2020'!$I$24:$I$106,A36)+COUNTIFS('2021'!$L$24:$L$112,A36&amp;" / "&amp;B36,'2021'!$I$24:$I$112,A36)+COUNTIFS('2022'!$L$24:$L$112,A36&amp;" / "&amp;B36,'2022'!$I$24:$I$112,A36)+COUNTIFS('2023'!$L$24:$L$112,A36&amp;" / "&amp;B36,'2023'!$I$24:$I$112,A36)+COUNTIFS('2024'!$L$24:$L$112,A36&amp;" / "&amp;B36,'2024'!$I$24:$I$112,A36)+COUNTIFS('2025'!$L$24:$L$112,A36&amp;" / "&amp;B36,'2025'!$I$24:$I$112,A36)</x:f>
        <x:v>5</x:v>
      </x:c>
      <x:c r="E36" s="2" t="n">
        <x:f>COUNTIFS('2015'!$L$24:$L$96,A36&amp;" / "&amp;B36,'2015'!$I$24:$I$96,B36)+COUNTIFS('2016'!$L$24:$L$96,A36&amp;" / "&amp;B36,'2016'!$I$24:$I$96,B36)+COUNTIFS('2017'!$L$24:$L$106,A36&amp;" / "&amp;B36,'2017'!$I$24:$I$106,B36)+COUNTIFS('2018'!$L$24:$L$106,A36&amp;" / "&amp;B36,'2018'!$I$24:$I$106,B36)+COUNTIFS('2019'!$L$24:$L$106,A36&amp;" / "&amp;B36,'2019'!$I$24:$I$106,B36)+COUNTIFS('2020'!$L$24:$L$106,A36&amp;" / "&amp;B36,'2020'!$I$24:$I$106,B36)+COUNTIFS('2021'!$L$24:$L$112,A36&amp;" / "&amp;B36,'2021'!$I$24:$I$112,B36)+COUNTIFS('2022'!$L$24:$L$112,A36&amp;" / "&amp;B36,'2022'!$I$24:$I$112,B36)+COUNTIFS('2023'!$L$24:$L$112,A36&amp;" / "&amp;B36,'2023'!$I$24:$I$112,B36)+COUNTIFS('2024'!$L$24:$L$112,A36&amp;" / "&amp;B36,'2024'!$I$24:$I$112,B36)+COUNTIFS('2025'!$L$24:$L$112,A36&amp;" / "&amp;B36,'2025'!$I$24:$I$112,B36)</x:f>
        <x:v>4</x:v>
      </x:c>
      <x:c r="F36" s="2" t="n">
        <x:f>COUNTIFS('2015'!$L$24:$L$96,A36&amp;" / "&amp;B36,'2015'!$K$24:$K$96,1)+COUNTIFS('2016'!$L$24:$L$96,A36&amp;" / "&amp;B36,'2016'!$K$24:$K$96,1)+COUNTIFS('2017'!$L$24:$L$106,A36&amp;" / "&amp;B36,'2017'!$K$24:$K$106,1)+COUNTIFS('2018'!$L$24:$L$106,A36&amp;" / "&amp;B36,'2018'!$K$24:$K$106,1)+COUNTIFS('2019'!$L$24:$L$106,A36&amp;" / "&amp;B36,'2019'!$K$24:$K$106,1)+COUNTIFS('2020'!$L$24:$L$106,A36&amp;" / "&amp;B36,'2020'!$K$24:$K$106,1)+COUNTIFS('2021'!$L$24:$L$112,A36&amp;" / "&amp;B36,'2021'!$K$24:$K$112,1)+COUNTIFS('2022'!$L$24:$L$112,A36&amp;" / "&amp;B36,'2022'!$K$24:$K$112,1)+COUNTIFS('2023'!$L$24:$L$112,A36&amp;" / "&amp;B36,'2023'!$K$24:$K$112,1)+COUNTIFS('2024'!$L$24:$L$112,A36&amp;" / "&amp;B36,'2024'!$K$24:$K$112,1)+COUNTIFS('2025'!$L$24:$L$112,A36&amp;" / "&amp;B36,'2025'!$K$24:$K$112,1)</x:f>
        <x:v>0</x:v>
      </x:c>
      <x:c r="G36" s="25" t="n">
        <x:f>SUMIFS('2015'!$E$24:$E$96,'2015'!$L$24:$L$96,A36&amp;" / "&amp;B36,'2015'!$C$24:$C$96,A36)+SUMIFS('2015'!$H$24:$H$96,'2015'!$L$24:$L$96,A36&amp;" / "&amp;B36,'2015'!$F$24:$F$96,A36)+SUMIFS('2016'!$E$24:$E$96,'2016'!$L$24:$L$96,A36&amp;" / "&amp;B36,'2016'!$C$24:$C$96,A36)+SUMIFS('2016'!$H$24:$H$96,'2016'!$L$24:$L$96,A36&amp;" / "&amp;B36,'2016'!$F$24:$F$96,A36)+SUMIFS('2017'!$E$24:$E$106,'2017'!$L$24:$L$106,A36&amp;" / "&amp;B36,'2017'!$C$24:$C$106,A36)+SUMIFS('2017'!$H$24:$H$106,'2017'!$L$24:$L$106,A36&amp;" / "&amp;B36,'2017'!$F$24:$F$106,A36)+SUMIFS('2018'!$E$24:$E$106,'2018'!$L$24:$L$106,A36&amp;" / "&amp;B36,'2018'!$C$24:$C$106,A36)+SUMIFS('2018'!$H$24:$H$106,'2018'!$L$24:$L$106,A36&amp;" / "&amp;B36,'2018'!$F$24:$F$106,A36)+SUMIFS('2019'!$E$24:$E$106,'2019'!$L$24:$L$106,A36&amp;" / "&amp;B36,'2019'!$C$24:$C$106,A36)+SUMIFS('2019'!$H$24:$H$106,'2019'!$L$24:$L$106,A36&amp;" / "&amp;B36,'2019'!$F$24:$F$106,A36)+SUMIFS('2020'!$E$24:$E$106,'2020'!$L$24:$L$106,A36&amp;" / "&amp;B36,'2020'!$C$24:$C$106,A36)+SUMIFS('2020'!$H$24:$H$106,'2020'!$L$24:$L$106,A36&amp;" / "&amp;B36,'2020'!$F$24:$F$106,A36)+SUMIFS('2021'!$E$24:$E$112,'2021'!$L$24:$L$112,A36&amp;" / "&amp;B36,'2021'!$C$24:$C$112,A36)+SUMIFS('2021'!$H$24:$H$112,'2021'!$L$24:$L$112,A36&amp;" / "&amp;B36,'2021'!$F$24:$F$112,A36)+SUMIFS('2022'!$E$24:$E$112,'2022'!$L$24:$L$112,A36&amp;" / "&amp;B36,'2022'!$C$24:$C$112,A36)+SUMIFS('2022'!$H$24:$H$112,'2022'!$L$24:$L$112,A36&amp;" / "&amp;B36,'2022'!$F$24:$F$112,A36)+SUMIFS('2023'!$E$24:$E$112,'2023'!$L$24:$L$112,A36&amp;" / "&amp;B36,'2023'!$C$24:$C$112,A36)+SUMIFS('2023'!$H$24:$H$112,'2023'!$L$24:$L$112,A36&amp;" / "&amp;B36,'2023'!$F$24:$F$112,A36)+SUMIFS('2024'!$E$24:$E$112,'2024'!$L$24:$L$112,A36&amp;" / "&amp;B36,'2024'!$C$24:$C$112,A36)+SUMIFS('2024'!$H$24:$H$112,'2024'!$L$24:$L$112,A36&amp;" / "&amp;B36,'2024'!$F$24:$F$112,A36)+SUMIFS('2025'!$E$24:$E$112,'2025'!$L$24:$L$112,A36&amp;" / "&amp;B36,'2025'!$C$24:$C$112,A36)+SUMIFS('2025'!$H$24:$H$112,'2025'!$L$24:$L$112,A36&amp;" / "&amp;B36,'2025'!$F$24:$F$112,A36)</x:f>
        <x:v>1111.1</x:v>
      </x:c>
      <x:c r="H36" s="25" t="n">
        <x:f>SUMIFS('2015'!$E$24:$E$96,'2015'!$L$24:$L$96,A36&amp;" / "&amp;B36,'2015'!$C$24:$C$96,B36)+SUMIFS('2015'!$H$24:$H$96,'2015'!$L$24:$L$96,A36&amp;" / "&amp;B36,'2015'!$F$24:$F$96,B36)+SUMIFS('2016'!$E$24:$E$96,'2016'!$L$24:$L$96,A36&amp;" / "&amp;B36,'2016'!$C$24:$C$96,B36)+SUMIFS('2016'!$H$24:$H$96,'2016'!$L$24:$L$96,A36&amp;" / "&amp;B36,'2016'!$F$24:$F$96,B36)+SUMIFS('2017'!$E$24:$E$106,'2017'!$L$24:$L$106,A36&amp;" / "&amp;B36,'2017'!$C$24:$C$106,B36)+SUMIFS('2017'!$H$24:$H$106,'2017'!$L$24:$L$106,A36&amp;" / "&amp;B36,'2017'!$F$24:$F$106,B36)+SUMIFS('2018'!$E$24:$E$106,'2018'!$L$24:$L$106,A36&amp;" / "&amp;B36,'2018'!$C$24:$C$106,B36)+SUMIFS('2018'!$H$24:$H$106,'2018'!$L$24:$L$106,A36&amp;" / "&amp;B36,'2018'!$F$24:$F$106,B36)+SUMIFS('2019'!$E$24:$E$106,'2019'!$L$24:$L$106,A36&amp;" / "&amp;B36,'2019'!$C$24:$C$106,B36)+SUMIFS('2019'!$H$24:$H$106,'2019'!$L$24:$L$106,A36&amp;" / "&amp;B36,'2019'!$F$24:$F$106,B36)+SUMIFS('2020'!$E$24:$E$106,'2020'!$L$24:$L$106,A36&amp;" / "&amp;B36,'2020'!$C$24:$C$106,B36)+SUMIFS('2020'!$H$24:$H$106,'2020'!$L$24:$L$106,A36&amp;" / "&amp;B36,'2020'!$F$24:$F$106,B36)+SUMIFS('2021'!$E$24:$E$112,'2021'!$L$24:$L$112,A36&amp;" / "&amp;B36,'2021'!$C$24:$C$112,B36)+SUMIFS('2021'!$H$24:$H$112,'2021'!$L$24:$L$112,A36&amp;" / "&amp;B36,'2021'!$F$24:$F$112,B36)+SUMIFS('2022'!$E$24:$E$112,'2022'!$L$24:$L$112,A36&amp;" / "&amp;B36,'2022'!$C$24:$C$112,B36)+SUMIFS('2022'!$H$24:$H$112,'2022'!$L$24:$L$112,A36&amp;" / "&amp;B36,'2022'!$F$24:$F$112,B36)+SUMIFS('2023'!$E$24:$E$112,'2023'!$L$24:$L$112,A36&amp;" / "&amp;B36,'2023'!$C$24:$C$112,B36)+SUMIFS('2023'!$H$24:$H$112,'2023'!$L$24:$L$112,A36&amp;" / "&amp;B36,'2023'!$F$24:$F$112,B36)+SUMIFS('2024'!$E$24:$E$112,'2024'!$L$24:$L$112,A36&amp;" / "&amp;B36,'2024'!$C$24:$C$112,B36)+SUMIFS('2024'!$H$24:$H$112,'2024'!$L$24:$L$112,A36&amp;" / "&amp;B36,'2024'!$F$24:$F$112,B36)+SUMIFS('2025'!$E$24:$E$112,'2025'!$L$24:$L$112,A36&amp;" / "&amp;B36,'2025'!$C$24:$C$112,B36)+SUMIFS('2025'!$H$24:$H$112,'2025'!$L$24:$L$112,A36&amp;" / "&amp;B36,'2025'!$F$24:$F$112,B36)</x:f>
        <x:v>1119.0500000000002</x:v>
      </x:c>
      <x:c r="I36" s="11" t="n">
        <x:f>IF(C36=0,0,(D36+0.5*F36)/C36)</x:f>
        <x:v>0.5555555555555556</x:v>
      </x:c>
      <x:c r="J36" s="2" t="n">
        <x:f>COUNTIFS('2015'!$L$24:$L$96,A36&amp;" / "&amp;B36,'2015'!$B$24:$B$96,"Regular")+COUNTIFS('2016'!$L$24:$L$96,A36&amp;" / "&amp;B36,'2016'!$B$24:$B$96,"Regular")+COUNTIFS('2017'!$L$24:$L$106,A36&amp;" / "&amp;B36,'2017'!$B$24:$B$106,"Regular")+COUNTIFS('2018'!$L$24:$L$106,A36&amp;" / "&amp;B36,'2018'!$B$24:$B$106,"Regular")+COUNTIFS('2019'!$L$24:$L$106,A36&amp;" / "&amp;B36,'2019'!$B$24:$B$106,"Regular")+COUNTIFS('2020'!$L$24:$L$106,A36&amp;" / "&amp;B36,'2020'!$B$24:$B$106,"Regular")+COUNTIFS('2021'!$L$24:$L$112,A36&amp;" / "&amp;B36,'2021'!$B$24:$B$112,"Regular")+COUNTIFS('2022'!$L$24:$L$112,A36&amp;" / "&amp;B36,'2022'!$B$24:$B$112,"Regular")+COUNTIFS('2023'!$L$24:$L$112,A36&amp;" / "&amp;B36,'2023'!$B$24:$B$112,"Regular")+COUNTIFS('2024'!$L$24:$L$112,A36&amp;" / "&amp;B36,'2024'!$B$24:$B$112,"Regular")+COUNTIFS('2025'!$L$24:$L$112,A36&amp;" / "&amp;B36,'2025'!$B$24:$B$112,"Regular")</x:f>
        <x:v>9</x:v>
      </x:c>
      <x:c r="K36" s="2" t="n">
        <x:f>COUNTIFS('2015'!$L$24:$L$96,A36&amp;" / "&amp;B36,'2015'!$B$24:$B$96,"Playoffs")+COUNTIFS('2016'!$L$24:$L$96,A36&amp;" / "&amp;B36,'2016'!$B$24:$B$96,"Playoffs")+COUNTIFS('2017'!$L$24:$L$106,A36&amp;" / "&amp;B36,'2017'!$B$24:$B$106,"Playoffs")+COUNTIFS('2018'!$L$24:$L$106,A36&amp;" / "&amp;B36,'2018'!$B$24:$B$106,"Playoffs")+COUNTIFS('2019'!$L$24:$L$106,A36&amp;" / "&amp;B36,'2019'!$B$24:$B$106,"Playoffs")+COUNTIFS('2020'!$L$24:$L$106,A36&amp;" / "&amp;B36,'2020'!$B$24:$B$106,"Playoffs")+COUNTIFS('2021'!$L$24:$L$112,A36&amp;" / "&amp;B36,'2021'!$B$24:$B$112,"Playoffs")+COUNTIFS('2022'!$L$24:$L$112,A36&amp;" / "&amp;B36,'2022'!$B$24:$B$112,"Playoffs")+COUNTIFS('2023'!$L$24:$L$112,A36&amp;" / "&amp;B36,'2023'!$B$24:$B$112,"Playoffs")+COUNTIFS('2024'!$L$24:$L$112,A36&amp;" / "&amp;B36,'2024'!$B$24:$B$112,"Playoffs")+COUNTIFS('2025'!$L$24:$L$112,A36&amp;" / "&amp;B36,'2025'!$B$24:$B$112,"Playoffs")</x:f>
        <x:v>0</x:v>
      </x:c>
      <x:c r="L36" s="2" t="n">
        <x:f>COUNTIFS('2015'!$L$24:$L$96,A36&amp;" / "&amp;B36,'2015'!$B$24:$B$96,"Unconfirmed")+COUNTIFS('2016'!$L$24:$L$96,A36&amp;" / "&amp;B36,'2016'!$B$24:$B$96,"Unconfirmed")+COUNTIFS('2017'!$L$24:$L$106,A36&amp;" / "&amp;B36,'2017'!$B$24:$B$106,"Unconfirmed")+COUNTIFS('2018'!$L$24:$L$106,A36&amp;" / "&amp;B36,'2018'!$B$24:$B$106,"Unconfirmed")+COUNTIFS('2019'!$L$24:$L$106,A36&amp;" / "&amp;B36,'2019'!$B$24:$B$106,"Unconfirmed")+COUNTIFS('2020'!$L$24:$L$106,A36&amp;" / "&amp;B36,'2020'!$B$24:$B$106,"Unconfirmed")+COUNTIFS('2021'!$L$24:$L$112,A36&amp;" / "&amp;B36,'2021'!$B$24:$B$112,"Unconfirmed")+COUNTIFS('2022'!$L$24:$L$112,A36&amp;" / "&amp;B36,'2022'!$B$24:$B$112,"Unconfirmed")+COUNTIFS('2023'!$L$24:$L$112,A36&amp;" / "&amp;B36,'2023'!$B$24:$B$112,"Unconfirmed")+COUNTIFS('2024'!$L$24:$L$112,A36&amp;" / "&amp;B36,'2024'!$B$24:$B$112,"Unconfirmed")+COUNTIFS('2025'!$L$24:$L$112,A36&amp;" / "&amp;B36,'2025'!$B$24:$B$112,"Unconfirmed")</x:f>
        <x:v>0</x:v>
      </x:c>
    </x:row>
    <x:row r="37" ht="22" customHeight="1">
      <x:c r="A37" s="2" t="str">
        <x:v>Bruce</x:v>
      </x:c>
      <x:c r="B37" s="2" t="str">
        <x:v>Ed</x:v>
      </x:c>
      <x:c r="C37" s="2" t="n">
        <x:f>COUNTIFS('2015'!$L$24:$L$96,A37&amp;" / "&amp;B37)+COUNTIFS('2016'!$L$24:$L$96,A37&amp;" / "&amp;B37)+COUNTIFS('2017'!$L$24:$L$106,A37&amp;" / "&amp;B37)+COUNTIFS('2018'!$L$24:$L$106,A37&amp;" / "&amp;B37)+COUNTIFS('2019'!$L$24:$L$106,A37&amp;" / "&amp;B37)+COUNTIFS('2020'!$L$24:$L$106,A37&amp;" / "&amp;B37)+COUNTIFS('2021'!$L$24:$L$112,A37&amp;" / "&amp;B37)+COUNTIFS('2022'!$L$24:$L$112,A37&amp;" / "&amp;B37)+COUNTIFS('2023'!$L$24:$L$112,A37&amp;" / "&amp;B37)+COUNTIFS('2024'!$L$24:$L$112,A37&amp;" / "&amp;B37)+COUNTIFS('2025'!$L$24:$L$112,A37&amp;" / "&amp;B37)</x:f>
        <x:v>15</x:v>
      </x:c>
      <x:c r="D37" s="2" t="n">
        <x:f>COUNTIFS('2015'!$L$24:$L$96,A37&amp;" / "&amp;B37,'2015'!$I$24:$I$96,A37)+COUNTIFS('2016'!$L$24:$L$96,A37&amp;" / "&amp;B37,'2016'!$I$24:$I$96,A37)+COUNTIFS('2017'!$L$24:$L$106,A37&amp;" / "&amp;B37,'2017'!$I$24:$I$106,A37)+COUNTIFS('2018'!$L$24:$L$106,A37&amp;" / "&amp;B37,'2018'!$I$24:$I$106,A37)+COUNTIFS('2019'!$L$24:$L$106,A37&amp;" / "&amp;B37,'2019'!$I$24:$I$106,A37)+COUNTIFS('2020'!$L$24:$L$106,A37&amp;" / "&amp;B37,'2020'!$I$24:$I$106,A37)+COUNTIFS('2021'!$L$24:$L$112,A37&amp;" / "&amp;B37,'2021'!$I$24:$I$112,A37)+COUNTIFS('2022'!$L$24:$L$112,A37&amp;" / "&amp;B37,'2022'!$I$24:$I$112,A37)+COUNTIFS('2023'!$L$24:$L$112,A37&amp;" / "&amp;B37,'2023'!$I$24:$I$112,A37)+COUNTIFS('2024'!$L$24:$L$112,A37&amp;" / "&amp;B37,'2024'!$I$24:$I$112,A37)+COUNTIFS('2025'!$L$24:$L$112,A37&amp;" / "&amp;B37,'2025'!$I$24:$I$112,A37)</x:f>
        <x:v>6</x:v>
      </x:c>
      <x:c r="E37" s="2" t="n">
        <x:f>COUNTIFS('2015'!$L$24:$L$96,A37&amp;" / "&amp;B37,'2015'!$I$24:$I$96,B37)+COUNTIFS('2016'!$L$24:$L$96,A37&amp;" / "&amp;B37,'2016'!$I$24:$I$96,B37)+COUNTIFS('2017'!$L$24:$L$106,A37&amp;" / "&amp;B37,'2017'!$I$24:$I$106,B37)+COUNTIFS('2018'!$L$24:$L$106,A37&amp;" / "&amp;B37,'2018'!$I$24:$I$106,B37)+COUNTIFS('2019'!$L$24:$L$106,A37&amp;" / "&amp;B37,'2019'!$I$24:$I$106,B37)+COUNTIFS('2020'!$L$24:$L$106,A37&amp;" / "&amp;B37,'2020'!$I$24:$I$106,B37)+COUNTIFS('2021'!$L$24:$L$112,A37&amp;" / "&amp;B37,'2021'!$I$24:$I$112,B37)+COUNTIFS('2022'!$L$24:$L$112,A37&amp;" / "&amp;B37,'2022'!$I$24:$I$112,B37)+COUNTIFS('2023'!$L$24:$L$112,A37&amp;" / "&amp;B37,'2023'!$I$24:$I$112,B37)+COUNTIFS('2024'!$L$24:$L$112,A37&amp;" / "&amp;B37,'2024'!$I$24:$I$112,B37)+COUNTIFS('2025'!$L$24:$L$112,A37&amp;" / "&amp;B37,'2025'!$I$24:$I$112,B37)</x:f>
        <x:v>9</x:v>
      </x:c>
      <x:c r="F37" s="2" t="n">
        <x:f>COUNTIFS('2015'!$L$24:$L$96,A37&amp;" / "&amp;B37,'2015'!$K$24:$K$96,1)+COUNTIFS('2016'!$L$24:$L$96,A37&amp;" / "&amp;B37,'2016'!$K$24:$K$96,1)+COUNTIFS('2017'!$L$24:$L$106,A37&amp;" / "&amp;B37,'2017'!$K$24:$K$106,1)+COUNTIFS('2018'!$L$24:$L$106,A37&amp;" / "&amp;B37,'2018'!$K$24:$K$106,1)+COUNTIFS('2019'!$L$24:$L$106,A37&amp;" / "&amp;B37,'2019'!$K$24:$K$106,1)+COUNTIFS('2020'!$L$24:$L$106,A37&amp;" / "&amp;B37,'2020'!$K$24:$K$106,1)+COUNTIFS('2021'!$L$24:$L$112,A37&amp;" / "&amp;B37,'2021'!$K$24:$K$112,1)+COUNTIFS('2022'!$L$24:$L$112,A37&amp;" / "&amp;B37,'2022'!$K$24:$K$112,1)+COUNTIFS('2023'!$L$24:$L$112,A37&amp;" / "&amp;B37,'2023'!$K$24:$K$112,1)+COUNTIFS('2024'!$L$24:$L$112,A37&amp;" / "&amp;B37,'2024'!$K$24:$K$112,1)+COUNTIFS('2025'!$L$24:$L$112,A37&amp;" / "&amp;B37,'2025'!$K$24:$K$112,1)</x:f>
        <x:v>0</x:v>
      </x:c>
      <x:c r="G37" s="25" t="n">
        <x:f>SUMIFS('2015'!$E$24:$E$96,'2015'!$L$24:$L$96,A37&amp;" / "&amp;B37,'2015'!$C$24:$C$96,A37)+SUMIFS('2015'!$H$24:$H$96,'2015'!$L$24:$L$96,A37&amp;" / "&amp;B37,'2015'!$F$24:$F$96,A37)+SUMIFS('2016'!$E$24:$E$96,'2016'!$L$24:$L$96,A37&amp;" / "&amp;B37,'2016'!$C$24:$C$96,A37)+SUMIFS('2016'!$H$24:$H$96,'2016'!$L$24:$L$96,A37&amp;" / "&amp;B37,'2016'!$F$24:$F$96,A37)+SUMIFS('2017'!$E$24:$E$106,'2017'!$L$24:$L$106,A37&amp;" / "&amp;B37,'2017'!$C$24:$C$106,A37)+SUMIFS('2017'!$H$24:$H$106,'2017'!$L$24:$L$106,A37&amp;" / "&amp;B37,'2017'!$F$24:$F$106,A37)+SUMIFS('2018'!$E$24:$E$106,'2018'!$L$24:$L$106,A37&amp;" / "&amp;B37,'2018'!$C$24:$C$106,A37)+SUMIFS('2018'!$H$24:$H$106,'2018'!$L$24:$L$106,A37&amp;" / "&amp;B37,'2018'!$F$24:$F$106,A37)+SUMIFS('2019'!$E$24:$E$106,'2019'!$L$24:$L$106,A37&amp;" / "&amp;B37,'2019'!$C$24:$C$106,A37)+SUMIFS('2019'!$H$24:$H$106,'2019'!$L$24:$L$106,A37&amp;" / "&amp;B37,'2019'!$F$24:$F$106,A37)+SUMIFS('2020'!$E$24:$E$106,'2020'!$L$24:$L$106,A37&amp;" / "&amp;B37,'2020'!$C$24:$C$106,A37)+SUMIFS('2020'!$H$24:$H$106,'2020'!$L$24:$L$106,A37&amp;" / "&amp;B37,'2020'!$F$24:$F$106,A37)+SUMIFS('2021'!$E$24:$E$112,'2021'!$L$24:$L$112,A37&amp;" / "&amp;B37,'2021'!$C$24:$C$112,A37)+SUMIFS('2021'!$H$24:$H$112,'2021'!$L$24:$L$112,A37&amp;" / "&amp;B37,'2021'!$F$24:$F$112,A37)+SUMIFS('2022'!$E$24:$E$112,'2022'!$L$24:$L$112,A37&amp;" / "&amp;B37,'2022'!$C$24:$C$112,A37)+SUMIFS('2022'!$H$24:$H$112,'2022'!$L$24:$L$112,A37&amp;" / "&amp;B37,'2022'!$F$24:$F$112,A37)+SUMIFS('2023'!$E$24:$E$112,'2023'!$L$24:$L$112,A37&amp;" / "&amp;B37,'2023'!$C$24:$C$112,A37)+SUMIFS('2023'!$H$24:$H$112,'2023'!$L$24:$L$112,A37&amp;" / "&amp;B37,'2023'!$F$24:$F$112,A37)+SUMIFS('2024'!$E$24:$E$112,'2024'!$L$24:$L$112,A37&amp;" / "&amp;B37,'2024'!$C$24:$C$112,A37)+SUMIFS('2024'!$H$24:$H$112,'2024'!$L$24:$L$112,A37&amp;" / "&amp;B37,'2024'!$F$24:$F$112,A37)+SUMIFS('2025'!$E$24:$E$112,'2025'!$L$24:$L$112,A37&amp;" / "&amp;B37,'2025'!$C$24:$C$112,A37)+SUMIFS('2025'!$H$24:$H$112,'2025'!$L$24:$L$112,A37&amp;" / "&amp;B37,'2025'!$F$24:$F$112,A37)</x:f>
        <x:v>1789.7999999999997</x:v>
      </x:c>
      <x:c r="H37" s="25" t="n">
        <x:f>SUMIFS('2015'!$E$24:$E$96,'2015'!$L$24:$L$96,A37&amp;" / "&amp;B37,'2015'!$C$24:$C$96,B37)+SUMIFS('2015'!$H$24:$H$96,'2015'!$L$24:$L$96,A37&amp;" / "&amp;B37,'2015'!$F$24:$F$96,B37)+SUMIFS('2016'!$E$24:$E$96,'2016'!$L$24:$L$96,A37&amp;" / "&amp;B37,'2016'!$C$24:$C$96,B37)+SUMIFS('2016'!$H$24:$H$96,'2016'!$L$24:$L$96,A37&amp;" / "&amp;B37,'2016'!$F$24:$F$96,B37)+SUMIFS('2017'!$E$24:$E$106,'2017'!$L$24:$L$106,A37&amp;" / "&amp;B37,'2017'!$C$24:$C$106,B37)+SUMIFS('2017'!$H$24:$H$106,'2017'!$L$24:$L$106,A37&amp;" / "&amp;B37,'2017'!$F$24:$F$106,B37)+SUMIFS('2018'!$E$24:$E$106,'2018'!$L$24:$L$106,A37&amp;" / "&amp;B37,'2018'!$C$24:$C$106,B37)+SUMIFS('2018'!$H$24:$H$106,'2018'!$L$24:$L$106,A37&amp;" / "&amp;B37,'2018'!$F$24:$F$106,B37)+SUMIFS('2019'!$E$24:$E$106,'2019'!$L$24:$L$106,A37&amp;" / "&amp;B37,'2019'!$C$24:$C$106,B37)+SUMIFS('2019'!$H$24:$H$106,'2019'!$L$24:$L$106,A37&amp;" / "&amp;B37,'2019'!$F$24:$F$106,B37)+SUMIFS('2020'!$E$24:$E$106,'2020'!$L$24:$L$106,A37&amp;" / "&amp;B37,'2020'!$C$24:$C$106,B37)+SUMIFS('2020'!$H$24:$H$106,'2020'!$L$24:$L$106,A37&amp;" / "&amp;B37,'2020'!$F$24:$F$106,B37)+SUMIFS('2021'!$E$24:$E$112,'2021'!$L$24:$L$112,A37&amp;" / "&amp;B37,'2021'!$C$24:$C$112,B37)+SUMIFS('2021'!$H$24:$H$112,'2021'!$L$24:$L$112,A37&amp;" / "&amp;B37,'2021'!$F$24:$F$112,B37)+SUMIFS('2022'!$E$24:$E$112,'2022'!$L$24:$L$112,A37&amp;" / "&amp;B37,'2022'!$C$24:$C$112,B37)+SUMIFS('2022'!$H$24:$H$112,'2022'!$L$24:$L$112,A37&amp;" / "&amp;B37,'2022'!$F$24:$F$112,B37)+SUMIFS('2023'!$E$24:$E$112,'2023'!$L$24:$L$112,A37&amp;" / "&amp;B37,'2023'!$C$24:$C$112,B37)+SUMIFS('2023'!$H$24:$H$112,'2023'!$L$24:$L$112,A37&amp;" / "&amp;B37,'2023'!$F$24:$F$112,B37)+SUMIFS('2024'!$E$24:$E$112,'2024'!$L$24:$L$112,A37&amp;" / "&amp;B37,'2024'!$C$24:$C$112,B37)+SUMIFS('2024'!$H$24:$H$112,'2024'!$L$24:$L$112,A37&amp;" / "&amp;B37,'2024'!$F$24:$F$112,B37)+SUMIFS('2025'!$E$24:$E$112,'2025'!$L$24:$L$112,A37&amp;" / "&amp;B37,'2025'!$C$24:$C$112,B37)+SUMIFS('2025'!$H$24:$H$112,'2025'!$L$24:$L$112,A37&amp;" / "&amp;B37,'2025'!$F$24:$F$112,B37)</x:f>
        <x:v>1970</x:v>
      </x:c>
      <x:c r="I37" s="11" t="n">
        <x:f>IF(C37=0,0,(D37+0.5*F37)/C37)</x:f>
        <x:v>0.4</x:v>
      </x:c>
      <x:c r="J37" s="2" t="n">
        <x:f>COUNTIFS('2015'!$L$24:$L$96,A37&amp;" / "&amp;B37,'2015'!$B$24:$B$96,"Regular")+COUNTIFS('2016'!$L$24:$L$96,A37&amp;" / "&amp;B37,'2016'!$B$24:$B$96,"Regular")+COUNTIFS('2017'!$L$24:$L$106,A37&amp;" / "&amp;B37,'2017'!$B$24:$B$106,"Regular")+COUNTIFS('2018'!$L$24:$L$106,A37&amp;" / "&amp;B37,'2018'!$B$24:$B$106,"Regular")+COUNTIFS('2019'!$L$24:$L$106,A37&amp;" / "&amp;B37,'2019'!$B$24:$B$106,"Regular")+COUNTIFS('2020'!$L$24:$L$106,A37&amp;" / "&amp;B37,'2020'!$B$24:$B$106,"Regular")+COUNTIFS('2021'!$L$24:$L$112,A37&amp;" / "&amp;B37,'2021'!$B$24:$B$112,"Regular")+COUNTIFS('2022'!$L$24:$L$112,A37&amp;" / "&amp;B37,'2022'!$B$24:$B$112,"Regular")+COUNTIFS('2023'!$L$24:$L$112,A37&amp;" / "&amp;B37,'2023'!$B$24:$B$112,"Regular")+COUNTIFS('2024'!$L$24:$L$112,A37&amp;" / "&amp;B37,'2024'!$B$24:$B$112,"Regular")+COUNTIFS('2025'!$L$24:$L$112,A37&amp;" / "&amp;B37,'2025'!$B$24:$B$112,"Regular")</x:f>
        <x:v>14</x:v>
      </x:c>
      <x:c r="K37" s="2" t="n">
        <x:f>COUNTIFS('2015'!$L$24:$L$96,A37&amp;" / "&amp;B37,'2015'!$B$24:$B$96,"Playoffs")+COUNTIFS('2016'!$L$24:$L$96,A37&amp;" / "&amp;B37,'2016'!$B$24:$B$96,"Playoffs")+COUNTIFS('2017'!$L$24:$L$106,A37&amp;" / "&amp;B37,'2017'!$B$24:$B$106,"Playoffs")+COUNTIFS('2018'!$L$24:$L$106,A37&amp;" / "&amp;B37,'2018'!$B$24:$B$106,"Playoffs")+COUNTIFS('2019'!$L$24:$L$106,A37&amp;" / "&amp;B37,'2019'!$B$24:$B$106,"Playoffs")+COUNTIFS('2020'!$L$24:$L$106,A37&amp;" / "&amp;B37,'2020'!$B$24:$B$106,"Playoffs")+COUNTIFS('2021'!$L$24:$L$112,A37&amp;" / "&amp;B37,'2021'!$B$24:$B$112,"Playoffs")+COUNTIFS('2022'!$L$24:$L$112,A37&amp;" / "&amp;B37,'2022'!$B$24:$B$112,"Playoffs")+COUNTIFS('2023'!$L$24:$L$112,A37&amp;" / "&amp;B37,'2023'!$B$24:$B$112,"Playoffs")+COUNTIFS('2024'!$L$24:$L$112,A37&amp;" / "&amp;B37,'2024'!$B$24:$B$112,"Playoffs")+COUNTIFS('2025'!$L$24:$L$112,A37&amp;" / "&amp;B37,'2025'!$B$24:$B$112,"Playoffs")</x:f>
        <x:v>1</x:v>
      </x:c>
      <x:c r="L37" s="2" t="n">
        <x:f>COUNTIFS('2015'!$L$24:$L$96,A37&amp;" / "&amp;B37,'2015'!$B$24:$B$96,"Unconfirmed")+COUNTIFS('2016'!$L$24:$L$96,A37&amp;" / "&amp;B37,'2016'!$B$24:$B$96,"Unconfirmed")+COUNTIFS('2017'!$L$24:$L$106,A37&amp;" / "&amp;B37,'2017'!$B$24:$B$106,"Unconfirmed")+COUNTIFS('2018'!$L$24:$L$106,A37&amp;" / "&amp;B37,'2018'!$B$24:$B$106,"Unconfirmed")+COUNTIFS('2019'!$L$24:$L$106,A37&amp;" / "&amp;B37,'2019'!$B$24:$B$106,"Unconfirmed")+COUNTIFS('2020'!$L$24:$L$106,A37&amp;" / "&amp;B37,'2020'!$B$24:$B$106,"Unconfirmed")+COUNTIFS('2021'!$L$24:$L$112,A37&amp;" / "&amp;B37,'2021'!$B$24:$B$112,"Unconfirmed")+COUNTIFS('2022'!$L$24:$L$112,A37&amp;" / "&amp;B37,'2022'!$B$24:$B$112,"Unconfirmed")+COUNTIFS('2023'!$L$24:$L$112,A37&amp;" / "&amp;B37,'2023'!$B$24:$B$112,"Unconfirmed")+COUNTIFS('2024'!$L$24:$L$112,A37&amp;" / "&amp;B37,'2024'!$B$24:$B$112,"Unconfirmed")+COUNTIFS('2025'!$L$24:$L$112,A37&amp;" / "&amp;B37,'2025'!$B$24:$B$112,"Unconfirmed")</x:f>
        <x:v>0</x:v>
      </x:c>
    </x:row>
    <x:row r="38" ht="22" customHeight="1">
      <x:c r="A38" s="2" t="str">
        <x:v>Bruce</x:v>
      </x:c>
      <x:c r="B38" s="2" t="str">
        <x:v>Frank</x:v>
      </x:c>
      <x:c r="C38" s="2" t="n">
        <x:f>COUNTIFS('2015'!$L$24:$L$96,A38&amp;" / "&amp;B38)+COUNTIFS('2016'!$L$24:$L$96,A38&amp;" / "&amp;B38)+COUNTIFS('2017'!$L$24:$L$106,A38&amp;" / "&amp;B38)+COUNTIFS('2018'!$L$24:$L$106,A38&amp;" / "&amp;B38)+COUNTIFS('2019'!$L$24:$L$106,A38&amp;" / "&amp;B38)+COUNTIFS('2020'!$L$24:$L$106,A38&amp;" / "&amp;B38)+COUNTIFS('2021'!$L$24:$L$112,A38&amp;" / "&amp;B38)+COUNTIFS('2022'!$L$24:$L$112,A38&amp;" / "&amp;B38)+COUNTIFS('2023'!$L$24:$L$112,A38&amp;" / "&amp;B38)+COUNTIFS('2024'!$L$24:$L$112,A38&amp;" / "&amp;B38)+COUNTIFS('2025'!$L$24:$L$112,A38&amp;" / "&amp;B38)</x:f>
        <x:v>8</x:v>
      </x:c>
      <x:c r="D38" s="2" t="n">
        <x:f>COUNTIFS('2015'!$L$24:$L$96,A38&amp;" / "&amp;B38,'2015'!$I$24:$I$96,A38)+COUNTIFS('2016'!$L$24:$L$96,A38&amp;" / "&amp;B38,'2016'!$I$24:$I$96,A38)+COUNTIFS('2017'!$L$24:$L$106,A38&amp;" / "&amp;B38,'2017'!$I$24:$I$106,A38)+COUNTIFS('2018'!$L$24:$L$106,A38&amp;" / "&amp;B38,'2018'!$I$24:$I$106,A38)+COUNTIFS('2019'!$L$24:$L$106,A38&amp;" / "&amp;B38,'2019'!$I$24:$I$106,A38)+COUNTIFS('2020'!$L$24:$L$106,A38&amp;" / "&amp;B38,'2020'!$I$24:$I$106,A38)+COUNTIFS('2021'!$L$24:$L$112,A38&amp;" / "&amp;B38,'2021'!$I$24:$I$112,A38)+COUNTIFS('2022'!$L$24:$L$112,A38&amp;" / "&amp;B38,'2022'!$I$24:$I$112,A38)+COUNTIFS('2023'!$L$24:$L$112,A38&amp;" / "&amp;B38,'2023'!$I$24:$I$112,A38)+COUNTIFS('2024'!$L$24:$L$112,A38&amp;" / "&amp;B38,'2024'!$I$24:$I$112,A38)+COUNTIFS('2025'!$L$24:$L$112,A38&amp;" / "&amp;B38,'2025'!$I$24:$I$112,A38)</x:f>
        <x:v>4</x:v>
      </x:c>
      <x:c r="E38" s="2" t="n">
        <x:f>COUNTIFS('2015'!$L$24:$L$96,A38&amp;" / "&amp;B38,'2015'!$I$24:$I$96,B38)+COUNTIFS('2016'!$L$24:$L$96,A38&amp;" / "&amp;B38,'2016'!$I$24:$I$96,B38)+COUNTIFS('2017'!$L$24:$L$106,A38&amp;" / "&amp;B38,'2017'!$I$24:$I$106,B38)+COUNTIFS('2018'!$L$24:$L$106,A38&amp;" / "&amp;B38,'2018'!$I$24:$I$106,B38)+COUNTIFS('2019'!$L$24:$L$106,A38&amp;" / "&amp;B38,'2019'!$I$24:$I$106,B38)+COUNTIFS('2020'!$L$24:$L$106,A38&amp;" / "&amp;B38,'2020'!$I$24:$I$106,B38)+COUNTIFS('2021'!$L$24:$L$112,A38&amp;" / "&amp;B38,'2021'!$I$24:$I$112,B38)+COUNTIFS('2022'!$L$24:$L$112,A38&amp;" / "&amp;B38,'2022'!$I$24:$I$112,B38)+COUNTIFS('2023'!$L$24:$L$112,A38&amp;" / "&amp;B38,'2023'!$I$24:$I$112,B38)+COUNTIFS('2024'!$L$24:$L$112,A38&amp;" / "&amp;B38,'2024'!$I$24:$I$112,B38)+COUNTIFS('2025'!$L$24:$L$112,A38&amp;" / "&amp;B38,'2025'!$I$24:$I$112,B38)</x:f>
        <x:v>4</x:v>
      </x:c>
      <x:c r="F38" s="2" t="n">
        <x:f>COUNTIFS('2015'!$L$24:$L$96,A38&amp;" / "&amp;B38,'2015'!$K$24:$K$96,1)+COUNTIFS('2016'!$L$24:$L$96,A38&amp;" / "&amp;B38,'2016'!$K$24:$K$96,1)+COUNTIFS('2017'!$L$24:$L$106,A38&amp;" / "&amp;B38,'2017'!$K$24:$K$106,1)+COUNTIFS('2018'!$L$24:$L$106,A38&amp;" / "&amp;B38,'2018'!$K$24:$K$106,1)+COUNTIFS('2019'!$L$24:$L$106,A38&amp;" / "&amp;B38,'2019'!$K$24:$K$106,1)+COUNTIFS('2020'!$L$24:$L$106,A38&amp;" / "&amp;B38,'2020'!$K$24:$K$106,1)+COUNTIFS('2021'!$L$24:$L$112,A38&amp;" / "&amp;B38,'2021'!$K$24:$K$112,1)+COUNTIFS('2022'!$L$24:$L$112,A38&amp;" / "&amp;B38,'2022'!$K$24:$K$112,1)+COUNTIFS('2023'!$L$24:$L$112,A38&amp;" / "&amp;B38,'2023'!$K$24:$K$112,1)+COUNTIFS('2024'!$L$24:$L$112,A38&amp;" / "&amp;B38,'2024'!$K$24:$K$112,1)+COUNTIFS('2025'!$L$24:$L$112,A38&amp;" / "&amp;B38,'2025'!$K$24:$K$112,1)</x:f>
        <x:v>0</x:v>
      </x:c>
      <x:c r="G38" s="25" t="n">
        <x:f>SUMIFS('2015'!$E$24:$E$96,'2015'!$L$24:$L$96,A38&amp;" / "&amp;B38,'2015'!$C$24:$C$96,A38)+SUMIFS('2015'!$H$24:$H$96,'2015'!$L$24:$L$96,A38&amp;" / "&amp;B38,'2015'!$F$24:$F$96,A38)+SUMIFS('2016'!$E$24:$E$96,'2016'!$L$24:$L$96,A38&amp;" / "&amp;B38,'2016'!$C$24:$C$96,A38)+SUMIFS('2016'!$H$24:$H$96,'2016'!$L$24:$L$96,A38&amp;" / "&amp;B38,'2016'!$F$24:$F$96,A38)+SUMIFS('2017'!$E$24:$E$106,'2017'!$L$24:$L$106,A38&amp;" / "&amp;B38,'2017'!$C$24:$C$106,A38)+SUMIFS('2017'!$H$24:$H$106,'2017'!$L$24:$L$106,A38&amp;" / "&amp;B38,'2017'!$F$24:$F$106,A38)+SUMIFS('2018'!$E$24:$E$106,'2018'!$L$24:$L$106,A38&amp;" / "&amp;B38,'2018'!$C$24:$C$106,A38)+SUMIFS('2018'!$H$24:$H$106,'2018'!$L$24:$L$106,A38&amp;" / "&amp;B38,'2018'!$F$24:$F$106,A38)+SUMIFS('2019'!$E$24:$E$106,'2019'!$L$24:$L$106,A38&amp;" / "&amp;B38,'2019'!$C$24:$C$106,A38)+SUMIFS('2019'!$H$24:$H$106,'2019'!$L$24:$L$106,A38&amp;" / "&amp;B38,'2019'!$F$24:$F$106,A38)+SUMIFS('2020'!$E$24:$E$106,'2020'!$L$24:$L$106,A38&amp;" / "&amp;B38,'2020'!$C$24:$C$106,A38)+SUMIFS('2020'!$H$24:$H$106,'2020'!$L$24:$L$106,A38&amp;" / "&amp;B38,'2020'!$F$24:$F$106,A38)+SUMIFS('2021'!$E$24:$E$112,'2021'!$L$24:$L$112,A38&amp;" / "&amp;B38,'2021'!$C$24:$C$112,A38)+SUMIFS('2021'!$H$24:$H$112,'2021'!$L$24:$L$112,A38&amp;" / "&amp;B38,'2021'!$F$24:$F$112,A38)+SUMIFS('2022'!$E$24:$E$112,'2022'!$L$24:$L$112,A38&amp;" / "&amp;B38,'2022'!$C$24:$C$112,A38)+SUMIFS('2022'!$H$24:$H$112,'2022'!$L$24:$L$112,A38&amp;" / "&amp;B38,'2022'!$F$24:$F$112,A38)+SUMIFS('2023'!$E$24:$E$112,'2023'!$L$24:$L$112,A38&amp;" / "&amp;B38,'2023'!$C$24:$C$112,A38)+SUMIFS('2023'!$H$24:$H$112,'2023'!$L$24:$L$112,A38&amp;" / "&amp;B38,'2023'!$F$24:$F$112,A38)+SUMIFS('2024'!$E$24:$E$112,'2024'!$L$24:$L$112,A38&amp;" / "&amp;B38,'2024'!$C$24:$C$112,A38)+SUMIFS('2024'!$H$24:$H$112,'2024'!$L$24:$L$112,A38&amp;" / "&amp;B38,'2024'!$F$24:$F$112,A38)+SUMIFS('2025'!$E$24:$E$112,'2025'!$L$24:$L$112,A38&amp;" / "&amp;B38,'2025'!$C$24:$C$112,A38)+SUMIFS('2025'!$H$24:$H$112,'2025'!$L$24:$L$112,A38&amp;" / "&amp;B38,'2025'!$F$24:$F$112,A38)</x:f>
        <x:v>1016.3499999999999</x:v>
      </x:c>
      <x:c r="H38" s="25" t="n">
        <x:f>SUMIFS('2015'!$E$24:$E$96,'2015'!$L$24:$L$96,A38&amp;" / "&amp;B38,'2015'!$C$24:$C$96,B38)+SUMIFS('2015'!$H$24:$H$96,'2015'!$L$24:$L$96,A38&amp;" / "&amp;B38,'2015'!$F$24:$F$96,B38)+SUMIFS('2016'!$E$24:$E$96,'2016'!$L$24:$L$96,A38&amp;" / "&amp;B38,'2016'!$C$24:$C$96,B38)+SUMIFS('2016'!$H$24:$H$96,'2016'!$L$24:$L$96,A38&amp;" / "&amp;B38,'2016'!$F$24:$F$96,B38)+SUMIFS('2017'!$E$24:$E$106,'2017'!$L$24:$L$106,A38&amp;" / "&amp;B38,'2017'!$C$24:$C$106,B38)+SUMIFS('2017'!$H$24:$H$106,'2017'!$L$24:$L$106,A38&amp;" / "&amp;B38,'2017'!$F$24:$F$106,B38)+SUMIFS('2018'!$E$24:$E$106,'2018'!$L$24:$L$106,A38&amp;" / "&amp;B38,'2018'!$C$24:$C$106,B38)+SUMIFS('2018'!$H$24:$H$106,'2018'!$L$24:$L$106,A38&amp;" / "&amp;B38,'2018'!$F$24:$F$106,B38)+SUMIFS('2019'!$E$24:$E$106,'2019'!$L$24:$L$106,A38&amp;" / "&amp;B38,'2019'!$C$24:$C$106,B38)+SUMIFS('2019'!$H$24:$H$106,'2019'!$L$24:$L$106,A38&amp;" / "&amp;B38,'2019'!$F$24:$F$106,B38)+SUMIFS('2020'!$E$24:$E$106,'2020'!$L$24:$L$106,A38&amp;" / "&amp;B38,'2020'!$C$24:$C$106,B38)+SUMIFS('2020'!$H$24:$H$106,'2020'!$L$24:$L$106,A38&amp;" / "&amp;B38,'2020'!$F$24:$F$106,B38)+SUMIFS('2021'!$E$24:$E$112,'2021'!$L$24:$L$112,A38&amp;" / "&amp;B38,'2021'!$C$24:$C$112,B38)+SUMIFS('2021'!$H$24:$H$112,'2021'!$L$24:$L$112,A38&amp;" / "&amp;B38,'2021'!$F$24:$F$112,B38)+SUMIFS('2022'!$E$24:$E$112,'2022'!$L$24:$L$112,A38&amp;" / "&amp;B38,'2022'!$C$24:$C$112,B38)+SUMIFS('2022'!$H$24:$H$112,'2022'!$L$24:$L$112,A38&amp;" / "&amp;B38,'2022'!$F$24:$F$112,B38)+SUMIFS('2023'!$E$24:$E$112,'2023'!$L$24:$L$112,A38&amp;" / "&amp;B38,'2023'!$C$24:$C$112,B38)+SUMIFS('2023'!$H$24:$H$112,'2023'!$L$24:$L$112,A38&amp;" / "&amp;B38,'2023'!$F$24:$F$112,B38)+SUMIFS('2024'!$E$24:$E$112,'2024'!$L$24:$L$112,A38&amp;" / "&amp;B38,'2024'!$C$24:$C$112,B38)+SUMIFS('2024'!$H$24:$H$112,'2024'!$L$24:$L$112,A38&amp;" / "&amp;B38,'2024'!$F$24:$F$112,B38)+SUMIFS('2025'!$E$24:$E$112,'2025'!$L$24:$L$112,A38&amp;" / "&amp;B38,'2025'!$C$24:$C$112,B38)+SUMIFS('2025'!$H$24:$H$112,'2025'!$L$24:$L$112,A38&amp;" / "&amp;B38,'2025'!$F$24:$F$112,B38)</x:f>
        <x:v>910.15</x:v>
      </x:c>
      <x:c r="I38" s="11" t="n">
        <x:f>IF(C38=0,0,(D38+0.5*F38)/C38)</x:f>
        <x:v>0.5</x:v>
      </x:c>
      <x:c r="J38" s="2" t="n">
        <x:f>COUNTIFS('2015'!$L$24:$L$96,A38&amp;" / "&amp;B38,'2015'!$B$24:$B$96,"Regular")+COUNTIFS('2016'!$L$24:$L$96,A38&amp;" / "&amp;B38,'2016'!$B$24:$B$96,"Regular")+COUNTIFS('2017'!$L$24:$L$106,A38&amp;" / "&amp;B38,'2017'!$B$24:$B$106,"Regular")+COUNTIFS('2018'!$L$24:$L$106,A38&amp;" / "&amp;B38,'2018'!$B$24:$B$106,"Regular")+COUNTIFS('2019'!$L$24:$L$106,A38&amp;" / "&amp;B38,'2019'!$B$24:$B$106,"Regular")+COUNTIFS('2020'!$L$24:$L$106,A38&amp;" / "&amp;B38,'2020'!$B$24:$B$106,"Regular")+COUNTIFS('2021'!$L$24:$L$112,A38&amp;" / "&amp;B38,'2021'!$B$24:$B$112,"Regular")+COUNTIFS('2022'!$L$24:$L$112,A38&amp;" / "&amp;B38,'2022'!$B$24:$B$112,"Regular")+COUNTIFS('2023'!$L$24:$L$112,A38&amp;" / "&amp;B38,'2023'!$B$24:$B$112,"Regular")+COUNTIFS('2024'!$L$24:$L$112,A38&amp;" / "&amp;B38,'2024'!$B$24:$B$112,"Regular")+COUNTIFS('2025'!$L$24:$L$112,A38&amp;" / "&amp;B38,'2025'!$B$24:$B$112,"Regular")</x:f>
        <x:v>8</x:v>
      </x:c>
      <x:c r="K38" s="2" t="n">
        <x:f>COUNTIFS('2015'!$L$24:$L$96,A38&amp;" / "&amp;B38,'2015'!$B$24:$B$96,"Playoffs")+COUNTIFS('2016'!$L$24:$L$96,A38&amp;" / "&amp;B38,'2016'!$B$24:$B$96,"Playoffs")+COUNTIFS('2017'!$L$24:$L$106,A38&amp;" / "&amp;B38,'2017'!$B$24:$B$106,"Playoffs")+COUNTIFS('2018'!$L$24:$L$106,A38&amp;" / "&amp;B38,'2018'!$B$24:$B$106,"Playoffs")+COUNTIFS('2019'!$L$24:$L$106,A38&amp;" / "&amp;B38,'2019'!$B$24:$B$106,"Playoffs")+COUNTIFS('2020'!$L$24:$L$106,A38&amp;" / "&amp;B38,'2020'!$B$24:$B$106,"Playoffs")+COUNTIFS('2021'!$L$24:$L$112,A38&amp;" / "&amp;B38,'2021'!$B$24:$B$112,"Playoffs")+COUNTIFS('2022'!$L$24:$L$112,A38&amp;" / "&amp;B38,'2022'!$B$24:$B$112,"Playoffs")+COUNTIFS('2023'!$L$24:$L$112,A38&amp;" / "&amp;B38,'2023'!$B$24:$B$112,"Playoffs")+COUNTIFS('2024'!$L$24:$L$112,A38&amp;" / "&amp;B38,'2024'!$B$24:$B$112,"Playoffs")+COUNTIFS('2025'!$L$24:$L$112,A38&amp;" / "&amp;B38,'2025'!$B$24:$B$112,"Playoffs")</x:f>
        <x:v>0</x:v>
      </x:c>
      <x:c r="L38" s="2" t="n">
        <x:f>COUNTIFS('2015'!$L$24:$L$96,A38&amp;" / "&amp;B38,'2015'!$B$24:$B$96,"Unconfirmed")+COUNTIFS('2016'!$L$24:$L$96,A38&amp;" / "&amp;B38,'2016'!$B$24:$B$96,"Unconfirmed")+COUNTIFS('2017'!$L$24:$L$106,A38&amp;" / "&amp;B38,'2017'!$B$24:$B$106,"Unconfirmed")+COUNTIFS('2018'!$L$24:$L$106,A38&amp;" / "&amp;B38,'2018'!$B$24:$B$106,"Unconfirmed")+COUNTIFS('2019'!$L$24:$L$106,A38&amp;" / "&amp;B38,'2019'!$B$24:$B$106,"Unconfirmed")+COUNTIFS('2020'!$L$24:$L$106,A38&amp;" / "&amp;B38,'2020'!$B$24:$B$106,"Unconfirmed")+COUNTIFS('2021'!$L$24:$L$112,A38&amp;" / "&amp;B38,'2021'!$B$24:$B$112,"Unconfirmed")+COUNTIFS('2022'!$L$24:$L$112,A38&amp;" / "&amp;B38,'2022'!$B$24:$B$112,"Unconfirmed")+COUNTIFS('2023'!$L$24:$L$112,A38&amp;" / "&amp;B38,'2023'!$B$24:$B$112,"Unconfirmed")+COUNTIFS('2024'!$L$24:$L$112,A38&amp;" / "&amp;B38,'2024'!$B$24:$B$112,"Unconfirmed")+COUNTIFS('2025'!$L$24:$L$112,A38&amp;" / "&amp;B38,'2025'!$B$24:$B$112,"Unconfirmed")</x:f>
        <x:v>0</x:v>
      </x:c>
    </x:row>
    <x:row r="39" ht="22" customHeight="1">
      <x:c r="A39" s="2" t="str">
        <x:v>Bruce</x:v>
      </x:c>
      <x:c r="B39" s="2" t="str">
        <x:v>Grossi</x:v>
      </x:c>
      <x:c r="C39" s="2" t="n">
        <x:f>COUNTIFS('2015'!$L$24:$L$96,A39&amp;" / "&amp;B39)+COUNTIFS('2016'!$L$24:$L$96,A39&amp;" / "&amp;B39)+COUNTIFS('2017'!$L$24:$L$106,A39&amp;" / "&amp;B39)+COUNTIFS('2018'!$L$24:$L$106,A39&amp;" / "&amp;B39)+COUNTIFS('2019'!$L$24:$L$106,A39&amp;" / "&amp;B39)+COUNTIFS('2020'!$L$24:$L$106,A39&amp;" / "&amp;B39)+COUNTIFS('2021'!$L$24:$L$112,A39&amp;" / "&amp;B39)+COUNTIFS('2022'!$L$24:$L$112,A39&amp;" / "&amp;B39)+COUNTIFS('2023'!$L$24:$L$112,A39&amp;" / "&amp;B39)+COUNTIFS('2024'!$L$24:$L$112,A39&amp;" / "&amp;B39)+COUNTIFS('2025'!$L$24:$L$112,A39&amp;" / "&amp;B39)</x:f>
        <x:v>2</x:v>
      </x:c>
      <x:c r="D39" s="2" t="n">
        <x:f>COUNTIFS('2015'!$L$24:$L$96,A39&amp;" / "&amp;B39,'2015'!$I$24:$I$96,A39)+COUNTIFS('2016'!$L$24:$L$96,A39&amp;" / "&amp;B39,'2016'!$I$24:$I$96,A39)+COUNTIFS('2017'!$L$24:$L$106,A39&amp;" / "&amp;B39,'2017'!$I$24:$I$106,A39)+COUNTIFS('2018'!$L$24:$L$106,A39&amp;" / "&amp;B39,'2018'!$I$24:$I$106,A39)+COUNTIFS('2019'!$L$24:$L$106,A39&amp;" / "&amp;B39,'2019'!$I$24:$I$106,A39)+COUNTIFS('2020'!$L$24:$L$106,A39&amp;" / "&amp;B39,'2020'!$I$24:$I$106,A39)+COUNTIFS('2021'!$L$24:$L$112,A39&amp;" / "&amp;B39,'2021'!$I$24:$I$112,A39)+COUNTIFS('2022'!$L$24:$L$112,A39&amp;" / "&amp;B39,'2022'!$I$24:$I$112,A39)+COUNTIFS('2023'!$L$24:$L$112,A39&amp;" / "&amp;B39,'2023'!$I$24:$I$112,A39)+COUNTIFS('2024'!$L$24:$L$112,A39&amp;" / "&amp;B39,'2024'!$I$24:$I$112,A39)+COUNTIFS('2025'!$L$24:$L$112,A39&amp;" / "&amp;B39,'2025'!$I$24:$I$112,A39)</x:f>
        <x:v>1</x:v>
      </x:c>
      <x:c r="E39" s="2" t="n">
        <x:f>COUNTIFS('2015'!$L$24:$L$96,A39&amp;" / "&amp;B39,'2015'!$I$24:$I$96,B39)+COUNTIFS('2016'!$L$24:$L$96,A39&amp;" / "&amp;B39,'2016'!$I$24:$I$96,B39)+COUNTIFS('2017'!$L$24:$L$106,A39&amp;" / "&amp;B39,'2017'!$I$24:$I$106,B39)+COUNTIFS('2018'!$L$24:$L$106,A39&amp;" / "&amp;B39,'2018'!$I$24:$I$106,B39)+COUNTIFS('2019'!$L$24:$L$106,A39&amp;" / "&amp;B39,'2019'!$I$24:$I$106,B39)+COUNTIFS('2020'!$L$24:$L$106,A39&amp;" / "&amp;B39,'2020'!$I$24:$I$106,B39)+COUNTIFS('2021'!$L$24:$L$112,A39&amp;" / "&amp;B39,'2021'!$I$24:$I$112,B39)+COUNTIFS('2022'!$L$24:$L$112,A39&amp;" / "&amp;B39,'2022'!$I$24:$I$112,B39)+COUNTIFS('2023'!$L$24:$L$112,A39&amp;" / "&amp;B39,'2023'!$I$24:$I$112,B39)+COUNTIFS('2024'!$L$24:$L$112,A39&amp;" / "&amp;B39,'2024'!$I$24:$I$112,B39)+COUNTIFS('2025'!$L$24:$L$112,A39&amp;" / "&amp;B39,'2025'!$I$24:$I$112,B39)</x:f>
        <x:v>1</x:v>
      </x:c>
      <x:c r="F39" s="2" t="n">
        <x:f>COUNTIFS('2015'!$L$24:$L$96,A39&amp;" / "&amp;B39,'2015'!$K$24:$K$96,1)+COUNTIFS('2016'!$L$24:$L$96,A39&amp;" / "&amp;B39,'2016'!$K$24:$K$96,1)+COUNTIFS('2017'!$L$24:$L$106,A39&amp;" / "&amp;B39,'2017'!$K$24:$K$106,1)+COUNTIFS('2018'!$L$24:$L$106,A39&amp;" / "&amp;B39,'2018'!$K$24:$K$106,1)+COUNTIFS('2019'!$L$24:$L$106,A39&amp;" / "&amp;B39,'2019'!$K$24:$K$106,1)+COUNTIFS('2020'!$L$24:$L$106,A39&amp;" / "&amp;B39,'2020'!$K$24:$K$106,1)+COUNTIFS('2021'!$L$24:$L$112,A39&amp;" / "&amp;B39,'2021'!$K$24:$K$112,1)+COUNTIFS('2022'!$L$24:$L$112,A39&amp;" / "&amp;B39,'2022'!$K$24:$K$112,1)+COUNTIFS('2023'!$L$24:$L$112,A39&amp;" / "&amp;B39,'2023'!$K$24:$K$112,1)+COUNTIFS('2024'!$L$24:$L$112,A39&amp;" / "&amp;B39,'2024'!$K$24:$K$112,1)+COUNTIFS('2025'!$L$24:$L$112,A39&amp;" / "&amp;B39,'2025'!$K$24:$K$112,1)</x:f>
        <x:v>0</x:v>
      </x:c>
      <x:c r="G39" s="25" t="n">
        <x:f>SUMIFS('2015'!$E$24:$E$96,'2015'!$L$24:$L$96,A39&amp;" / "&amp;B39,'2015'!$C$24:$C$96,A39)+SUMIFS('2015'!$H$24:$H$96,'2015'!$L$24:$L$96,A39&amp;" / "&amp;B39,'2015'!$F$24:$F$96,A39)+SUMIFS('2016'!$E$24:$E$96,'2016'!$L$24:$L$96,A39&amp;" / "&amp;B39,'2016'!$C$24:$C$96,A39)+SUMIFS('2016'!$H$24:$H$96,'2016'!$L$24:$L$96,A39&amp;" / "&amp;B39,'2016'!$F$24:$F$96,A39)+SUMIFS('2017'!$E$24:$E$106,'2017'!$L$24:$L$106,A39&amp;" / "&amp;B39,'2017'!$C$24:$C$106,A39)+SUMIFS('2017'!$H$24:$H$106,'2017'!$L$24:$L$106,A39&amp;" / "&amp;B39,'2017'!$F$24:$F$106,A39)+SUMIFS('2018'!$E$24:$E$106,'2018'!$L$24:$L$106,A39&amp;" / "&amp;B39,'2018'!$C$24:$C$106,A39)+SUMIFS('2018'!$H$24:$H$106,'2018'!$L$24:$L$106,A39&amp;" / "&amp;B39,'2018'!$F$24:$F$106,A39)+SUMIFS('2019'!$E$24:$E$106,'2019'!$L$24:$L$106,A39&amp;" / "&amp;B39,'2019'!$C$24:$C$106,A39)+SUMIFS('2019'!$H$24:$H$106,'2019'!$L$24:$L$106,A39&amp;" / "&amp;B39,'2019'!$F$24:$F$106,A39)+SUMIFS('2020'!$E$24:$E$106,'2020'!$L$24:$L$106,A39&amp;" / "&amp;B39,'2020'!$C$24:$C$106,A39)+SUMIFS('2020'!$H$24:$H$106,'2020'!$L$24:$L$106,A39&amp;" / "&amp;B39,'2020'!$F$24:$F$106,A39)+SUMIFS('2021'!$E$24:$E$112,'2021'!$L$24:$L$112,A39&amp;" / "&amp;B39,'2021'!$C$24:$C$112,A39)+SUMIFS('2021'!$H$24:$H$112,'2021'!$L$24:$L$112,A39&amp;" / "&amp;B39,'2021'!$F$24:$F$112,A39)+SUMIFS('2022'!$E$24:$E$112,'2022'!$L$24:$L$112,A39&amp;" / "&amp;B39,'2022'!$C$24:$C$112,A39)+SUMIFS('2022'!$H$24:$H$112,'2022'!$L$24:$L$112,A39&amp;" / "&amp;B39,'2022'!$F$24:$F$112,A39)+SUMIFS('2023'!$E$24:$E$112,'2023'!$L$24:$L$112,A39&amp;" / "&amp;B39,'2023'!$C$24:$C$112,A39)+SUMIFS('2023'!$H$24:$H$112,'2023'!$L$24:$L$112,A39&amp;" / "&amp;B39,'2023'!$F$24:$F$112,A39)+SUMIFS('2024'!$E$24:$E$112,'2024'!$L$24:$L$112,A39&amp;" / "&amp;B39,'2024'!$C$24:$C$112,A39)+SUMIFS('2024'!$H$24:$H$112,'2024'!$L$24:$L$112,A39&amp;" / "&amp;B39,'2024'!$F$24:$F$112,A39)+SUMIFS('2025'!$E$24:$E$112,'2025'!$L$24:$L$112,A39&amp;" / "&amp;B39,'2025'!$C$24:$C$112,A39)+SUMIFS('2025'!$H$24:$H$112,'2025'!$L$24:$L$112,A39&amp;" / "&amp;B39,'2025'!$F$24:$F$112,A39)</x:f>
        <x:v>177</x:v>
      </x:c>
      <x:c r="H39" s="25" t="n">
        <x:f>SUMIFS('2015'!$E$24:$E$96,'2015'!$L$24:$L$96,A39&amp;" / "&amp;B39,'2015'!$C$24:$C$96,B39)+SUMIFS('2015'!$H$24:$H$96,'2015'!$L$24:$L$96,A39&amp;" / "&amp;B39,'2015'!$F$24:$F$96,B39)+SUMIFS('2016'!$E$24:$E$96,'2016'!$L$24:$L$96,A39&amp;" / "&amp;B39,'2016'!$C$24:$C$96,B39)+SUMIFS('2016'!$H$24:$H$96,'2016'!$L$24:$L$96,A39&amp;" / "&amp;B39,'2016'!$F$24:$F$96,B39)+SUMIFS('2017'!$E$24:$E$106,'2017'!$L$24:$L$106,A39&amp;" / "&amp;B39,'2017'!$C$24:$C$106,B39)+SUMIFS('2017'!$H$24:$H$106,'2017'!$L$24:$L$106,A39&amp;" / "&amp;B39,'2017'!$F$24:$F$106,B39)+SUMIFS('2018'!$E$24:$E$106,'2018'!$L$24:$L$106,A39&amp;" / "&amp;B39,'2018'!$C$24:$C$106,B39)+SUMIFS('2018'!$H$24:$H$106,'2018'!$L$24:$L$106,A39&amp;" / "&amp;B39,'2018'!$F$24:$F$106,B39)+SUMIFS('2019'!$E$24:$E$106,'2019'!$L$24:$L$106,A39&amp;" / "&amp;B39,'2019'!$C$24:$C$106,B39)+SUMIFS('2019'!$H$24:$H$106,'2019'!$L$24:$L$106,A39&amp;" / "&amp;B39,'2019'!$F$24:$F$106,B39)+SUMIFS('2020'!$E$24:$E$106,'2020'!$L$24:$L$106,A39&amp;" / "&amp;B39,'2020'!$C$24:$C$106,B39)+SUMIFS('2020'!$H$24:$H$106,'2020'!$L$24:$L$106,A39&amp;" / "&amp;B39,'2020'!$F$24:$F$106,B39)+SUMIFS('2021'!$E$24:$E$112,'2021'!$L$24:$L$112,A39&amp;" / "&amp;B39,'2021'!$C$24:$C$112,B39)+SUMIFS('2021'!$H$24:$H$112,'2021'!$L$24:$L$112,A39&amp;" / "&amp;B39,'2021'!$F$24:$F$112,B39)+SUMIFS('2022'!$E$24:$E$112,'2022'!$L$24:$L$112,A39&amp;" / "&amp;B39,'2022'!$C$24:$C$112,B39)+SUMIFS('2022'!$H$24:$H$112,'2022'!$L$24:$L$112,A39&amp;" / "&amp;B39,'2022'!$F$24:$F$112,B39)+SUMIFS('2023'!$E$24:$E$112,'2023'!$L$24:$L$112,A39&amp;" / "&amp;B39,'2023'!$C$24:$C$112,B39)+SUMIFS('2023'!$H$24:$H$112,'2023'!$L$24:$L$112,A39&amp;" / "&amp;B39,'2023'!$F$24:$F$112,B39)+SUMIFS('2024'!$E$24:$E$112,'2024'!$L$24:$L$112,A39&amp;" / "&amp;B39,'2024'!$C$24:$C$112,B39)+SUMIFS('2024'!$H$24:$H$112,'2024'!$L$24:$L$112,A39&amp;" / "&amp;B39,'2024'!$F$24:$F$112,B39)+SUMIFS('2025'!$E$24:$E$112,'2025'!$L$24:$L$112,A39&amp;" / "&amp;B39,'2025'!$C$24:$C$112,B39)+SUMIFS('2025'!$H$24:$H$112,'2025'!$L$24:$L$112,A39&amp;" / "&amp;B39,'2025'!$F$24:$F$112,B39)</x:f>
        <x:v>201</x:v>
      </x:c>
      <x:c r="I39" s="11" t="n">
        <x:f>IF(C39=0,0,(D39+0.5*F39)/C39)</x:f>
        <x:v>0.5</x:v>
      </x:c>
      <x:c r="J39" s="2" t="n">
        <x:f>COUNTIFS('2015'!$L$24:$L$96,A39&amp;" / "&amp;B39,'2015'!$B$24:$B$96,"Regular")+COUNTIFS('2016'!$L$24:$L$96,A39&amp;" / "&amp;B39,'2016'!$B$24:$B$96,"Regular")+COUNTIFS('2017'!$L$24:$L$106,A39&amp;" / "&amp;B39,'2017'!$B$24:$B$106,"Regular")+COUNTIFS('2018'!$L$24:$L$106,A39&amp;" / "&amp;B39,'2018'!$B$24:$B$106,"Regular")+COUNTIFS('2019'!$L$24:$L$106,A39&amp;" / "&amp;B39,'2019'!$B$24:$B$106,"Regular")+COUNTIFS('2020'!$L$24:$L$106,A39&amp;" / "&amp;B39,'2020'!$B$24:$B$106,"Regular")+COUNTIFS('2021'!$L$24:$L$112,A39&amp;" / "&amp;B39,'2021'!$B$24:$B$112,"Regular")+COUNTIFS('2022'!$L$24:$L$112,A39&amp;" / "&amp;B39,'2022'!$B$24:$B$112,"Regular")+COUNTIFS('2023'!$L$24:$L$112,A39&amp;" / "&amp;B39,'2023'!$B$24:$B$112,"Regular")+COUNTIFS('2024'!$L$24:$L$112,A39&amp;" / "&amp;B39,'2024'!$B$24:$B$112,"Regular")+COUNTIFS('2025'!$L$24:$L$112,A39&amp;" / "&amp;B39,'2025'!$B$24:$B$112,"Regular")</x:f>
        <x:v>2</x:v>
      </x:c>
      <x:c r="K39" s="2" t="n">
        <x:f>COUNTIFS('2015'!$L$24:$L$96,A39&amp;" / "&amp;B39,'2015'!$B$24:$B$96,"Playoffs")+COUNTIFS('2016'!$L$24:$L$96,A39&amp;" / "&amp;B39,'2016'!$B$24:$B$96,"Playoffs")+COUNTIFS('2017'!$L$24:$L$106,A39&amp;" / "&amp;B39,'2017'!$B$24:$B$106,"Playoffs")+COUNTIFS('2018'!$L$24:$L$106,A39&amp;" / "&amp;B39,'2018'!$B$24:$B$106,"Playoffs")+COUNTIFS('2019'!$L$24:$L$106,A39&amp;" / "&amp;B39,'2019'!$B$24:$B$106,"Playoffs")+COUNTIFS('2020'!$L$24:$L$106,A39&amp;" / "&amp;B39,'2020'!$B$24:$B$106,"Playoffs")+COUNTIFS('2021'!$L$24:$L$112,A39&amp;" / "&amp;B39,'2021'!$B$24:$B$112,"Playoffs")+COUNTIFS('2022'!$L$24:$L$112,A39&amp;" / "&amp;B39,'2022'!$B$24:$B$112,"Playoffs")+COUNTIFS('2023'!$L$24:$L$112,A39&amp;" / "&amp;B39,'2023'!$B$24:$B$112,"Playoffs")+COUNTIFS('2024'!$L$24:$L$112,A39&amp;" / "&amp;B39,'2024'!$B$24:$B$112,"Playoffs")+COUNTIFS('2025'!$L$24:$L$112,A39&amp;" / "&amp;B39,'2025'!$B$24:$B$112,"Playoffs")</x:f>
        <x:v>0</x:v>
      </x:c>
      <x:c r="L39" s="2" t="n">
        <x:f>COUNTIFS('2015'!$L$24:$L$96,A39&amp;" / "&amp;B39,'2015'!$B$24:$B$96,"Unconfirmed")+COUNTIFS('2016'!$L$24:$L$96,A39&amp;" / "&amp;B39,'2016'!$B$24:$B$96,"Unconfirmed")+COUNTIFS('2017'!$L$24:$L$106,A39&amp;" / "&amp;B39,'2017'!$B$24:$B$106,"Unconfirmed")+COUNTIFS('2018'!$L$24:$L$106,A39&amp;" / "&amp;B39,'2018'!$B$24:$B$106,"Unconfirmed")+COUNTIFS('2019'!$L$24:$L$106,A39&amp;" / "&amp;B39,'2019'!$B$24:$B$106,"Unconfirmed")+COUNTIFS('2020'!$L$24:$L$106,A39&amp;" / "&amp;B39,'2020'!$B$24:$B$106,"Unconfirmed")+COUNTIFS('2021'!$L$24:$L$112,A39&amp;" / "&amp;B39,'2021'!$B$24:$B$112,"Unconfirmed")+COUNTIFS('2022'!$L$24:$L$112,A39&amp;" / "&amp;B39,'2022'!$B$24:$B$112,"Unconfirmed")+COUNTIFS('2023'!$L$24:$L$112,A39&amp;" / "&amp;B39,'2023'!$B$24:$B$112,"Unconfirmed")+COUNTIFS('2024'!$L$24:$L$112,A39&amp;" / "&amp;B39,'2024'!$B$24:$B$112,"Unconfirmed")+COUNTIFS('2025'!$L$24:$L$112,A39&amp;" / "&amp;B39,'2025'!$B$24:$B$112,"Unconfirmed")</x:f>
        <x:v>0</x:v>
      </x:c>
    </x:row>
    <x:row r="40" ht="22" customHeight="1">
      <x:c r="A40" s="2" t="str">
        <x:v>Bruce</x:v>
      </x:c>
      <x:c r="B40" s="2" t="str">
        <x:v>James B.</x:v>
      </x:c>
      <x:c r="C40" s="2" t="n">
        <x:f>COUNTIFS('2015'!$L$24:$L$96,A40&amp;" / "&amp;B40)+COUNTIFS('2016'!$L$24:$L$96,A40&amp;" / "&amp;B40)+COUNTIFS('2017'!$L$24:$L$106,A40&amp;" / "&amp;B40)+COUNTIFS('2018'!$L$24:$L$106,A40&amp;" / "&amp;B40)+COUNTIFS('2019'!$L$24:$L$106,A40&amp;" / "&amp;B40)+COUNTIFS('2020'!$L$24:$L$106,A40&amp;" / "&amp;B40)+COUNTIFS('2021'!$L$24:$L$112,A40&amp;" / "&amp;B40)+COUNTIFS('2022'!$L$24:$L$112,A40&amp;" / "&amp;B40)+COUNTIFS('2023'!$L$24:$L$112,A40&amp;" / "&amp;B40)+COUNTIFS('2024'!$L$24:$L$112,A40&amp;" / "&amp;B40)+COUNTIFS('2025'!$L$24:$L$112,A40&amp;" / "&amp;B40)</x:f>
        <x:v>4</x:v>
      </x:c>
      <x:c r="D40" s="2" t="n">
        <x:f>COUNTIFS('2015'!$L$24:$L$96,A40&amp;" / "&amp;B40,'2015'!$I$24:$I$96,A40)+COUNTIFS('2016'!$L$24:$L$96,A40&amp;" / "&amp;B40,'2016'!$I$24:$I$96,A40)+COUNTIFS('2017'!$L$24:$L$106,A40&amp;" / "&amp;B40,'2017'!$I$24:$I$106,A40)+COUNTIFS('2018'!$L$24:$L$106,A40&amp;" / "&amp;B40,'2018'!$I$24:$I$106,A40)+COUNTIFS('2019'!$L$24:$L$106,A40&amp;" / "&amp;B40,'2019'!$I$24:$I$106,A40)+COUNTIFS('2020'!$L$24:$L$106,A40&amp;" / "&amp;B40,'2020'!$I$24:$I$106,A40)+COUNTIFS('2021'!$L$24:$L$112,A40&amp;" / "&amp;B40,'2021'!$I$24:$I$112,A40)+COUNTIFS('2022'!$L$24:$L$112,A40&amp;" / "&amp;B40,'2022'!$I$24:$I$112,A40)+COUNTIFS('2023'!$L$24:$L$112,A40&amp;" / "&amp;B40,'2023'!$I$24:$I$112,A40)+COUNTIFS('2024'!$L$24:$L$112,A40&amp;" / "&amp;B40,'2024'!$I$24:$I$112,A40)+COUNTIFS('2025'!$L$24:$L$112,A40&amp;" / "&amp;B40,'2025'!$I$24:$I$112,A40)</x:f>
        <x:v>0</x:v>
      </x:c>
      <x:c r="E40" s="2" t="n">
        <x:f>COUNTIFS('2015'!$L$24:$L$96,A40&amp;" / "&amp;B40,'2015'!$I$24:$I$96,B40)+COUNTIFS('2016'!$L$24:$L$96,A40&amp;" / "&amp;B40,'2016'!$I$24:$I$96,B40)+COUNTIFS('2017'!$L$24:$L$106,A40&amp;" / "&amp;B40,'2017'!$I$24:$I$106,B40)+COUNTIFS('2018'!$L$24:$L$106,A40&amp;" / "&amp;B40,'2018'!$I$24:$I$106,B40)+COUNTIFS('2019'!$L$24:$L$106,A40&amp;" / "&amp;B40,'2019'!$I$24:$I$106,B40)+COUNTIFS('2020'!$L$24:$L$106,A40&amp;" / "&amp;B40,'2020'!$I$24:$I$106,B40)+COUNTIFS('2021'!$L$24:$L$112,A40&amp;" / "&amp;B40,'2021'!$I$24:$I$112,B40)+COUNTIFS('2022'!$L$24:$L$112,A40&amp;" / "&amp;B40,'2022'!$I$24:$I$112,B40)+COUNTIFS('2023'!$L$24:$L$112,A40&amp;" / "&amp;B40,'2023'!$I$24:$I$112,B40)+COUNTIFS('2024'!$L$24:$L$112,A40&amp;" / "&amp;B40,'2024'!$I$24:$I$112,B40)+COUNTIFS('2025'!$L$24:$L$112,A40&amp;" / "&amp;B40,'2025'!$I$24:$I$112,B40)</x:f>
        <x:v>3</x:v>
      </x:c>
      <x:c r="F40" s="2" t="n">
        <x:f>COUNTIFS('2015'!$L$24:$L$96,A40&amp;" / "&amp;B40,'2015'!$K$24:$K$96,1)+COUNTIFS('2016'!$L$24:$L$96,A40&amp;" / "&amp;B40,'2016'!$K$24:$K$96,1)+COUNTIFS('2017'!$L$24:$L$106,A40&amp;" / "&amp;B40,'2017'!$K$24:$K$106,1)+COUNTIFS('2018'!$L$24:$L$106,A40&amp;" / "&amp;B40,'2018'!$K$24:$K$106,1)+COUNTIFS('2019'!$L$24:$L$106,A40&amp;" / "&amp;B40,'2019'!$K$24:$K$106,1)+COUNTIFS('2020'!$L$24:$L$106,A40&amp;" / "&amp;B40,'2020'!$K$24:$K$106,1)+COUNTIFS('2021'!$L$24:$L$112,A40&amp;" / "&amp;B40,'2021'!$K$24:$K$112,1)+COUNTIFS('2022'!$L$24:$L$112,A40&amp;" / "&amp;B40,'2022'!$K$24:$K$112,1)+COUNTIFS('2023'!$L$24:$L$112,A40&amp;" / "&amp;B40,'2023'!$K$24:$K$112,1)+COUNTIFS('2024'!$L$24:$L$112,A40&amp;" / "&amp;B40,'2024'!$K$24:$K$112,1)+COUNTIFS('2025'!$L$24:$L$112,A40&amp;" / "&amp;B40,'2025'!$K$24:$K$112,1)</x:f>
        <x:v>1</x:v>
      </x:c>
      <x:c r="G40" s="25" t="n">
        <x:f>SUMIFS('2015'!$E$24:$E$96,'2015'!$L$24:$L$96,A40&amp;" / "&amp;B40,'2015'!$C$24:$C$96,A40)+SUMIFS('2015'!$H$24:$H$96,'2015'!$L$24:$L$96,A40&amp;" / "&amp;B40,'2015'!$F$24:$F$96,A40)+SUMIFS('2016'!$E$24:$E$96,'2016'!$L$24:$L$96,A40&amp;" / "&amp;B40,'2016'!$C$24:$C$96,A40)+SUMIFS('2016'!$H$24:$H$96,'2016'!$L$24:$L$96,A40&amp;" / "&amp;B40,'2016'!$F$24:$F$96,A40)+SUMIFS('2017'!$E$24:$E$106,'2017'!$L$24:$L$106,A40&amp;" / "&amp;B40,'2017'!$C$24:$C$106,A40)+SUMIFS('2017'!$H$24:$H$106,'2017'!$L$24:$L$106,A40&amp;" / "&amp;B40,'2017'!$F$24:$F$106,A40)+SUMIFS('2018'!$E$24:$E$106,'2018'!$L$24:$L$106,A40&amp;" / "&amp;B40,'2018'!$C$24:$C$106,A40)+SUMIFS('2018'!$H$24:$H$106,'2018'!$L$24:$L$106,A40&amp;" / "&amp;B40,'2018'!$F$24:$F$106,A40)+SUMIFS('2019'!$E$24:$E$106,'2019'!$L$24:$L$106,A40&amp;" / "&amp;B40,'2019'!$C$24:$C$106,A40)+SUMIFS('2019'!$H$24:$H$106,'2019'!$L$24:$L$106,A40&amp;" / "&amp;B40,'2019'!$F$24:$F$106,A40)+SUMIFS('2020'!$E$24:$E$106,'2020'!$L$24:$L$106,A40&amp;" / "&amp;B40,'2020'!$C$24:$C$106,A40)+SUMIFS('2020'!$H$24:$H$106,'2020'!$L$24:$L$106,A40&amp;" / "&amp;B40,'2020'!$F$24:$F$106,A40)+SUMIFS('2021'!$E$24:$E$112,'2021'!$L$24:$L$112,A40&amp;" / "&amp;B40,'2021'!$C$24:$C$112,A40)+SUMIFS('2021'!$H$24:$H$112,'2021'!$L$24:$L$112,A40&amp;" / "&amp;B40,'2021'!$F$24:$F$112,A40)+SUMIFS('2022'!$E$24:$E$112,'2022'!$L$24:$L$112,A40&amp;" / "&amp;B40,'2022'!$C$24:$C$112,A40)+SUMIFS('2022'!$H$24:$H$112,'2022'!$L$24:$L$112,A40&amp;" / "&amp;B40,'2022'!$F$24:$F$112,A40)+SUMIFS('2023'!$E$24:$E$112,'2023'!$L$24:$L$112,A40&amp;" / "&amp;B40,'2023'!$C$24:$C$112,A40)+SUMIFS('2023'!$H$24:$H$112,'2023'!$L$24:$L$112,A40&amp;" / "&amp;B40,'2023'!$F$24:$F$112,A40)+SUMIFS('2024'!$E$24:$E$112,'2024'!$L$24:$L$112,A40&amp;" / "&amp;B40,'2024'!$C$24:$C$112,A40)+SUMIFS('2024'!$H$24:$H$112,'2024'!$L$24:$L$112,A40&amp;" / "&amp;B40,'2024'!$F$24:$F$112,A40)+SUMIFS('2025'!$E$24:$E$112,'2025'!$L$24:$L$112,A40&amp;" / "&amp;B40,'2025'!$C$24:$C$112,A40)+SUMIFS('2025'!$H$24:$H$112,'2025'!$L$24:$L$112,A40&amp;" / "&amp;B40,'2025'!$F$24:$F$112,A40)</x:f>
        <x:v>435</x:v>
      </x:c>
      <x:c r="H40" s="25" t="n">
        <x:f>SUMIFS('2015'!$E$24:$E$96,'2015'!$L$24:$L$96,A40&amp;" / "&amp;B40,'2015'!$C$24:$C$96,B40)+SUMIFS('2015'!$H$24:$H$96,'2015'!$L$24:$L$96,A40&amp;" / "&amp;B40,'2015'!$F$24:$F$96,B40)+SUMIFS('2016'!$E$24:$E$96,'2016'!$L$24:$L$96,A40&amp;" / "&amp;B40,'2016'!$C$24:$C$96,B40)+SUMIFS('2016'!$H$24:$H$96,'2016'!$L$24:$L$96,A40&amp;" / "&amp;B40,'2016'!$F$24:$F$96,B40)+SUMIFS('2017'!$E$24:$E$106,'2017'!$L$24:$L$106,A40&amp;" / "&amp;B40,'2017'!$C$24:$C$106,B40)+SUMIFS('2017'!$H$24:$H$106,'2017'!$L$24:$L$106,A40&amp;" / "&amp;B40,'2017'!$F$24:$F$106,B40)+SUMIFS('2018'!$E$24:$E$106,'2018'!$L$24:$L$106,A40&amp;" / "&amp;B40,'2018'!$C$24:$C$106,B40)+SUMIFS('2018'!$H$24:$H$106,'2018'!$L$24:$L$106,A40&amp;" / "&amp;B40,'2018'!$F$24:$F$106,B40)+SUMIFS('2019'!$E$24:$E$106,'2019'!$L$24:$L$106,A40&amp;" / "&amp;B40,'2019'!$C$24:$C$106,B40)+SUMIFS('2019'!$H$24:$H$106,'2019'!$L$24:$L$106,A40&amp;" / "&amp;B40,'2019'!$F$24:$F$106,B40)+SUMIFS('2020'!$E$24:$E$106,'2020'!$L$24:$L$106,A40&amp;" / "&amp;B40,'2020'!$C$24:$C$106,B40)+SUMIFS('2020'!$H$24:$H$106,'2020'!$L$24:$L$106,A40&amp;" / "&amp;B40,'2020'!$F$24:$F$106,B40)+SUMIFS('2021'!$E$24:$E$112,'2021'!$L$24:$L$112,A40&amp;" / "&amp;B40,'2021'!$C$24:$C$112,B40)+SUMIFS('2021'!$H$24:$H$112,'2021'!$L$24:$L$112,A40&amp;" / "&amp;B40,'2021'!$F$24:$F$112,B40)+SUMIFS('2022'!$E$24:$E$112,'2022'!$L$24:$L$112,A40&amp;" / "&amp;B40,'2022'!$C$24:$C$112,B40)+SUMIFS('2022'!$H$24:$H$112,'2022'!$L$24:$L$112,A40&amp;" / "&amp;B40,'2022'!$F$24:$F$112,B40)+SUMIFS('2023'!$E$24:$E$112,'2023'!$L$24:$L$112,A40&amp;" / "&amp;B40,'2023'!$C$24:$C$112,B40)+SUMIFS('2023'!$H$24:$H$112,'2023'!$L$24:$L$112,A40&amp;" / "&amp;B40,'2023'!$F$24:$F$112,B40)+SUMIFS('2024'!$E$24:$E$112,'2024'!$L$24:$L$112,A40&amp;" / "&amp;B40,'2024'!$C$24:$C$112,B40)+SUMIFS('2024'!$H$24:$H$112,'2024'!$L$24:$L$112,A40&amp;" / "&amp;B40,'2024'!$F$24:$F$112,B40)+SUMIFS('2025'!$E$24:$E$112,'2025'!$L$24:$L$112,A40&amp;" / "&amp;B40,'2025'!$C$24:$C$112,B40)+SUMIFS('2025'!$H$24:$H$112,'2025'!$L$24:$L$112,A40&amp;" / "&amp;B40,'2025'!$F$24:$F$112,B40)</x:f>
        <x:v>582</x:v>
      </x:c>
      <x:c r="I40" s="11" t="n">
        <x:f>IF(C40=0,0,(D40+0.5*F40)/C40)</x:f>
        <x:v>0.125</x:v>
      </x:c>
      <x:c r="J40" s="2" t="n">
        <x:f>COUNTIFS('2015'!$L$24:$L$96,A40&amp;" / "&amp;B40,'2015'!$B$24:$B$96,"Regular")+COUNTIFS('2016'!$L$24:$L$96,A40&amp;" / "&amp;B40,'2016'!$B$24:$B$96,"Regular")+COUNTIFS('2017'!$L$24:$L$106,A40&amp;" / "&amp;B40,'2017'!$B$24:$B$106,"Regular")+COUNTIFS('2018'!$L$24:$L$106,A40&amp;" / "&amp;B40,'2018'!$B$24:$B$106,"Regular")+COUNTIFS('2019'!$L$24:$L$106,A40&amp;" / "&amp;B40,'2019'!$B$24:$B$106,"Regular")+COUNTIFS('2020'!$L$24:$L$106,A40&amp;" / "&amp;B40,'2020'!$B$24:$B$106,"Regular")+COUNTIFS('2021'!$L$24:$L$112,A40&amp;" / "&amp;B40,'2021'!$B$24:$B$112,"Regular")+COUNTIFS('2022'!$L$24:$L$112,A40&amp;" / "&amp;B40,'2022'!$B$24:$B$112,"Regular")+COUNTIFS('2023'!$L$24:$L$112,A40&amp;" / "&amp;B40,'2023'!$B$24:$B$112,"Regular")+COUNTIFS('2024'!$L$24:$L$112,A40&amp;" / "&amp;B40,'2024'!$B$24:$B$112,"Regular")+COUNTIFS('2025'!$L$24:$L$112,A40&amp;" / "&amp;B40,'2025'!$B$24:$B$112,"Regular")</x:f>
        <x:v>4</x:v>
      </x:c>
      <x:c r="K40" s="2" t="n">
        <x:f>COUNTIFS('2015'!$L$24:$L$96,A40&amp;" / "&amp;B40,'2015'!$B$24:$B$96,"Playoffs")+COUNTIFS('2016'!$L$24:$L$96,A40&amp;" / "&amp;B40,'2016'!$B$24:$B$96,"Playoffs")+COUNTIFS('2017'!$L$24:$L$106,A40&amp;" / "&amp;B40,'2017'!$B$24:$B$106,"Playoffs")+COUNTIFS('2018'!$L$24:$L$106,A40&amp;" / "&amp;B40,'2018'!$B$24:$B$106,"Playoffs")+COUNTIFS('2019'!$L$24:$L$106,A40&amp;" / "&amp;B40,'2019'!$B$24:$B$106,"Playoffs")+COUNTIFS('2020'!$L$24:$L$106,A40&amp;" / "&amp;B40,'2020'!$B$24:$B$106,"Playoffs")+COUNTIFS('2021'!$L$24:$L$112,A40&amp;" / "&amp;B40,'2021'!$B$24:$B$112,"Playoffs")+COUNTIFS('2022'!$L$24:$L$112,A40&amp;" / "&amp;B40,'2022'!$B$24:$B$112,"Playoffs")+COUNTIFS('2023'!$L$24:$L$112,A40&amp;" / "&amp;B40,'2023'!$B$24:$B$112,"Playoffs")+COUNTIFS('2024'!$L$24:$L$112,A40&amp;" / "&amp;B40,'2024'!$B$24:$B$112,"Playoffs")+COUNTIFS('2025'!$L$24:$L$112,A40&amp;" / "&amp;B40,'2025'!$B$24:$B$112,"Playoffs")</x:f>
        <x:v>0</x:v>
      </x:c>
      <x:c r="L40" s="2" t="n">
        <x:f>COUNTIFS('2015'!$L$24:$L$96,A40&amp;" / "&amp;B40,'2015'!$B$24:$B$96,"Unconfirmed")+COUNTIFS('2016'!$L$24:$L$96,A40&amp;" / "&amp;B40,'2016'!$B$24:$B$96,"Unconfirmed")+COUNTIFS('2017'!$L$24:$L$106,A40&amp;" / "&amp;B40,'2017'!$B$24:$B$106,"Unconfirmed")+COUNTIFS('2018'!$L$24:$L$106,A40&amp;" / "&amp;B40,'2018'!$B$24:$B$106,"Unconfirmed")+COUNTIFS('2019'!$L$24:$L$106,A40&amp;" / "&amp;B40,'2019'!$B$24:$B$106,"Unconfirmed")+COUNTIFS('2020'!$L$24:$L$106,A40&amp;" / "&amp;B40,'2020'!$B$24:$B$106,"Unconfirmed")+COUNTIFS('2021'!$L$24:$L$112,A40&amp;" / "&amp;B40,'2021'!$B$24:$B$112,"Unconfirmed")+COUNTIFS('2022'!$L$24:$L$112,A40&amp;" / "&amp;B40,'2022'!$B$24:$B$112,"Unconfirmed")+COUNTIFS('2023'!$L$24:$L$112,A40&amp;" / "&amp;B40,'2023'!$B$24:$B$112,"Unconfirmed")+COUNTIFS('2024'!$L$24:$L$112,A40&amp;" / "&amp;B40,'2024'!$B$24:$B$112,"Unconfirmed")+COUNTIFS('2025'!$L$24:$L$112,A40&amp;" / "&amp;B40,'2025'!$B$24:$B$112,"Unconfirmed")</x:f>
        <x:v>0</x:v>
      </x:c>
    </x:row>
    <x:row r="41" ht="22" customHeight="1">
      <x:c r="A41" s="2" t="str">
        <x:v>Bruce</x:v>
      </x:c>
      <x:c r="B41" s="2" t="str">
        <x:v>Josh</x:v>
      </x:c>
      <x:c r="C41" s="2" t="n">
        <x:f>COUNTIFS('2015'!$L$24:$L$96,A41&amp;" / "&amp;B41)+COUNTIFS('2016'!$L$24:$L$96,A41&amp;" / "&amp;B41)+COUNTIFS('2017'!$L$24:$L$106,A41&amp;" / "&amp;B41)+COUNTIFS('2018'!$L$24:$L$106,A41&amp;" / "&amp;B41)+COUNTIFS('2019'!$L$24:$L$106,A41&amp;" / "&amp;B41)+COUNTIFS('2020'!$L$24:$L$106,A41&amp;" / "&amp;B41)+COUNTIFS('2021'!$L$24:$L$112,A41&amp;" / "&amp;B41)+COUNTIFS('2022'!$L$24:$L$112,A41&amp;" / "&amp;B41)+COUNTIFS('2023'!$L$24:$L$112,A41&amp;" / "&amp;B41)+COUNTIFS('2024'!$L$24:$L$112,A41&amp;" / "&amp;B41)+COUNTIFS('2025'!$L$24:$L$112,A41&amp;" / "&amp;B41)</x:f>
        <x:v>15</x:v>
      </x:c>
      <x:c r="D41" s="2" t="n">
        <x:f>COUNTIFS('2015'!$L$24:$L$96,A41&amp;" / "&amp;B41,'2015'!$I$24:$I$96,A41)+COUNTIFS('2016'!$L$24:$L$96,A41&amp;" / "&amp;B41,'2016'!$I$24:$I$96,A41)+COUNTIFS('2017'!$L$24:$L$106,A41&amp;" / "&amp;B41,'2017'!$I$24:$I$106,A41)+COUNTIFS('2018'!$L$24:$L$106,A41&amp;" / "&amp;B41,'2018'!$I$24:$I$106,A41)+COUNTIFS('2019'!$L$24:$L$106,A41&amp;" / "&amp;B41,'2019'!$I$24:$I$106,A41)+COUNTIFS('2020'!$L$24:$L$106,A41&amp;" / "&amp;B41,'2020'!$I$24:$I$106,A41)+COUNTIFS('2021'!$L$24:$L$112,A41&amp;" / "&amp;B41,'2021'!$I$24:$I$112,A41)+COUNTIFS('2022'!$L$24:$L$112,A41&amp;" / "&amp;B41,'2022'!$I$24:$I$112,A41)+COUNTIFS('2023'!$L$24:$L$112,A41&amp;" / "&amp;B41,'2023'!$I$24:$I$112,A41)+COUNTIFS('2024'!$L$24:$L$112,A41&amp;" / "&amp;B41,'2024'!$I$24:$I$112,A41)+COUNTIFS('2025'!$L$24:$L$112,A41&amp;" / "&amp;B41,'2025'!$I$24:$I$112,A41)</x:f>
        <x:v>9</x:v>
      </x:c>
      <x:c r="E41" s="2" t="n">
        <x:f>COUNTIFS('2015'!$L$24:$L$96,A41&amp;" / "&amp;B41,'2015'!$I$24:$I$96,B41)+COUNTIFS('2016'!$L$24:$L$96,A41&amp;" / "&amp;B41,'2016'!$I$24:$I$96,B41)+COUNTIFS('2017'!$L$24:$L$106,A41&amp;" / "&amp;B41,'2017'!$I$24:$I$106,B41)+COUNTIFS('2018'!$L$24:$L$106,A41&amp;" / "&amp;B41,'2018'!$I$24:$I$106,B41)+COUNTIFS('2019'!$L$24:$L$106,A41&amp;" / "&amp;B41,'2019'!$I$24:$I$106,B41)+COUNTIFS('2020'!$L$24:$L$106,A41&amp;" / "&amp;B41,'2020'!$I$24:$I$106,B41)+COUNTIFS('2021'!$L$24:$L$112,A41&amp;" / "&amp;B41,'2021'!$I$24:$I$112,B41)+COUNTIFS('2022'!$L$24:$L$112,A41&amp;" / "&amp;B41,'2022'!$I$24:$I$112,B41)+COUNTIFS('2023'!$L$24:$L$112,A41&amp;" / "&amp;B41,'2023'!$I$24:$I$112,B41)+COUNTIFS('2024'!$L$24:$L$112,A41&amp;" / "&amp;B41,'2024'!$I$24:$I$112,B41)+COUNTIFS('2025'!$L$24:$L$112,A41&amp;" / "&amp;B41,'2025'!$I$24:$I$112,B41)</x:f>
        <x:v>6</x:v>
      </x:c>
      <x:c r="F41" s="2" t="n">
        <x:f>COUNTIFS('2015'!$L$24:$L$96,A41&amp;" / "&amp;B41,'2015'!$K$24:$K$96,1)+COUNTIFS('2016'!$L$24:$L$96,A41&amp;" / "&amp;B41,'2016'!$K$24:$K$96,1)+COUNTIFS('2017'!$L$24:$L$106,A41&amp;" / "&amp;B41,'2017'!$K$24:$K$106,1)+COUNTIFS('2018'!$L$24:$L$106,A41&amp;" / "&amp;B41,'2018'!$K$24:$K$106,1)+COUNTIFS('2019'!$L$24:$L$106,A41&amp;" / "&amp;B41,'2019'!$K$24:$K$106,1)+COUNTIFS('2020'!$L$24:$L$106,A41&amp;" / "&amp;B41,'2020'!$K$24:$K$106,1)+COUNTIFS('2021'!$L$24:$L$112,A41&amp;" / "&amp;B41,'2021'!$K$24:$K$112,1)+COUNTIFS('2022'!$L$24:$L$112,A41&amp;" / "&amp;B41,'2022'!$K$24:$K$112,1)+COUNTIFS('2023'!$L$24:$L$112,A41&amp;" / "&amp;B41,'2023'!$K$24:$K$112,1)+COUNTIFS('2024'!$L$24:$L$112,A41&amp;" / "&amp;B41,'2024'!$K$24:$K$112,1)+COUNTIFS('2025'!$L$24:$L$112,A41&amp;" / "&amp;B41,'2025'!$K$24:$K$112,1)</x:f>
        <x:v>0</x:v>
      </x:c>
      <x:c r="G41" s="25" t="n">
        <x:f>SUMIFS('2015'!$E$24:$E$96,'2015'!$L$24:$L$96,A41&amp;" / "&amp;B41,'2015'!$C$24:$C$96,A41)+SUMIFS('2015'!$H$24:$H$96,'2015'!$L$24:$L$96,A41&amp;" / "&amp;B41,'2015'!$F$24:$F$96,A41)+SUMIFS('2016'!$E$24:$E$96,'2016'!$L$24:$L$96,A41&amp;" / "&amp;B41,'2016'!$C$24:$C$96,A41)+SUMIFS('2016'!$H$24:$H$96,'2016'!$L$24:$L$96,A41&amp;" / "&amp;B41,'2016'!$F$24:$F$96,A41)+SUMIFS('2017'!$E$24:$E$106,'2017'!$L$24:$L$106,A41&amp;" / "&amp;B41,'2017'!$C$24:$C$106,A41)+SUMIFS('2017'!$H$24:$H$106,'2017'!$L$24:$L$106,A41&amp;" / "&amp;B41,'2017'!$F$24:$F$106,A41)+SUMIFS('2018'!$E$24:$E$106,'2018'!$L$24:$L$106,A41&amp;" / "&amp;B41,'2018'!$C$24:$C$106,A41)+SUMIFS('2018'!$H$24:$H$106,'2018'!$L$24:$L$106,A41&amp;" / "&amp;B41,'2018'!$F$24:$F$106,A41)+SUMIFS('2019'!$E$24:$E$106,'2019'!$L$24:$L$106,A41&amp;" / "&amp;B41,'2019'!$C$24:$C$106,A41)+SUMIFS('2019'!$H$24:$H$106,'2019'!$L$24:$L$106,A41&amp;" / "&amp;B41,'2019'!$F$24:$F$106,A41)+SUMIFS('2020'!$E$24:$E$106,'2020'!$L$24:$L$106,A41&amp;" / "&amp;B41,'2020'!$C$24:$C$106,A41)+SUMIFS('2020'!$H$24:$H$106,'2020'!$L$24:$L$106,A41&amp;" / "&amp;B41,'2020'!$F$24:$F$106,A41)+SUMIFS('2021'!$E$24:$E$112,'2021'!$L$24:$L$112,A41&amp;" / "&amp;B41,'2021'!$C$24:$C$112,A41)+SUMIFS('2021'!$H$24:$H$112,'2021'!$L$24:$L$112,A41&amp;" / "&amp;B41,'2021'!$F$24:$F$112,A41)+SUMIFS('2022'!$E$24:$E$112,'2022'!$L$24:$L$112,A41&amp;" / "&amp;B41,'2022'!$C$24:$C$112,A41)+SUMIFS('2022'!$H$24:$H$112,'2022'!$L$24:$L$112,A41&amp;" / "&amp;B41,'2022'!$F$24:$F$112,A41)+SUMIFS('2023'!$E$24:$E$112,'2023'!$L$24:$L$112,A41&amp;" / "&amp;B41,'2023'!$C$24:$C$112,A41)+SUMIFS('2023'!$H$24:$H$112,'2023'!$L$24:$L$112,A41&amp;" / "&amp;B41,'2023'!$F$24:$F$112,A41)+SUMIFS('2024'!$E$24:$E$112,'2024'!$L$24:$L$112,A41&amp;" / "&amp;B41,'2024'!$C$24:$C$112,A41)+SUMIFS('2024'!$H$24:$H$112,'2024'!$L$24:$L$112,A41&amp;" / "&amp;B41,'2024'!$F$24:$F$112,A41)+SUMIFS('2025'!$E$24:$E$112,'2025'!$L$24:$L$112,A41&amp;" / "&amp;B41,'2025'!$C$24:$C$112,A41)+SUMIFS('2025'!$H$24:$H$112,'2025'!$L$24:$L$112,A41&amp;" / "&amp;B41,'2025'!$F$24:$F$112,A41)</x:f>
        <x:v>1710.1999999999998</x:v>
      </x:c>
      <x:c r="H41" s="25" t="n">
        <x:f>SUMIFS('2015'!$E$24:$E$96,'2015'!$L$24:$L$96,A41&amp;" / "&amp;B41,'2015'!$C$24:$C$96,B41)+SUMIFS('2015'!$H$24:$H$96,'2015'!$L$24:$L$96,A41&amp;" / "&amp;B41,'2015'!$F$24:$F$96,B41)+SUMIFS('2016'!$E$24:$E$96,'2016'!$L$24:$L$96,A41&amp;" / "&amp;B41,'2016'!$C$24:$C$96,B41)+SUMIFS('2016'!$H$24:$H$96,'2016'!$L$24:$L$96,A41&amp;" / "&amp;B41,'2016'!$F$24:$F$96,B41)+SUMIFS('2017'!$E$24:$E$106,'2017'!$L$24:$L$106,A41&amp;" / "&amp;B41,'2017'!$C$24:$C$106,B41)+SUMIFS('2017'!$H$24:$H$106,'2017'!$L$24:$L$106,A41&amp;" / "&amp;B41,'2017'!$F$24:$F$106,B41)+SUMIFS('2018'!$E$24:$E$106,'2018'!$L$24:$L$106,A41&amp;" / "&amp;B41,'2018'!$C$24:$C$106,B41)+SUMIFS('2018'!$H$24:$H$106,'2018'!$L$24:$L$106,A41&amp;" / "&amp;B41,'2018'!$F$24:$F$106,B41)+SUMIFS('2019'!$E$24:$E$106,'2019'!$L$24:$L$106,A41&amp;" / "&amp;B41,'2019'!$C$24:$C$106,B41)+SUMIFS('2019'!$H$24:$H$106,'2019'!$L$24:$L$106,A41&amp;" / "&amp;B41,'2019'!$F$24:$F$106,B41)+SUMIFS('2020'!$E$24:$E$106,'2020'!$L$24:$L$106,A41&amp;" / "&amp;B41,'2020'!$C$24:$C$106,B41)+SUMIFS('2020'!$H$24:$H$106,'2020'!$L$24:$L$106,A41&amp;" / "&amp;B41,'2020'!$F$24:$F$106,B41)+SUMIFS('2021'!$E$24:$E$112,'2021'!$L$24:$L$112,A41&amp;" / "&amp;B41,'2021'!$C$24:$C$112,B41)+SUMIFS('2021'!$H$24:$H$112,'2021'!$L$24:$L$112,A41&amp;" / "&amp;B41,'2021'!$F$24:$F$112,B41)+SUMIFS('2022'!$E$24:$E$112,'2022'!$L$24:$L$112,A41&amp;" / "&amp;B41,'2022'!$C$24:$C$112,B41)+SUMIFS('2022'!$H$24:$H$112,'2022'!$L$24:$L$112,A41&amp;" / "&amp;B41,'2022'!$F$24:$F$112,B41)+SUMIFS('2023'!$E$24:$E$112,'2023'!$L$24:$L$112,A41&amp;" / "&amp;B41,'2023'!$C$24:$C$112,B41)+SUMIFS('2023'!$H$24:$H$112,'2023'!$L$24:$L$112,A41&amp;" / "&amp;B41,'2023'!$F$24:$F$112,B41)+SUMIFS('2024'!$E$24:$E$112,'2024'!$L$24:$L$112,A41&amp;" / "&amp;B41,'2024'!$C$24:$C$112,B41)+SUMIFS('2024'!$H$24:$H$112,'2024'!$L$24:$L$112,A41&amp;" / "&amp;B41,'2024'!$F$24:$F$112,B41)+SUMIFS('2025'!$E$24:$E$112,'2025'!$L$24:$L$112,A41&amp;" / "&amp;B41,'2025'!$C$24:$C$112,B41)+SUMIFS('2025'!$H$24:$H$112,'2025'!$L$24:$L$112,A41&amp;" / "&amp;B41,'2025'!$F$24:$F$112,B41)</x:f>
        <x:v>1610.5</x:v>
      </x:c>
      <x:c r="I41" s="11" t="n">
        <x:f>IF(C41=0,0,(D41+0.5*F41)/C41)</x:f>
        <x:v>0.6</x:v>
      </x:c>
      <x:c r="J41" s="2" t="n">
        <x:f>COUNTIFS('2015'!$L$24:$L$96,A41&amp;" / "&amp;B41,'2015'!$B$24:$B$96,"Regular")+COUNTIFS('2016'!$L$24:$L$96,A41&amp;" / "&amp;B41,'2016'!$B$24:$B$96,"Regular")+COUNTIFS('2017'!$L$24:$L$106,A41&amp;" / "&amp;B41,'2017'!$B$24:$B$106,"Regular")+COUNTIFS('2018'!$L$24:$L$106,A41&amp;" / "&amp;B41,'2018'!$B$24:$B$106,"Regular")+COUNTIFS('2019'!$L$24:$L$106,A41&amp;" / "&amp;B41,'2019'!$B$24:$B$106,"Regular")+COUNTIFS('2020'!$L$24:$L$106,A41&amp;" / "&amp;B41,'2020'!$B$24:$B$106,"Regular")+COUNTIFS('2021'!$L$24:$L$112,A41&amp;" / "&amp;B41,'2021'!$B$24:$B$112,"Regular")+COUNTIFS('2022'!$L$24:$L$112,A41&amp;" / "&amp;B41,'2022'!$B$24:$B$112,"Regular")+COUNTIFS('2023'!$L$24:$L$112,A41&amp;" / "&amp;B41,'2023'!$B$24:$B$112,"Regular")+COUNTIFS('2024'!$L$24:$L$112,A41&amp;" / "&amp;B41,'2024'!$B$24:$B$112,"Regular")+COUNTIFS('2025'!$L$24:$L$112,A41&amp;" / "&amp;B41,'2025'!$B$24:$B$112,"Regular")</x:f>
        <x:v>14</x:v>
      </x:c>
      <x:c r="K41" s="2" t="n">
        <x:f>COUNTIFS('2015'!$L$24:$L$96,A41&amp;" / "&amp;B41,'2015'!$B$24:$B$96,"Playoffs")+COUNTIFS('2016'!$L$24:$L$96,A41&amp;" / "&amp;B41,'2016'!$B$24:$B$96,"Playoffs")+COUNTIFS('2017'!$L$24:$L$106,A41&amp;" / "&amp;B41,'2017'!$B$24:$B$106,"Playoffs")+COUNTIFS('2018'!$L$24:$L$106,A41&amp;" / "&amp;B41,'2018'!$B$24:$B$106,"Playoffs")+COUNTIFS('2019'!$L$24:$L$106,A41&amp;" / "&amp;B41,'2019'!$B$24:$B$106,"Playoffs")+COUNTIFS('2020'!$L$24:$L$106,A41&amp;" / "&amp;B41,'2020'!$B$24:$B$106,"Playoffs")+COUNTIFS('2021'!$L$24:$L$112,A41&amp;" / "&amp;B41,'2021'!$B$24:$B$112,"Playoffs")+COUNTIFS('2022'!$L$24:$L$112,A41&amp;" / "&amp;B41,'2022'!$B$24:$B$112,"Playoffs")+COUNTIFS('2023'!$L$24:$L$112,A41&amp;" / "&amp;B41,'2023'!$B$24:$B$112,"Playoffs")+COUNTIFS('2024'!$L$24:$L$112,A41&amp;" / "&amp;B41,'2024'!$B$24:$B$112,"Playoffs")+COUNTIFS('2025'!$L$24:$L$112,A41&amp;" / "&amp;B41,'2025'!$B$24:$B$112,"Playoffs")</x:f>
        <x:v>1</x:v>
      </x:c>
      <x:c r="L41" s="2" t="n">
        <x:f>COUNTIFS('2015'!$L$24:$L$96,A41&amp;" / "&amp;B41,'2015'!$B$24:$B$96,"Unconfirmed")+COUNTIFS('2016'!$L$24:$L$96,A41&amp;" / "&amp;B41,'2016'!$B$24:$B$96,"Unconfirmed")+COUNTIFS('2017'!$L$24:$L$106,A41&amp;" / "&amp;B41,'2017'!$B$24:$B$106,"Unconfirmed")+COUNTIFS('2018'!$L$24:$L$106,A41&amp;" / "&amp;B41,'2018'!$B$24:$B$106,"Unconfirmed")+COUNTIFS('2019'!$L$24:$L$106,A41&amp;" / "&amp;B41,'2019'!$B$24:$B$106,"Unconfirmed")+COUNTIFS('2020'!$L$24:$L$106,A41&amp;" / "&amp;B41,'2020'!$B$24:$B$106,"Unconfirmed")+COUNTIFS('2021'!$L$24:$L$112,A41&amp;" / "&amp;B41,'2021'!$B$24:$B$112,"Unconfirmed")+COUNTIFS('2022'!$L$24:$L$112,A41&amp;" / "&amp;B41,'2022'!$B$24:$B$112,"Unconfirmed")+COUNTIFS('2023'!$L$24:$L$112,A41&amp;" / "&amp;B41,'2023'!$B$24:$B$112,"Unconfirmed")+COUNTIFS('2024'!$L$24:$L$112,A41&amp;" / "&amp;B41,'2024'!$B$24:$B$112,"Unconfirmed")+COUNTIFS('2025'!$L$24:$L$112,A41&amp;" / "&amp;B41,'2025'!$B$24:$B$112,"Unconfirmed")</x:f>
        <x:v>0</x:v>
      </x:c>
    </x:row>
    <x:row r="42" ht="22" customHeight="1">
      <x:c r="A42" s="2" t="str">
        <x:v>Bruce</x:v>
      </x:c>
      <x:c r="B42" s="2" t="str">
        <x:v>Mark</x:v>
      </x:c>
      <x:c r="C42" s="2" t="n">
        <x:f>COUNTIFS('2015'!$L$24:$L$96,A42&amp;" / "&amp;B42)+COUNTIFS('2016'!$L$24:$L$96,A42&amp;" / "&amp;B42)+COUNTIFS('2017'!$L$24:$L$106,A42&amp;" / "&amp;B42)+COUNTIFS('2018'!$L$24:$L$106,A42&amp;" / "&amp;B42)+COUNTIFS('2019'!$L$24:$L$106,A42&amp;" / "&amp;B42)+COUNTIFS('2020'!$L$24:$L$106,A42&amp;" / "&amp;B42)+COUNTIFS('2021'!$L$24:$L$112,A42&amp;" / "&amp;B42)+COUNTIFS('2022'!$L$24:$L$112,A42&amp;" / "&amp;B42)+COUNTIFS('2023'!$L$24:$L$112,A42&amp;" / "&amp;B42)+COUNTIFS('2024'!$L$24:$L$112,A42&amp;" / "&amp;B42)+COUNTIFS('2025'!$L$24:$L$112,A42&amp;" / "&amp;B42)</x:f>
        <x:v>16</x:v>
      </x:c>
      <x:c r="D42" s="2" t="n">
        <x:f>COUNTIFS('2015'!$L$24:$L$96,A42&amp;" / "&amp;B42,'2015'!$I$24:$I$96,A42)+COUNTIFS('2016'!$L$24:$L$96,A42&amp;" / "&amp;B42,'2016'!$I$24:$I$96,A42)+COUNTIFS('2017'!$L$24:$L$106,A42&amp;" / "&amp;B42,'2017'!$I$24:$I$106,A42)+COUNTIFS('2018'!$L$24:$L$106,A42&amp;" / "&amp;B42,'2018'!$I$24:$I$106,A42)+COUNTIFS('2019'!$L$24:$L$106,A42&amp;" / "&amp;B42,'2019'!$I$24:$I$106,A42)+COUNTIFS('2020'!$L$24:$L$106,A42&amp;" / "&amp;B42,'2020'!$I$24:$I$106,A42)+COUNTIFS('2021'!$L$24:$L$112,A42&amp;" / "&amp;B42,'2021'!$I$24:$I$112,A42)+COUNTIFS('2022'!$L$24:$L$112,A42&amp;" / "&amp;B42,'2022'!$I$24:$I$112,A42)+COUNTIFS('2023'!$L$24:$L$112,A42&amp;" / "&amp;B42,'2023'!$I$24:$I$112,A42)+COUNTIFS('2024'!$L$24:$L$112,A42&amp;" / "&amp;B42,'2024'!$I$24:$I$112,A42)+COUNTIFS('2025'!$L$24:$L$112,A42&amp;" / "&amp;B42,'2025'!$I$24:$I$112,A42)</x:f>
        <x:v>3</x:v>
      </x:c>
      <x:c r="E42" s="2" t="n">
        <x:f>COUNTIFS('2015'!$L$24:$L$96,A42&amp;" / "&amp;B42,'2015'!$I$24:$I$96,B42)+COUNTIFS('2016'!$L$24:$L$96,A42&amp;" / "&amp;B42,'2016'!$I$24:$I$96,B42)+COUNTIFS('2017'!$L$24:$L$106,A42&amp;" / "&amp;B42,'2017'!$I$24:$I$106,B42)+COUNTIFS('2018'!$L$24:$L$106,A42&amp;" / "&amp;B42,'2018'!$I$24:$I$106,B42)+COUNTIFS('2019'!$L$24:$L$106,A42&amp;" / "&amp;B42,'2019'!$I$24:$I$106,B42)+COUNTIFS('2020'!$L$24:$L$106,A42&amp;" / "&amp;B42,'2020'!$I$24:$I$106,B42)+COUNTIFS('2021'!$L$24:$L$112,A42&amp;" / "&amp;B42,'2021'!$I$24:$I$112,B42)+COUNTIFS('2022'!$L$24:$L$112,A42&amp;" / "&amp;B42,'2022'!$I$24:$I$112,B42)+COUNTIFS('2023'!$L$24:$L$112,A42&amp;" / "&amp;B42,'2023'!$I$24:$I$112,B42)+COUNTIFS('2024'!$L$24:$L$112,A42&amp;" / "&amp;B42,'2024'!$I$24:$I$112,B42)+COUNTIFS('2025'!$L$24:$L$112,A42&amp;" / "&amp;B42,'2025'!$I$24:$I$112,B42)</x:f>
        <x:v>13</x:v>
      </x:c>
      <x:c r="F42" s="2" t="n">
        <x:f>COUNTIFS('2015'!$L$24:$L$96,A42&amp;" / "&amp;B42,'2015'!$K$24:$K$96,1)+COUNTIFS('2016'!$L$24:$L$96,A42&amp;" / "&amp;B42,'2016'!$K$24:$K$96,1)+COUNTIFS('2017'!$L$24:$L$106,A42&amp;" / "&amp;B42,'2017'!$K$24:$K$106,1)+COUNTIFS('2018'!$L$24:$L$106,A42&amp;" / "&amp;B42,'2018'!$K$24:$K$106,1)+COUNTIFS('2019'!$L$24:$L$106,A42&amp;" / "&amp;B42,'2019'!$K$24:$K$106,1)+COUNTIFS('2020'!$L$24:$L$106,A42&amp;" / "&amp;B42,'2020'!$K$24:$K$106,1)+COUNTIFS('2021'!$L$24:$L$112,A42&amp;" / "&amp;B42,'2021'!$K$24:$K$112,1)+COUNTIFS('2022'!$L$24:$L$112,A42&amp;" / "&amp;B42,'2022'!$K$24:$K$112,1)+COUNTIFS('2023'!$L$24:$L$112,A42&amp;" / "&amp;B42,'2023'!$K$24:$K$112,1)+COUNTIFS('2024'!$L$24:$L$112,A42&amp;" / "&amp;B42,'2024'!$K$24:$K$112,1)+COUNTIFS('2025'!$L$24:$L$112,A42&amp;" / "&amp;B42,'2025'!$K$24:$K$112,1)</x:f>
        <x:v>0</x:v>
      </x:c>
      <x:c r="G42" s="25" t="n">
        <x:f>SUMIFS('2015'!$E$24:$E$96,'2015'!$L$24:$L$96,A42&amp;" / "&amp;B42,'2015'!$C$24:$C$96,A42)+SUMIFS('2015'!$H$24:$H$96,'2015'!$L$24:$L$96,A42&amp;" / "&amp;B42,'2015'!$F$24:$F$96,A42)+SUMIFS('2016'!$E$24:$E$96,'2016'!$L$24:$L$96,A42&amp;" / "&amp;B42,'2016'!$C$24:$C$96,A42)+SUMIFS('2016'!$H$24:$H$96,'2016'!$L$24:$L$96,A42&amp;" / "&amp;B42,'2016'!$F$24:$F$96,A42)+SUMIFS('2017'!$E$24:$E$106,'2017'!$L$24:$L$106,A42&amp;" / "&amp;B42,'2017'!$C$24:$C$106,A42)+SUMIFS('2017'!$H$24:$H$106,'2017'!$L$24:$L$106,A42&amp;" / "&amp;B42,'2017'!$F$24:$F$106,A42)+SUMIFS('2018'!$E$24:$E$106,'2018'!$L$24:$L$106,A42&amp;" / "&amp;B42,'2018'!$C$24:$C$106,A42)+SUMIFS('2018'!$H$24:$H$106,'2018'!$L$24:$L$106,A42&amp;" / "&amp;B42,'2018'!$F$24:$F$106,A42)+SUMIFS('2019'!$E$24:$E$106,'2019'!$L$24:$L$106,A42&amp;" / "&amp;B42,'2019'!$C$24:$C$106,A42)+SUMIFS('2019'!$H$24:$H$106,'2019'!$L$24:$L$106,A42&amp;" / "&amp;B42,'2019'!$F$24:$F$106,A42)+SUMIFS('2020'!$E$24:$E$106,'2020'!$L$24:$L$106,A42&amp;" / "&amp;B42,'2020'!$C$24:$C$106,A42)+SUMIFS('2020'!$H$24:$H$106,'2020'!$L$24:$L$106,A42&amp;" / "&amp;B42,'2020'!$F$24:$F$106,A42)+SUMIFS('2021'!$E$24:$E$112,'2021'!$L$24:$L$112,A42&amp;" / "&amp;B42,'2021'!$C$24:$C$112,A42)+SUMIFS('2021'!$H$24:$H$112,'2021'!$L$24:$L$112,A42&amp;" / "&amp;B42,'2021'!$F$24:$F$112,A42)+SUMIFS('2022'!$E$24:$E$112,'2022'!$L$24:$L$112,A42&amp;" / "&amp;B42,'2022'!$C$24:$C$112,A42)+SUMIFS('2022'!$H$24:$H$112,'2022'!$L$24:$L$112,A42&amp;" / "&amp;B42,'2022'!$F$24:$F$112,A42)+SUMIFS('2023'!$E$24:$E$112,'2023'!$L$24:$L$112,A42&amp;" / "&amp;B42,'2023'!$C$24:$C$112,A42)+SUMIFS('2023'!$H$24:$H$112,'2023'!$L$24:$L$112,A42&amp;" / "&amp;B42,'2023'!$F$24:$F$112,A42)+SUMIFS('2024'!$E$24:$E$112,'2024'!$L$24:$L$112,A42&amp;" / "&amp;B42,'2024'!$C$24:$C$112,A42)+SUMIFS('2024'!$H$24:$H$112,'2024'!$L$24:$L$112,A42&amp;" / "&amp;B42,'2024'!$F$24:$F$112,A42)+SUMIFS('2025'!$E$24:$E$112,'2025'!$L$24:$L$112,A42&amp;" / "&amp;B42,'2025'!$C$24:$C$112,A42)+SUMIFS('2025'!$H$24:$H$112,'2025'!$L$24:$L$112,A42&amp;" / "&amp;B42,'2025'!$F$24:$F$112,A42)</x:f>
        <x:v>1716.75</x:v>
      </x:c>
      <x:c r="H42" s="25" t="n">
        <x:f>SUMIFS('2015'!$E$24:$E$96,'2015'!$L$24:$L$96,A42&amp;" / "&amp;B42,'2015'!$C$24:$C$96,B42)+SUMIFS('2015'!$H$24:$H$96,'2015'!$L$24:$L$96,A42&amp;" / "&amp;B42,'2015'!$F$24:$F$96,B42)+SUMIFS('2016'!$E$24:$E$96,'2016'!$L$24:$L$96,A42&amp;" / "&amp;B42,'2016'!$C$24:$C$96,B42)+SUMIFS('2016'!$H$24:$H$96,'2016'!$L$24:$L$96,A42&amp;" / "&amp;B42,'2016'!$F$24:$F$96,B42)+SUMIFS('2017'!$E$24:$E$106,'2017'!$L$24:$L$106,A42&amp;" / "&amp;B42,'2017'!$C$24:$C$106,B42)+SUMIFS('2017'!$H$24:$H$106,'2017'!$L$24:$L$106,A42&amp;" / "&amp;B42,'2017'!$F$24:$F$106,B42)+SUMIFS('2018'!$E$24:$E$106,'2018'!$L$24:$L$106,A42&amp;" / "&amp;B42,'2018'!$C$24:$C$106,B42)+SUMIFS('2018'!$H$24:$H$106,'2018'!$L$24:$L$106,A42&amp;" / "&amp;B42,'2018'!$F$24:$F$106,B42)+SUMIFS('2019'!$E$24:$E$106,'2019'!$L$24:$L$106,A42&amp;" / "&amp;B42,'2019'!$C$24:$C$106,B42)+SUMIFS('2019'!$H$24:$H$106,'2019'!$L$24:$L$106,A42&amp;" / "&amp;B42,'2019'!$F$24:$F$106,B42)+SUMIFS('2020'!$E$24:$E$106,'2020'!$L$24:$L$106,A42&amp;" / "&amp;B42,'2020'!$C$24:$C$106,B42)+SUMIFS('2020'!$H$24:$H$106,'2020'!$L$24:$L$106,A42&amp;" / "&amp;B42,'2020'!$F$24:$F$106,B42)+SUMIFS('2021'!$E$24:$E$112,'2021'!$L$24:$L$112,A42&amp;" / "&amp;B42,'2021'!$C$24:$C$112,B42)+SUMIFS('2021'!$H$24:$H$112,'2021'!$L$24:$L$112,A42&amp;" / "&amp;B42,'2021'!$F$24:$F$112,B42)+SUMIFS('2022'!$E$24:$E$112,'2022'!$L$24:$L$112,A42&amp;" / "&amp;B42,'2022'!$C$24:$C$112,B42)+SUMIFS('2022'!$H$24:$H$112,'2022'!$L$24:$L$112,A42&amp;" / "&amp;B42,'2022'!$F$24:$F$112,B42)+SUMIFS('2023'!$E$24:$E$112,'2023'!$L$24:$L$112,A42&amp;" / "&amp;B42,'2023'!$C$24:$C$112,B42)+SUMIFS('2023'!$H$24:$H$112,'2023'!$L$24:$L$112,A42&amp;" / "&amp;B42,'2023'!$F$24:$F$112,B42)+SUMIFS('2024'!$E$24:$E$112,'2024'!$L$24:$L$112,A42&amp;" / "&amp;B42,'2024'!$C$24:$C$112,B42)+SUMIFS('2024'!$H$24:$H$112,'2024'!$L$24:$L$112,A42&amp;" / "&amp;B42,'2024'!$F$24:$F$112,B42)+SUMIFS('2025'!$E$24:$E$112,'2025'!$L$24:$L$112,A42&amp;" / "&amp;B42,'2025'!$C$24:$C$112,B42)+SUMIFS('2025'!$H$24:$H$112,'2025'!$L$24:$L$112,A42&amp;" / "&amp;B42,'2025'!$F$24:$F$112,B42)</x:f>
        <x:v>1995.35</x:v>
      </x:c>
      <x:c r="I42" s="11" t="n">
        <x:f>IF(C42=0,0,(D42+0.5*F42)/C42)</x:f>
        <x:v>0.1875</x:v>
      </x:c>
      <x:c r="J42" s="2" t="n">
        <x:f>COUNTIFS('2015'!$L$24:$L$96,A42&amp;" / "&amp;B42,'2015'!$B$24:$B$96,"Regular")+COUNTIFS('2016'!$L$24:$L$96,A42&amp;" / "&amp;B42,'2016'!$B$24:$B$96,"Regular")+COUNTIFS('2017'!$L$24:$L$106,A42&amp;" / "&amp;B42,'2017'!$B$24:$B$106,"Regular")+COUNTIFS('2018'!$L$24:$L$106,A42&amp;" / "&amp;B42,'2018'!$B$24:$B$106,"Regular")+COUNTIFS('2019'!$L$24:$L$106,A42&amp;" / "&amp;B42,'2019'!$B$24:$B$106,"Regular")+COUNTIFS('2020'!$L$24:$L$106,A42&amp;" / "&amp;B42,'2020'!$B$24:$B$106,"Regular")+COUNTIFS('2021'!$L$24:$L$112,A42&amp;" / "&amp;B42,'2021'!$B$24:$B$112,"Regular")+COUNTIFS('2022'!$L$24:$L$112,A42&amp;" / "&amp;B42,'2022'!$B$24:$B$112,"Regular")+COUNTIFS('2023'!$L$24:$L$112,A42&amp;" / "&amp;B42,'2023'!$B$24:$B$112,"Regular")+COUNTIFS('2024'!$L$24:$L$112,A42&amp;" / "&amp;B42,'2024'!$B$24:$B$112,"Regular")+COUNTIFS('2025'!$L$24:$L$112,A42&amp;" / "&amp;B42,'2025'!$B$24:$B$112,"Regular")</x:f>
        <x:v>16</x:v>
      </x:c>
      <x:c r="K42" s="2" t="n">
        <x:f>COUNTIFS('2015'!$L$24:$L$96,A42&amp;" / "&amp;B42,'2015'!$B$24:$B$96,"Playoffs")+COUNTIFS('2016'!$L$24:$L$96,A42&amp;" / "&amp;B42,'2016'!$B$24:$B$96,"Playoffs")+COUNTIFS('2017'!$L$24:$L$106,A42&amp;" / "&amp;B42,'2017'!$B$24:$B$106,"Playoffs")+COUNTIFS('2018'!$L$24:$L$106,A42&amp;" / "&amp;B42,'2018'!$B$24:$B$106,"Playoffs")+COUNTIFS('2019'!$L$24:$L$106,A42&amp;" / "&amp;B42,'2019'!$B$24:$B$106,"Playoffs")+COUNTIFS('2020'!$L$24:$L$106,A42&amp;" / "&amp;B42,'2020'!$B$24:$B$106,"Playoffs")+COUNTIFS('2021'!$L$24:$L$112,A42&amp;" / "&amp;B42,'2021'!$B$24:$B$112,"Playoffs")+COUNTIFS('2022'!$L$24:$L$112,A42&amp;" / "&amp;B42,'2022'!$B$24:$B$112,"Playoffs")+COUNTIFS('2023'!$L$24:$L$112,A42&amp;" / "&amp;B42,'2023'!$B$24:$B$112,"Playoffs")+COUNTIFS('2024'!$L$24:$L$112,A42&amp;" / "&amp;B42,'2024'!$B$24:$B$112,"Playoffs")+COUNTIFS('2025'!$L$24:$L$112,A42&amp;" / "&amp;B42,'2025'!$B$24:$B$112,"Playoffs")</x:f>
        <x:v>0</x:v>
      </x:c>
      <x:c r="L42" s="2" t="n">
        <x:f>COUNTIFS('2015'!$L$24:$L$96,A42&amp;" / "&amp;B42,'2015'!$B$24:$B$96,"Unconfirmed")+COUNTIFS('2016'!$L$24:$L$96,A42&amp;" / "&amp;B42,'2016'!$B$24:$B$96,"Unconfirmed")+COUNTIFS('2017'!$L$24:$L$106,A42&amp;" / "&amp;B42,'2017'!$B$24:$B$106,"Unconfirmed")+COUNTIFS('2018'!$L$24:$L$106,A42&amp;" / "&amp;B42,'2018'!$B$24:$B$106,"Unconfirmed")+COUNTIFS('2019'!$L$24:$L$106,A42&amp;" / "&amp;B42,'2019'!$B$24:$B$106,"Unconfirmed")+COUNTIFS('2020'!$L$24:$L$106,A42&amp;" / "&amp;B42,'2020'!$B$24:$B$106,"Unconfirmed")+COUNTIFS('2021'!$L$24:$L$112,A42&amp;" / "&amp;B42,'2021'!$B$24:$B$112,"Unconfirmed")+COUNTIFS('2022'!$L$24:$L$112,A42&amp;" / "&amp;B42,'2022'!$B$24:$B$112,"Unconfirmed")+COUNTIFS('2023'!$L$24:$L$112,A42&amp;" / "&amp;B42,'2023'!$B$24:$B$112,"Unconfirmed")+COUNTIFS('2024'!$L$24:$L$112,A42&amp;" / "&amp;B42,'2024'!$B$24:$B$112,"Unconfirmed")+COUNTIFS('2025'!$L$24:$L$112,A42&amp;" / "&amp;B42,'2025'!$B$24:$B$112,"Unconfirmed")</x:f>
        <x:v>0</x:v>
      </x:c>
    </x:row>
    <x:row r="43" ht="22" customHeight="1">
      <x:c r="A43" s="2" t="str">
        <x:v>Bruce</x:v>
      </x:c>
      <x:c r="B43" s="2" t="str">
        <x:v>Matt</x:v>
      </x:c>
      <x:c r="C43" s="2" t="n">
        <x:f>COUNTIFS('2015'!$L$24:$L$96,A43&amp;" / "&amp;B43)+COUNTIFS('2016'!$L$24:$L$96,A43&amp;" / "&amp;B43)+COUNTIFS('2017'!$L$24:$L$106,A43&amp;" / "&amp;B43)+COUNTIFS('2018'!$L$24:$L$106,A43&amp;" / "&amp;B43)+COUNTIFS('2019'!$L$24:$L$106,A43&amp;" / "&amp;B43)+COUNTIFS('2020'!$L$24:$L$106,A43&amp;" / "&amp;B43)+COUNTIFS('2021'!$L$24:$L$112,A43&amp;" / "&amp;B43)+COUNTIFS('2022'!$L$24:$L$112,A43&amp;" / "&amp;B43)+COUNTIFS('2023'!$L$24:$L$112,A43&amp;" / "&amp;B43)+COUNTIFS('2024'!$L$24:$L$112,A43&amp;" / "&amp;B43)+COUNTIFS('2025'!$L$24:$L$112,A43&amp;" / "&amp;B43)</x:f>
        <x:v>10</x:v>
      </x:c>
      <x:c r="D43" s="2" t="n">
        <x:f>COUNTIFS('2015'!$L$24:$L$96,A43&amp;" / "&amp;B43,'2015'!$I$24:$I$96,A43)+COUNTIFS('2016'!$L$24:$L$96,A43&amp;" / "&amp;B43,'2016'!$I$24:$I$96,A43)+COUNTIFS('2017'!$L$24:$L$106,A43&amp;" / "&amp;B43,'2017'!$I$24:$I$106,A43)+COUNTIFS('2018'!$L$24:$L$106,A43&amp;" / "&amp;B43,'2018'!$I$24:$I$106,A43)+COUNTIFS('2019'!$L$24:$L$106,A43&amp;" / "&amp;B43,'2019'!$I$24:$I$106,A43)+COUNTIFS('2020'!$L$24:$L$106,A43&amp;" / "&amp;B43,'2020'!$I$24:$I$106,A43)+COUNTIFS('2021'!$L$24:$L$112,A43&amp;" / "&amp;B43,'2021'!$I$24:$I$112,A43)+COUNTIFS('2022'!$L$24:$L$112,A43&amp;" / "&amp;B43,'2022'!$I$24:$I$112,A43)+COUNTIFS('2023'!$L$24:$L$112,A43&amp;" / "&amp;B43,'2023'!$I$24:$I$112,A43)+COUNTIFS('2024'!$L$24:$L$112,A43&amp;" / "&amp;B43,'2024'!$I$24:$I$112,A43)+COUNTIFS('2025'!$L$24:$L$112,A43&amp;" / "&amp;B43,'2025'!$I$24:$I$112,A43)</x:f>
        <x:v>4</x:v>
      </x:c>
      <x:c r="E43" s="2" t="n">
        <x:f>COUNTIFS('2015'!$L$24:$L$96,A43&amp;" / "&amp;B43,'2015'!$I$24:$I$96,B43)+COUNTIFS('2016'!$L$24:$L$96,A43&amp;" / "&amp;B43,'2016'!$I$24:$I$96,B43)+COUNTIFS('2017'!$L$24:$L$106,A43&amp;" / "&amp;B43,'2017'!$I$24:$I$106,B43)+COUNTIFS('2018'!$L$24:$L$106,A43&amp;" / "&amp;B43,'2018'!$I$24:$I$106,B43)+COUNTIFS('2019'!$L$24:$L$106,A43&amp;" / "&amp;B43,'2019'!$I$24:$I$106,B43)+COUNTIFS('2020'!$L$24:$L$106,A43&amp;" / "&amp;B43,'2020'!$I$24:$I$106,B43)+COUNTIFS('2021'!$L$24:$L$112,A43&amp;" / "&amp;B43,'2021'!$I$24:$I$112,B43)+COUNTIFS('2022'!$L$24:$L$112,A43&amp;" / "&amp;B43,'2022'!$I$24:$I$112,B43)+COUNTIFS('2023'!$L$24:$L$112,A43&amp;" / "&amp;B43,'2023'!$I$24:$I$112,B43)+COUNTIFS('2024'!$L$24:$L$112,A43&amp;" / "&amp;B43,'2024'!$I$24:$I$112,B43)+COUNTIFS('2025'!$L$24:$L$112,A43&amp;" / "&amp;B43,'2025'!$I$24:$I$112,B43)</x:f>
        <x:v>6</x:v>
      </x:c>
      <x:c r="F43" s="2" t="n">
        <x:f>COUNTIFS('2015'!$L$24:$L$96,A43&amp;" / "&amp;B43,'2015'!$K$24:$K$96,1)+COUNTIFS('2016'!$L$24:$L$96,A43&amp;" / "&amp;B43,'2016'!$K$24:$K$96,1)+COUNTIFS('2017'!$L$24:$L$106,A43&amp;" / "&amp;B43,'2017'!$K$24:$K$106,1)+COUNTIFS('2018'!$L$24:$L$106,A43&amp;" / "&amp;B43,'2018'!$K$24:$K$106,1)+COUNTIFS('2019'!$L$24:$L$106,A43&amp;" / "&amp;B43,'2019'!$K$24:$K$106,1)+COUNTIFS('2020'!$L$24:$L$106,A43&amp;" / "&amp;B43,'2020'!$K$24:$K$106,1)+COUNTIFS('2021'!$L$24:$L$112,A43&amp;" / "&amp;B43,'2021'!$K$24:$K$112,1)+COUNTIFS('2022'!$L$24:$L$112,A43&amp;" / "&amp;B43,'2022'!$K$24:$K$112,1)+COUNTIFS('2023'!$L$24:$L$112,A43&amp;" / "&amp;B43,'2023'!$K$24:$K$112,1)+COUNTIFS('2024'!$L$24:$L$112,A43&amp;" / "&amp;B43,'2024'!$K$24:$K$112,1)+COUNTIFS('2025'!$L$24:$L$112,A43&amp;" / "&amp;B43,'2025'!$K$24:$K$112,1)</x:f>
        <x:v>0</x:v>
      </x:c>
      <x:c r="G43" s="25" t="n">
        <x:f>SUMIFS('2015'!$E$24:$E$96,'2015'!$L$24:$L$96,A43&amp;" / "&amp;B43,'2015'!$C$24:$C$96,A43)+SUMIFS('2015'!$H$24:$H$96,'2015'!$L$24:$L$96,A43&amp;" / "&amp;B43,'2015'!$F$24:$F$96,A43)+SUMIFS('2016'!$E$24:$E$96,'2016'!$L$24:$L$96,A43&amp;" / "&amp;B43,'2016'!$C$24:$C$96,A43)+SUMIFS('2016'!$H$24:$H$96,'2016'!$L$24:$L$96,A43&amp;" / "&amp;B43,'2016'!$F$24:$F$96,A43)+SUMIFS('2017'!$E$24:$E$106,'2017'!$L$24:$L$106,A43&amp;" / "&amp;B43,'2017'!$C$24:$C$106,A43)+SUMIFS('2017'!$H$24:$H$106,'2017'!$L$24:$L$106,A43&amp;" / "&amp;B43,'2017'!$F$24:$F$106,A43)+SUMIFS('2018'!$E$24:$E$106,'2018'!$L$24:$L$106,A43&amp;" / "&amp;B43,'2018'!$C$24:$C$106,A43)+SUMIFS('2018'!$H$24:$H$106,'2018'!$L$24:$L$106,A43&amp;" / "&amp;B43,'2018'!$F$24:$F$106,A43)+SUMIFS('2019'!$E$24:$E$106,'2019'!$L$24:$L$106,A43&amp;" / "&amp;B43,'2019'!$C$24:$C$106,A43)+SUMIFS('2019'!$H$24:$H$106,'2019'!$L$24:$L$106,A43&amp;" / "&amp;B43,'2019'!$F$24:$F$106,A43)+SUMIFS('2020'!$E$24:$E$106,'2020'!$L$24:$L$106,A43&amp;" / "&amp;B43,'2020'!$C$24:$C$106,A43)+SUMIFS('2020'!$H$24:$H$106,'2020'!$L$24:$L$106,A43&amp;" / "&amp;B43,'2020'!$F$24:$F$106,A43)+SUMIFS('2021'!$E$24:$E$112,'2021'!$L$24:$L$112,A43&amp;" / "&amp;B43,'2021'!$C$24:$C$112,A43)+SUMIFS('2021'!$H$24:$H$112,'2021'!$L$24:$L$112,A43&amp;" / "&amp;B43,'2021'!$F$24:$F$112,A43)+SUMIFS('2022'!$E$24:$E$112,'2022'!$L$24:$L$112,A43&amp;" / "&amp;B43,'2022'!$C$24:$C$112,A43)+SUMIFS('2022'!$H$24:$H$112,'2022'!$L$24:$L$112,A43&amp;" / "&amp;B43,'2022'!$F$24:$F$112,A43)+SUMIFS('2023'!$E$24:$E$112,'2023'!$L$24:$L$112,A43&amp;" / "&amp;B43,'2023'!$C$24:$C$112,A43)+SUMIFS('2023'!$H$24:$H$112,'2023'!$L$24:$L$112,A43&amp;" / "&amp;B43,'2023'!$F$24:$F$112,A43)+SUMIFS('2024'!$E$24:$E$112,'2024'!$L$24:$L$112,A43&amp;" / "&amp;B43,'2024'!$C$24:$C$112,A43)+SUMIFS('2024'!$H$24:$H$112,'2024'!$L$24:$L$112,A43&amp;" / "&amp;B43,'2024'!$F$24:$F$112,A43)+SUMIFS('2025'!$E$24:$E$112,'2025'!$L$24:$L$112,A43&amp;" / "&amp;B43,'2025'!$C$24:$C$112,A43)+SUMIFS('2025'!$H$24:$H$112,'2025'!$L$24:$L$112,A43&amp;" / "&amp;B43,'2025'!$F$24:$F$112,A43)</x:f>
        <x:v>1134.9499999999998</x:v>
      </x:c>
      <x:c r="H43" s="25" t="n">
        <x:f>SUMIFS('2015'!$E$24:$E$96,'2015'!$L$24:$L$96,A43&amp;" / "&amp;B43,'2015'!$C$24:$C$96,B43)+SUMIFS('2015'!$H$24:$H$96,'2015'!$L$24:$L$96,A43&amp;" / "&amp;B43,'2015'!$F$24:$F$96,B43)+SUMIFS('2016'!$E$24:$E$96,'2016'!$L$24:$L$96,A43&amp;" / "&amp;B43,'2016'!$C$24:$C$96,B43)+SUMIFS('2016'!$H$24:$H$96,'2016'!$L$24:$L$96,A43&amp;" / "&amp;B43,'2016'!$F$24:$F$96,B43)+SUMIFS('2017'!$E$24:$E$106,'2017'!$L$24:$L$106,A43&amp;" / "&amp;B43,'2017'!$C$24:$C$106,B43)+SUMIFS('2017'!$H$24:$H$106,'2017'!$L$24:$L$106,A43&amp;" / "&amp;B43,'2017'!$F$24:$F$106,B43)+SUMIFS('2018'!$E$24:$E$106,'2018'!$L$24:$L$106,A43&amp;" / "&amp;B43,'2018'!$C$24:$C$106,B43)+SUMIFS('2018'!$H$24:$H$106,'2018'!$L$24:$L$106,A43&amp;" / "&amp;B43,'2018'!$F$24:$F$106,B43)+SUMIFS('2019'!$E$24:$E$106,'2019'!$L$24:$L$106,A43&amp;" / "&amp;B43,'2019'!$C$24:$C$106,B43)+SUMIFS('2019'!$H$24:$H$106,'2019'!$L$24:$L$106,A43&amp;" / "&amp;B43,'2019'!$F$24:$F$106,B43)+SUMIFS('2020'!$E$24:$E$106,'2020'!$L$24:$L$106,A43&amp;" / "&amp;B43,'2020'!$C$24:$C$106,B43)+SUMIFS('2020'!$H$24:$H$106,'2020'!$L$24:$L$106,A43&amp;" / "&amp;B43,'2020'!$F$24:$F$106,B43)+SUMIFS('2021'!$E$24:$E$112,'2021'!$L$24:$L$112,A43&amp;" / "&amp;B43,'2021'!$C$24:$C$112,B43)+SUMIFS('2021'!$H$24:$H$112,'2021'!$L$24:$L$112,A43&amp;" / "&amp;B43,'2021'!$F$24:$F$112,B43)+SUMIFS('2022'!$E$24:$E$112,'2022'!$L$24:$L$112,A43&amp;" / "&amp;B43,'2022'!$C$24:$C$112,B43)+SUMIFS('2022'!$H$24:$H$112,'2022'!$L$24:$L$112,A43&amp;" / "&amp;B43,'2022'!$F$24:$F$112,B43)+SUMIFS('2023'!$E$24:$E$112,'2023'!$L$24:$L$112,A43&amp;" / "&amp;B43,'2023'!$C$24:$C$112,B43)+SUMIFS('2023'!$H$24:$H$112,'2023'!$L$24:$L$112,A43&amp;" / "&amp;B43,'2023'!$F$24:$F$112,B43)+SUMIFS('2024'!$E$24:$E$112,'2024'!$L$24:$L$112,A43&amp;" / "&amp;B43,'2024'!$C$24:$C$112,B43)+SUMIFS('2024'!$H$24:$H$112,'2024'!$L$24:$L$112,A43&amp;" / "&amp;B43,'2024'!$F$24:$F$112,B43)+SUMIFS('2025'!$E$24:$E$112,'2025'!$L$24:$L$112,A43&amp;" / "&amp;B43,'2025'!$C$24:$C$112,B43)+SUMIFS('2025'!$H$24:$H$112,'2025'!$L$24:$L$112,A43&amp;" / "&amp;B43,'2025'!$F$24:$F$112,B43)</x:f>
        <x:v>1166.6</x:v>
      </x:c>
      <x:c r="I43" s="11" t="n">
        <x:f>IF(C43=0,0,(D43+0.5*F43)/C43)</x:f>
        <x:v>0.4</x:v>
      </x:c>
      <x:c r="J43" s="2" t="n">
        <x:f>COUNTIFS('2015'!$L$24:$L$96,A43&amp;" / "&amp;B43,'2015'!$B$24:$B$96,"Regular")+COUNTIFS('2016'!$L$24:$L$96,A43&amp;" / "&amp;B43,'2016'!$B$24:$B$96,"Regular")+COUNTIFS('2017'!$L$24:$L$106,A43&amp;" / "&amp;B43,'2017'!$B$24:$B$106,"Regular")+COUNTIFS('2018'!$L$24:$L$106,A43&amp;" / "&amp;B43,'2018'!$B$24:$B$106,"Regular")+COUNTIFS('2019'!$L$24:$L$106,A43&amp;" / "&amp;B43,'2019'!$B$24:$B$106,"Regular")+COUNTIFS('2020'!$L$24:$L$106,A43&amp;" / "&amp;B43,'2020'!$B$24:$B$106,"Regular")+COUNTIFS('2021'!$L$24:$L$112,A43&amp;" / "&amp;B43,'2021'!$B$24:$B$112,"Regular")+COUNTIFS('2022'!$L$24:$L$112,A43&amp;" / "&amp;B43,'2022'!$B$24:$B$112,"Regular")+COUNTIFS('2023'!$L$24:$L$112,A43&amp;" / "&amp;B43,'2023'!$B$24:$B$112,"Regular")+COUNTIFS('2024'!$L$24:$L$112,A43&amp;" / "&amp;B43,'2024'!$B$24:$B$112,"Regular")+COUNTIFS('2025'!$L$24:$L$112,A43&amp;" / "&amp;B43,'2025'!$B$24:$B$112,"Regular")</x:f>
        <x:v>10</x:v>
      </x:c>
      <x:c r="K43" s="2" t="n">
        <x:f>COUNTIFS('2015'!$L$24:$L$96,A43&amp;" / "&amp;B43,'2015'!$B$24:$B$96,"Playoffs")+COUNTIFS('2016'!$L$24:$L$96,A43&amp;" / "&amp;B43,'2016'!$B$24:$B$96,"Playoffs")+COUNTIFS('2017'!$L$24:$L$106,A43&amp;" / "&amp;B43,'2017'!$B$24:$B$106,"Playoffs")+COUNTIFS('2018'!$L$24:$L$106,A43&amp;" / "&amp;B43,'2018'!$B$24:$B$106,"Playoffs")+COUNTIFS('2019'!$L$24:$L$106,A43&amp;" / "&amp;B43,'2019'!$B$24:$B$106,"Playoffs")+COUNTIFS('2020'!$L$24:$L$106,A43&amp;" / "&amp;B43,'2020'!$B$24:$B$106,"Playoffs")+COUNTIFS('2021'!$L$24:$L$112,A43&amp;" / "&amp;B43,'2021'!$B$24:$B$112,"Playoffs")+COUNTIFS('2022'!$L$24:$L$112,A43&amp;" / "&amp;B43,'2022'!$B$24:$B$112,"Playoffs")+COUNTIFS('2023'!$L$24:$L$112,A43&amp;" / "&amp;B43,'2023'!$B$24:$B$112,"Playoffs")+COUNTIFS('2024'!$L$24:$L$112,A43&amp;" / "&amp;B43,'2024'!$B$24:$B$112,"Playoffs")+COUNTIFS('2025'!$L$24:$L$112,A43&amp;" / "&amp;B43,'2025'!$B$24:$B$112,"Playoffs")</x:f>
        <x:v>0</x:v>
      </x:c>
      <x:c r="L43" s="2" t="n">
        <x:f>COUNTIFS('2015'!$L$24:$L$96,A43&amp;" / "&amp;B43,'2015'!$B$24:$B$96,"Unconfirmed")+COUNTIFS('2016'!$L$24:$L$96,A43&amp;" / "&amp;B43,'2016'!$B$24:$B$96,"Unconfirmed")+COUNTIFS('2017'!$L$24:$L$106,A43&amp;" / "&amp;B43,'2017'!$B$24:$B$106,"Unconfirmed")+COUNTIFS('2018'!$L$24:$L$106,A43&amp;" / "&amp;B43,'2018'!$B$24:$B$106,"Unconfirmed")+COUNTIFS('2019'!$L$24:$L$106,A43&amp;" / "&amp;B43,'2019'!$B$24:$B$106,"Unconfirmed")+COUNTIFS('2020'!$L$24:$L$106,A43&amp;" / "&amp;B43,'2020'!$B$24:$B$106,"Unconfirmed")+COUNTIFS('2021'!$L$24:$L$112,A43&amp;" / "&amp;B43,'2021'!$B$24:$B$112,"Unconfirmed")+COUNTIFS('2022'!$L$24:$L$112,A43&amp;" / "&amp;B43,'2022'!$B$24:$B$112,"Unconfirmed")+COUNTIFS('2023'!$L$24:$L$112,A43&amp;" / "&amp;B43,'2023'!$B$24:$B$112,"Unconfirmed")+COUNTIFS('2024'!$L$24:$L$112,A43&amp;" / "&amp;B43,'2024'!$B$24:$B$112,"Unconfirmed")+COUNTIFS('2025'!$L$24:$L$112,A43&amp;" / "&amp;B43,'2025'!$B$24:$B$112,"Unconfirmed")</x:f>
        <x:v>0</x:v>
      </x:c>
    </x:row>
    <x:row r="44" ht="22" customHeight="1">
      <x:c r="A44" s="2" t="str">
        <x:v>Bruce</x:v>
      </x:c>
      <x:c r="B44" s="2" t="str">
        <x:v>Michael</x:v>
      </x:c>
      <x:c r="C44" s="2" t="n">
        <x:f>COUNTIFS('2015'!$L$24:$L$96,A44&amp;" / "&amp;B44)+COUNTIFS('2016'!$L$24:$L$96,A44&amp;" / "&amp;B44)+COUNTIFS('2017'!$L$24:$L$106,A44&amp;" / "&amp;B44)+COUNTIFS('2018'!$L$24:$L$106,A44&amp;" / "&amp;B44)+COUNTIFS('2019'!$L$24:$L$106,A44&amp;" / "&amp;B44)+COUNTIFS('2020'!$L$24:$L$106,A44&amp;" / "&amp;B44)+COUNTIFS('2021'!$L$24:$L$112,A44&amp;" / "&amp;B44)+COUNTIFS('2022'!$L$24:$L$112,A44&amp;" / "&amp;B44)+COUNTIFS('2023'!$L$24:$L$112,A44&amp;" / "&amp;B44)+COUNTIFS('2024'!$L$24:$L$112,A44&amp;" / "&amp;B44)+COUNTIFS('2025'!$L$24:$L$112,A44&amp;" / "&amp;B44)</x:f>
        <x:v>4</x:v>
      </x:c>
      <x:c r="D44" s="2" t="n">
        <x:f>COUNTIFS('2015'!$L$24:$L$96,A44&amp;" / "&amp;B44,'2015'!$I$24:$I$96,A44)+COUNTIFS('2016'!$L$24:$L$96,A44&amp;" / "&amp;B44,'2016'!$I$24:$I$96,A44)+COUNTIFS('2017'!$L$24:$L$106,A44&amp;" / "&amp;B44,'2017'!$I$24:$I$106,A44)+COUNTIFS('2018'!$L$24:$L$106,A44&amp;" / "&amp;B44,'2018'!$I$24:$I$106,A44)+COUNTIFS('2019'!$L$24:$L$106,A44&amp;" / "&amp;B44,'2019'!$I$24:$I$106,A44)+COUNTIFS('2020'!$L$24:$L$106,A44&amp;" / "&amp;B44,'2020'!$I$24:$I$106,A44)+COUNTIFS('2021'!$L$24:$L$112,A44&amp;" / "&amp;B44,'2021'!$I$24:$I$112,A44)+COUNTIFS('2022'!$L$24:$L$112,A44&amp;" / "&amp;B44,'2022'!$I$24:$I$112,A44)+COUNTIFS('2023'!$L$24:$L$112,A44&amp;" / "&amp;B44,'2023'!$I$24:$I$112,A44)+COUNTIFS('2024'!$L$24:$L$112,A44&amp;" / "&amp;B44,'2024'!$I$24:$I$112,A44)+COUNTIFS('2025'!$L$24:$L$112,A44&amp;" / "&amp;B44,'2025'!$I$24:$I$112,A44)</x:f>
        <x:v>1</x:v>
      </x:c>
      <x:c r="E44" s="2" t="n">
        <x:f>COUNTIFS('2015'!$L$24:$L$96,A44&amp;" / "&amp;B44,'2015'!$I$24:$I$96,B44)+COUNTIFS('2016'!$L$24:$L$96,A44&amp;" / "&amp;B44,'2016'!$I$24:$I$96,B44)+COUNTIFS('2017'!$L$24:$L$106,A44&amp;" / "&amp;B44,'2017'!$I$24:$I$106,B44)+COUNTIFS('2018'!$L$24:$L$106,A44&amp;" / "&amp;B44,'2018'!$I$24:$I$106,B44)+COUNTIFS('2019'!$L$24:$L$106,A44&amp;" / "&amp;B44,'2019'!$I$24:$I$106,B44)+COUNTIFS('2020'!$L$24:$L$106,A44&amp;" / "&amp;B44,'2020'!$I$24:$I$106,B44)+COUNTIFS('2021'!$L$24:$L$112,A44&amp;" / "&amp;B44,'2021'!$I$24:$I$112,B44)+COUNTIFS('2022'!$L$24:$L$112,A44&amp;" / "&amp;B44,'2022'!$I$24:$I$112,B44)+COUNTIFS('2023'!$L$24:$L$112,A44&amp;" / "&amp;B44,'2023'!$I$24:$I$112,B44)+COUNTIFS('2024'!$L$24:$L$112,A44&amp;" / "&amp;B44,'2024'!$I$24:$I$112,B44)+COUNTIFS('2025'!$L$24:$L$112,A44&amp;" / "&amp;B44,'2025'!$I$24:$I$112,B44)</x:f>
        <x:v>3</x:v>
      </x:c>
      <x:c r="F44" s="2" t="n">
        <x:f>COUNTIFS('2015'!$L$24:$L$96,A44&amp;" / "&amp;B44,'2015'!$K$24:$K$96,1)+COUNTIFS('2016'!$L$24:$L$96,A44&amp;" / "&amp;B44,'2016'!$K$24:$K$96,1)+COUNTIFS('2017'!$L$24:$L$106,A44&amp;" / "&amp;B44,'2017'!$K$24:$K$106,1)+COUNTIFS('2018'!$L$24:$L$106,A44&amp;" / "&amp;B44,'2018'!$K$24:$K$106,1)+COUNTIFS('2019'!$L$24:$L$106,A44&amp;" / "&amp;B44,'2019'!$K$24:$K$106,1)+COUNTIFS('2020'!$L$24:$L$106,A44&amp;" / "&amp;B44,'2020'!$K$24:$K$106,1)+COUNTIFS('2021'!$L$24:$L$112,A44&amp;" / "&amp;B44,'2021'!$K$24:$K$112,1)+COUNTIFS('2022'!$L$24:$L$112,A44&amp;" / "&amp;B44,'2022'!$K$24:$K$112,1)+COUNTIFS('2023'!$L$24:$L$112,A44&amp;" / "&amp;B44,'2023'!$K$24:$K$112,1)+COUNTIFS('2024'!$L$24:$L$112,A44&amp;" / "&amp;B44,'2024'!$K$24:$K$112,1)+COUNTIFS('2025'!$L$24:$L$112,A44&amp;" / "&amp;B44,'2025'!$K$24:$K$112,1)</x:f>
        <x:v>0</x:v>
      </x:c>
      <x:c r="G44" s="25" t="n">
        <x:f>SUMIFS('2015'!$E$24:$E$96,'2015'!$L$24:$L$96,A44&amp;" / "&amp;B44,'2015'!$C$24:$C$96,A44)+SUMIFS('2015'!$H$24:$H$96,'2015'!$L$24:$L$96,A44&amp;" / "&amp;B44,'2015'!$F$24:$F$96,A44)+SUMIFS('2016'!$E$24:$E$96,'2016'!$L$24:$L$96,A44&amp;" / "&amp;B44,'2016'!$C$24:$C$96,A44)+SUMIFS('2016'!$H$24:$H$96,'2016'!$L$24:$L$96,A44&amp;" / "&amp;B44,'2016'!$F$24:$F$96,A44)+SUMIFS('2017'!$E$24:$E$106,'2017'!$L$24:$L$106,A44&amp;" / "&amp;B44,'2017'!$C$24:$C$106,A44)+SUMIFS('2017'!$H$24:$H$106,'2017'!$L$24:$L$106,A44&amp;" / "&amp;B44,'2017'!$F$24:$F$106,A44)+SUMIFS('2018'!$E$24:$E$106,'2018'!$L$24:$L$106,A44&amp;" / "&amp;B44,'2018'!$C$24:$C$106,A44)+SUMIFS('2018'!$H$24:$H$106,'2018'!$L$24:$L$106,A44&amp;" / "&amp;B44,'2018'!$F$24:$F$106,A44)+SUMIFS('2019'!$E$24:$E$106,'2019'!$L$24:$L$106,A44&amp;" / "&amp;B44,'2019'!$C$24:$C$106,A44)+SUMIFS('2019'!$H$24:$H$106,'2019'!$L$24:$L$106,A44&amp;" / "&amp;B44,'2019'!$F$24:$F$106,A44)+SUMIFS('2020'!$E$24:$E$106,'2020'!$L$24:$L$106,A44&amp;" / "&amp;B44,'2020'!$C$24:$C$106,A44)+SUMIFS('2020'!$H$24:$H$106,'2020'!$L$24:$L$106,A44&amp;" / "&amp;B44,'2020'!$F$24:$F$106,A44)+SUMIFS('2021'!$E$24:$E$112,'2021'!$L$24:$L$112,A44&amp;" / "&amp;B44,'2021'!$C$24:$C$112,A44)+SUMIFS('2021'!$H$24:$H$112,'2021'!$L$24:$L$112,A44&amp;" / "&amp;B44,'2021'!$F$24:$F$112,A44)+SUMIFS('2022'!$E$24:$E$112,'2022'!$L$24:$L$112,A44&amp;" / "&amp;B44,'2022'!$C$24:$C$112,A44)+SUMIFS('2022'!$H$24:$H$112,'2022'!$L$24:$L$112,A44&amp;" / "&amp;B44,'2022'!$F$24:$F$112,A44)+SUMIFS('2023'!$E$24:$E$112,'2023'!$L$24:$L$112,A44&amp;" / "&amp;B44,'2023'!$C$24:$C$112,A44)+SUMIFS('2023'!$H$24:$H$112,'2023'!$L$24:$L$112,A44&amp;" / "&amp;B44,'2023'!$F$24:$F$112,A44)+SUMIFS('2024'!$E$24:$E$112,'2024'!$L$24:$L$112,A44&amp;" / "&amp;B44,'2024'!$C$24:$C$112,A44)+SUMIFS('2024'!$H$24:$H$112,'2024'!$L$24:$L$112,A44&amp;" / "&amp;B44,'2024'!$F$24:$F$112,A44)+SUMIFS('2025'!$E$24:$E$112,'2025'!$L$24:$L$112,A44&amp;" / "&amp;B44,'2025'!$C$24:$C$112,A44)+SUMIFS('2025'!$H$24:$H$112,'2025'!$L$24:$L$112,A44&amp;" / "&amp;B44,'2025'!$F$24:$F$112,A44)</x:f>
        <x:v>532.7</x:v>
      </x:c>
      <x:c r="H44" s="25" t="n">
        <x:f>SUMIFS('2015'!$E$24:$E$96,'2015'!$L$24:$L$96,A44&amp;" / "&amp;B44,'2015'!$C$24:$C$96,B44)+SUMIFS('2015'!$H$24:$H$96,'2015'!$L$24:$L$96,A44&amp;" / "&amp;B44,'2015'!$F$24:$F$96,B44)+SUMIFS('2016'!$E$24:$E$96,'2016'!$L$24:$L$96,A44&amp;" / "&amp;B44,'2016'!$C$24:$C$96,B44)+SUMIFS('2016'!$H$24:$H$96,'2016'!$L$24:$L$96,A44&amp;" / "&amp;B44,'2016'!$F$24:$F$96,B44)+SUMIFS('2017'!$E$24:$E$106,'2017'!$L$24:$L$106,A44&amp;" / "&amp;B44,'2017'!$C$24:$C$106,B44)+SUMIFS('2017'!$H$24:$H$106,'2017'!$L$24:$L$106,A44&amp;" / "&amp;B44,'2017'!$F$24:$F$106,B44)+SUMIFS('2018'!$E$24:$E$106,'2018'!$L$24:$L$106,A44&amp;" / "&amp;B44,'2018'!$C$24:$C$106,B44)+SUMIFS('2018'!$H$24:$H$106,'2018'!$L$24:$L$106,A44&amp;" / "&amp;B44,'2018'!$F$24:$F$106,B44)+SUMIFS('2019'!$E$24:$E$106,'2019'!$L$24:$L$106,A44&amp;" / "&amp;B44,'2019'!$C$24:$C$106,B44)+SUMIFS('2019'!$H$24:$H$106,'2019'!$L$24:$L$106,A44&amp;" / "&amp;B44,'2019'!$F$24:$F$106,B44)+SUMIFS('2020'!$E$24:$E$106,'2020'!$L$24:$L$106,A44&amp;" / "&amp;B44,'2020'!$C$24:$C$106,B44)+SUMIFS('2020'!$H$24:$H$106,'2020'!$L$24:$L$106,A44&amp;" / "&amp;B44,'2020'!$F$24:$F$106,B44)+SUMIFS('2021'!$E$24:$E$112,'2021'!$L$24:$L$112,A44&amp;" / "&amp;B44,'2021'!$C$24:$C$112,B44)+SUMIFS('2021'!$H$24:$H$112,'2021'!$L$24:$L$112,A44&amp;" / "&amp;B44,'2021'!$F$24:$F$112,B44)+SUMIFS('2022'!$E$24:$E$112,'2022'!$L$24:$L$112,A44&amp;" / "&amp;B44,'2022'!$C$24:$C$112,B44)+SUMIFS('2022'!$H$24:$H$112,'2022'!$L$24:$L$112,A44&amp;" / "&amp;B44,'2022'!$F$24:$F$112,B44)+SUMIFS('2023'!$E$24:$E$112,'2023'!$L$24:$L$112,A44&amp;" / "&amp;B44,'2023'!$C$24:$C$112,B44)+SUMIFS('2023'!$H$24:$H$112,'2023'!$L$24:$L$112,A44&amp;" / "&amp;B44,'2023'!$F$24:$F$112,B44)+SUMIFS('2024'!$E$24:$E$112,'2024'!$L$24:$L$112,A44&amp;" / "&amp;B44,'2024'!$C$24:$C$112,B44)+SUMIFS('2024'!$H$24:$H$112,'2024'!$L$24:$L$112,A44&amp;" / "&amp;B44,'2024'!$F$24:$F$112,B44)+SUMIFS('2025'!$E$24:$E$112,'2025'!$L$24:$L$112,A44&amp;" / "&amp;B44,'2025'!$C$24:$C$112,B44)+SUMIFS('2025'!$H$24:$H$112,'2025'!$L$24:$L$112,A44&amp;" / "&amp;B44,'2025'!$F$24:$F$112,B44)</x:f>
        <x:v>538.95</x:v>
      </x:c>
      <x:c r="I44" s="11" t="n">
        <x:f>IF(C44=0,0,(D44+0.5*F44)/C44)</x:f>
        <x:v>0.25</x:v>
      </x:c>
      <x:c r="J44" s="2" t="n">
        <x:f>COUNTIFS('2015'!$L$24:$L$96,A44&amp;" / "&amp;B44,'2015'!$B$24:$B$96,"Regular")+COUNTIFS('2016'!$L$24:$L$96,A44&amp;" / "&amp;B44,'2016'!$B$24:$B$96,"Regular")+COUNTIFS('2017'!$L$24:$L$106,A44&amp;" / "&amp;B44,'2017'!$B$24:$B$106,"Regular")+COUNTIFS('2018'!$L$24:$L$106,A44&amp;" / "&amp;B44,'2018'!$B$24:$B$106,"Regular")+COUNTIFS('2019'!$L$24:$L$106,A44&amp;" / "&amp;B44,'2019'!$B$24:$B$106,"Regular")+COUNTIFS('2020'!$L$24:$L$106,A44&amp;" / "&amp;B44,'2020'!$B$24:$B$106,"Regular")+COUNTIFS('2021'!$L$24:$L$112,A44&amp;" / "&amp;B44,'2021'!$B$24:$B$112,"Regular")+COUNTIFS('2022'!$L$24:$L$112,A44&amp;" / "&amp;B44,'2022'!$B$24:$B$112,"Regular")+COUNTIFS('2023'!$L$24:$L$112,A44&amp;" / "&amp;B44,'2023'!$B$24:$B$112,"Regular")+COUNTIFS('2024'!$L$24:$L$112,A44&amp;" / "&amp;B44,'2024'!$B$24:$B$112,"Regular")+COUNTIFS('2025'!$L$24:$L$112,A44&amp;" / "&amp;B44,'2025'!$B$24:$B$112,"Regular")</x:f>
        <x:v>4</x:v>
      </x:c>
      <x:c r="K44" s="2" t="n">
        <x:f>COUNTIFS('2015'!$L$24:$L$96,A44&amp;" / "&amp;B44,'2015'!$B$24:$B$96,"Playoffs")+COUNTIFS('2016'!$L$24:$L$96,A44&amp;" / "&amp;B44,'2016'!$B$24:$B$96,"Playoffs")+COUNTIFS('2017'!$L$24:$L$106,A44&amp;" / "&amp;B44,'2017'!$B$24:$B$106,"Playoffs")+COUNTIFS('2018'!$L$24:$L$106,A44&amp;" / "&amp;B44,'2018'!$B$24:$B$106,"Playoffs")+COUNTIFS('2019'!$L$24:$L$106,A44&amp;" / "&amp;B44,'2019'!$B$24:$B$106,"Playoffs")+COUNTIFS('2020'!$L$24:$L$106,A44&amp;" / "&amp;B44,'2020'!$B$24:$B$106,"Playoffs")+COUNTIFS('2021'!$L$24:$L$112,A44&amp;" / "&amp;B44,'2021'!$B$24:$B$112,"Playoffs")+COUNTIFS('2022'!$L$24:$L$112,A44&amp;" / "&amp;B44,'2022'!$B$24:$B$112,"Playoffs")+COUNTIFS('2023'!$L$24:$L$112,A44&amp;" / "&amp;B44,'2023'!$B$24:$B$112,"Playoffs")+COUNTIFS('2024'!$L$24:$L$112,A44&amp;" / "&amp;B44,'2024'!$B$24:$B$112,"Playoffs")+COUNTIFS('2025'!$L$24:$L$112,A44&amp;" / "&amp;B44,'2025'!$B$24:$B$112,"Playoffs")</x:f>
        <x:v>0</x:v>
      </x:c>
      <x:c r="L44" s="2" t="n">
        <x:f>COUNTIFS('2015'!$L$24:$L$96,A44&amp;" / "&amp;B44,'2015'!$B$24:$B$96,"Unconfirmed")+COUNTIFS('2016'!$L$24:$L$96,A44&amp;" / "&amp;B44,'2016'!$B$24:$B$96,"Unconfirmed")+COUNTIFS('2017'!$L$24:$L$106,A44&amp;" / "&amp;B44,'2017'!$B$24:$B$106,"Unconfirmed")+COUNTIFS('2018'!$L$24:$L$106,A44&amp;" / "&amp;B44,'2018'!$B$24:$B$106,"Unconfirmed")+COUNTIFS('2019'!$L$24:$L$106,A44&amp;" / "&amp;B44,'2019'!$B$24:$B$106,"Unconfirmed")+COUNTIFS('2020'!$L$24:$L$106,A44&amp;" / "&amp;B44,'2020'!$B$24:$B$106,"Unconfirmed")+COUNTIFS('2021'!$L$24:$L$112,A44&amp;" / "&amp;B44,'2021'!$B$24:$B$112,"Unconfirmed")+COUNTIFS('2022'!$L$24:$L$112,A44&amp;" / "&amp;B44,'2022'!$B$24:$B$112,"Unconfirmed")+COUNTIFS('2023'!$L$24:$L$112,A44&amp;" / "&amp;B44,'2023'!$B$24:$B$112,"Unconfirmed")+COUNTIFS('2024'!$L$24:$L$112,A44&amp;" / "&amp;B44,'2024'!$B$24:$B$112,"Unconfirmed")+COUNTIFS('2025'!$L$24:$L$112,A44&amp;" / "&amp;B44,'2025'!$B$24:$B$112,"Unconfirmed")</x:f>
        <x:v>0</x:v>
      </x:c>
    </x:row>
    <x:row r="45" ht="22" customHeight="1">
      <x:c r="A45" s="2" t="str">
        <x:v>Bruce</x:v>
      </x:c>
      <x:c r="B45" s="2" t="str">
        <x:v>Mike</x:v>
      </x:c>
      <x:c r="C45" s="2" t="n">
        <x:f>COUNTIFS('2015'!$L$24:$L$96,A45&amp;" / "&amp;B45)+COUNTIFS('2016'!$L$24:$L$96,A45&amp;" / "&amp;B45)+COUNTIFS('2017'!$L$24:$L$106,A45&amp;" / "&amp;B45)+COUNTIFS('2018'!$L$24:$L$106,A45&amp;" / "&amp;B45)+COUNTIFS('2019'!$L$24:$L$106,A45&amp;" / "&amp;B45)+COUNTIFS('2020'!$L$24:$L$106,A45&amp;" / "&amp;B45)+COUNTIFS('2021'!$L$24:$L$112,A45&amp;" / "&amp;B45)+COUNTIFS('2022'!$L$24:$L$112,A45&amp;" / "&amp;B45)+COUNTIFS('2023'!$L$24:$L$112,A45&amp;" / "&amp;B45)+COUNTIFS('2024'!$L$24:$L$112,A45&amp;" / "&amp;B45)+COUNTIFS('2025'!$L$24:$L$112,A45&amp;" / "&amp;B45)</x:f>
        <x:v>11</x:v>
      </x:c>
      <x:c r="D45" s="2" t="n">
        <x:f>COUNTIFS('2015'!$L$24:$L$96,A45&amp;" / "&amp;B45,'2015'!$I$24:$I$96,A45)+COUNTIFS('2016'!$L$24:$L$96,A45&amp;" / "&amp;B45,'2016'!$I$24:$I$96,A45)+COUNTIFS('2017'!$L$24:$L$106,A45&amp;" / "&amp;B45,'2017'!$I$24:$I$106,A45)+COUNTIFS('2018'!$L$24:$L$106,A45&amp;" / "&amp;B45,'2018'!$I$24:$I$106,A45)+COUNTIFS('2019'!$L$24:$L$106,A45&amp;" / "&amp;B45,'2019'!$I$24:$I$106,A45)+COUNTIFS('2020'!$L$24:$L$106,A45&amp;" / "&amp;B45,'2020'!$I$24:$I$106,A45)+COUNTIFS('2021'!$L$24:$L$112,A45&amp;" / "&amp;B45,'2021'!$I$24:$I$112,A45)+COUNTIFS('2022'!$L$24:$L$112,A45&amp;" / "&amp;B45,'2022'!$I$24:$I$112,A45)+COUNTIFS('2023'!$L$24:$L$112,A45&amp;" / "&amp;B45,'2023'!$I$24:$I$112,A45)+COUNTIFS('2024'!$L$24:$L$112,A45&amp;" / "&amp;B45,'2024'!$I$24:$I$112,A45)+COUNTIFS('2025'!$L$24:$L$112,A45&amp;" / "&amp;B45,'2025'!$I$24:$I$112,A45)</x:f>
        <x:v>7</x:v>
      </x:c>
      <x:c r="E45" s="2" t="n">
        <x:f>COUNTIFS('2015'!$L$24:$L$96,A45&amp;" / "&amp;B45,'2015'!$I$24:$I$96,B45)+COUNTIFS('2016'!$L$24:$L$96,A45&amp;" / "&amp;B45,'2016'!$I$24:$I$96,B45)+COUNTIFS('2017'!$L$24:$L$106,A45&amp;" / "&amp;B45,'2017'!$I$24:$I$106,B45)+COUNTIFS('2018'!$L$24:$L$106,A45&amp;" / "&amp;B45,'2018'!$I$24:$I$106,B45)+COUNTIFS('2019'!$L$24:$L$106,A45&amp;" / "&amp;B45,'2019'!$I$24:$I$106,B45)+COUNTIFS('2020'!$L$24:$L$106,A45&amp;" / "&amp;B45,'2020'!$I$24:$I$106,B45)+COUNTIFS('2021'!$L$24:$L$112,A45&amp;" / "&amp;B45,'2021'!$I$24:$I$112,B45)+COUNTIFS('2022'!$L$24:$L$112,A45&amp;" / "&amp;B45,'2022'!$I$24:$I$112,B45)+COUNTIFS('2023'!$L$24:$L$112,A45&amp;" / "&amp;B45,'2023'!$I$24:$I$112,B45)+COUNTIFS('2024'!$L$24:$L$112,A45&amp;" / "&amp;B45,'2024'!$I$24:$I$112,B45)+COUNTIFS('2025'!$L$24:$L$112,A45&amp;" / "&amp;B45,'2025'!$I$24:$I$112,B45)</x:f>
        <x:v>4</x:v>
      </x:c>
      <x:c r="F45" s="2" t="n">
        <x:f>COUNTIFS('2015'!$L$24:$L$96,A45&amp;" / "&amp;B45,'2015'!$K$24:$K$96,1)+COUNTIFS('2016'!$L$24:$L$96,A45&amp;" / "&amp;B45,'2016'!$K$24:$K$96,1)+COUNTIFS('2017'!$L$24:$L$106,A45&amp;" / "&amp;B45,'2017'!$K$24:$K$106,1)+COUNTIFS('2018'!$L$24:$L$106,A45&amp;" / "&amp;B45,'2018'!$K$24:$K$106,1)+COUNTIFS('2019'!$L$24:$L$106,A45&amp;" / "&amp;B45,'2019'!$K$24:$K$106,1)+COUNTIFS('2020'!$L$24:$L$106,A45&amp;" / "&amp;B45,'2020'!$K$24:$K$106,1)+COUNTIFS('2021'!$L$24:$L$112,A45&amp;" / "&amp;B45,'2021'!$K$24:$K$112,1)+COUNTIFS('2022'!$L$24:$L$112,A45&amp;" / "&amp;B45,'2022'!$K$24:$K$112,1)+COUNTIFS('2023'!$L$24:$L$112,A45&amp;" / "&amp;B45,'2023'!$K$24:$K$112,1)+COUNTIFS('2024'!$L$24:$L$112,A45&amp;" / "&amp;B45,'2024'!$K$24:$K$112,1)+COUNTIFS('2025'!$L$24:$L$112,A45&amp;" / "&amp;B45,'2025'!$K$24:$K$112,1)</x:f>
        <x:v>0</x:v>
      </x:c>
      <x:c r="G45" s="25" t="n">
        <x:f>SUMIFS('2015'!$E$24:$E$96,'2015'!$L$24:$L$96,A45&amp;" / "&amp;B45,'2015'!$C$24:$C$96,A45)+SUMIFS('2015'!$H$24:$H$96,'2015'!$L$24:$L$96,A45&amp;" / "&amp;B45,'2015'!$F$24:$F$96,A45)+SUMIFS('2016'!$E$24:$E$96,'2016'!$L$24:$L$96,A45&amp;" / "&amp;B45,'2016'!$C$24:$C$96,A45)+SUMIFS('2016'!$H$24:$H$96,'2016'!$L$24:$L$96,A45&amp;" / "&amp;B45,'2016'!$F$24:$F$96,A45)+SUMIFS('2017'!$E$24:$E$106,'2017'!$L$24:$L$106,A45&amp;" / "&amp;B45,'2017'!$C$24:$C$106,A45)+SUMIFS('2017'!$H$24:$H$106,'2017'!$L$24:$L$106,A45&amp;" / "&amp;B45,'2017'!$F$24:$F$106,A45)+SUMIFS('2018'!$E$24:$E$106,'2018'!$L$24:$L$106,A45&amp;" / "&amp;B45,'2018'!$C$24:$C$106,A45)+SUMIFS('2018'!$H$24:$H$106,'2018'!$L$24:$L$106,A45&amp;" / "&amp;B45,'2018'!$F$24:$F$106,A45)+SUMIFS('2019'!$E$24:$E$106,'2019'!$L$24:$L$106,A45&amp;" / "&amp;B45,'2019'!$C$24:$C$106,A45)+SUMIFS('2019'!$H$24:$H$106,'2019'!$L$24:$L$106,A45&amp;" / "&amp;B45,'2019'!$F$24:$F$106,A45)+SUMIFS('2020'!$E$24:$E$106,'2020'!$L$24:$L$106,A45&amp;" / "&amp;B45,'2020'!$C$24:$C$106,A45)+SUMIFS('2020'!$H$24:$H$106,'2020'!$L$24:$L$106,A45&amp;" / "&amp;B45,'2020'!$F$24:$F$106,A45)+SUMIFS('2021'!$E$24:$E$112,'2021'!$L$24:$L$112,A45&amp;" / "&amp;B45,'2021'!$C$24:$C$112,A45)+SUMIFS('2021'!$H$24:$H$112,'2021'!$L$24:$L$112,A45&amp;" / "&amp;B45,'2021'!$F$24:$F$112,A45)+SUMIFS('2022'!$E$24:$E$112,'2022'!$L$24:$L$112,A45&amp;" / "&amp;B45,'2022'!$C$24:$C$112,A45)+SUMIFS('2022'!$H$24:$H$112,'2022'!$L$24:$L$112,A45&amp;" / "&amp;B45,'2022'!$F$24:$F$112,A45)+SUMIFS('2023'!$E$24:$E$112,'2023'!$L$24:$L$112,A45&amp;" / "&amp;B45,'2023'!$C$24:$C$112,A45)+SUMIFS('2023'!$H$24:$H$112,'2023'!$L$24:$L$112,A45&amp;" / "&amp;B45,'2023'!$F$24:$F$112,A45)+SUMIFS('2024'!$E$24:$E$112,'2024'!$L$24:$L$112,A45&amp;" / "&amp;B45,'2024'!$C$24:$C$112,A45)+SUMIFS('2024'!$H$24:$H$112,'2024'!$L$24:$L$112,A45&amp;" / "&amp;B45,'2024'!$F$24:$F$112,A45)+SUMIFS('2025'!$E$24:$E$112,'2025'!$L$24:$L$112,A45&amp;" / "&amp;B45,'2025'!$C$24:$C$112,A45)+SUMIFS('2025'!$H$24:$H$112,'2025'!$L$24:$L$112,A45&amp;" / "&amp;B45,'2025'!$F$24:$F$112,A45)</x:f>
        <x:v>1347.05</x:v>
      </x:c>
      <x:c r="H45" s="25" t="n">
        <x:f>SUMIFS('2015'!$E$24:$E$96,'2015'!$L$24:$L$96,A45&amp;" / "&amp;B45,'2015'!$C$24:$C$96,B45)+SUMIFS('2015'!$H$24:$H$96,'2015'!$L$24:$L$96,A45&amp;" / "&amp;B45,'2015'!$F$24:$F$96,B45)+SUMIFS('2016'!$E$24:$E$96,'2016'!$L$24:$L$96,A45&amp;" / "&amp;B45,'2016'!$C$24:$C$96,B45)+SUMIFS('2016'!$H$24:$H$96,'2016'!$L$24:$L$96,A45&amp;" / "&amp;B45,'2016'!$F$24:$F$96,B45)+SUMIFS('2017'!$E$24:$E$106,'2017'!$L$24:$L$106,A45&amp;" / "&amp;B45,'2017'!$C$24:$C$106,B45)+SUMIFS('2017'!$H$24:$H$106,'2017'!$L$24:$L$106,A45&amp;" / "&amp;B45,'2017'!$F$24:$F$106,B45)+SUMIFS('2018'!$E$24:$E$106,'2018'!$L$24:$L$106,A45&amp;" / "&amp;B45,'2018'!$C$24:$C$106,B45)+SUMIFS('2018'!$H$24:$H$106,'2018'!$L$24:$L$106,A45&amp;" / "&amp;B45,'2018'!$F$24:$F$106,B45)+SUMIFS('2019'!$E$24:$E$106,'2019'!$L$24:$L$106,A45&amp;" / "&amp;B45,'2019'!$C$24:$C$106,B45)+SUMIFS('2019'!$H$24:$H$106,'2019'!$L$24:$L$106,A45&amp;" / "&amp;B45,'2019'!$F$24:$F$106,B45)+SUMIFS('2020'!$E$24:$E$106,'2020'!$L$24:$L$106,A45&amp;" / "&amp;B45,'2020'!$C$24:$C$106,B45)+SUMIFS('2020'!$H$24:$H$106,'2020'!$L$24:$L$106,A45&amp;" / "&amp;B45,'2020'!$F$24:$F$106,B45)+SUMIFS('2021'!$E$24:$E$112,'2021'!$L$24:$L$112,A45&amp;" / "&amp;B45,'2021'!$C$24:$C$112,B45)+SUMIFS('2021'!$H$24:$H$112,'2021'!$L$24:$L$112,A45&amp;" / "&amp;B45,'2021'!$F$24:$F$112,B45)+SUMIFS('2022'!$E$24:$E$112,'2022'!$L$24:$L$112,A45&amp;" / "&amp;B45,'2022'!$C$24:$C$112,B45)+SUMIFS('2022'!$H$24:$H$112,'2022'!$L$24:$L$112,A45&amp;" / "&amp;B45,'2022'!$F$24:$F$112,B45)+SUMIFS('2023'!$E$24:$E$112,'2023'!$L$24:$L$112,A45&amp;" / "&amp;B45,'2023'!$C$24:$C$112,B45)+SUMIFS('2023'!$H$24:$H$112,'2023'!$L$24:$L$112,A45&amp;" / "&amp;B45,'2023'!$F$24:$F$112,B45)+SUMIFS('2024'!$E$24:$E$112,'2024'!$L$24:$L$112,A45&amp;" / "&amp;B45,'2024'!$C$24:$C$112,B45)+SUMIFS('2024'!$H$24:$H$112,'2024'!$L$24:$L$112,A45&amp;" / "&amp;B45,'2024'!$F$24:$F$112,B45)+SUMIFS('2025'!$E$24:$E$112,'2025'!$L$24:$L$112,A45&amp;" / "&amp;B45,'2025'!$C$24:$C$112,B45)+SUMIFS('2025'!$H$24:$H$112,'2025'!$L$24:$L$112,A45&amp;" / "&amp;B45,'2025'!$F$24:$F$112,B45)</x:f>
        <x:v>1295.9499999999998</x:v>
      </x:c>
      <x:c r="I45" s="11" t="n">
        <x:f>IF(C45=0,0,(D45+0.5*F45)/C45)</x:f>
        <x:v>0.6363636363636364</x:v>
      </x:c>
      <x:c r="J45" s="2" t="n">
        <x:f>COUNTIFS('2015'!$L$24:$L$96,A45&amp;" / "&amp;B45,'2015'!$B$24:$B$96,"Regular")+COUNTIFS('2016'!$L$24:$L$96,A45&amp;" / "&amp;B45,'2016'!$B$24:$B$96,"Regular")+COUNTIFS('2017'!$L$24:$L$106,A45&amp;" / "&amp;B45,'2017'!$B$24:$B$106,"Regular")+COUNTIFS('2018'!$L$24:$L$106,A45&amp;" / "&amp;B45,'2018'!$B$24:$B$106,"Regular")+COUNTIFS('2019'!$L$24:$L$106,A45&amp;" / "&amp;B45,'2019'!$B$24:$B$106,"Regular")+COUNTIFS('2020'!$L$24:$L$106,A45&amp;" / "&amp;B45,'2020'!$B$24:$B$106,"Regular")+COUNTIFS('2021'!$L$24:$L$112,A45&amp;" / "&amp;B45,'2021'!$B$24:$B$112,"Regular")+COUNTIFS('2022'!$L$24:$L$112,A45&amp;" / "&amp;B45,'2022'!$B$24:$B$112,"Regular")+COUNTIFS('2023'!$L$24:$L$112,A45&amp;" / "&amp;B45,'2023'!$B$24:$B$112,"Regular")+COUNTIFS('2024'!$L$24:$L$112,A45&amp;" / "&amp;B45,'2024'!$B$24:$B$112,"Regular")+COUNTIFS('2025'!$L$24:$L$112,A45&amp;" / "&amp;B45,'2025'!$B$24:$B$112,"Regular")</x:f>
        <x:v>11</x:v>
      </x:c>
      <x:c r="K45" s="2" t="n">
        <x:f>COUNTIFS('2015'!$L$24:$L$96,A45&amp;" / "&amp;B45,'2015'!$B$24:$B$96,"Playoffs")+COUNTIFS('2016'!$L$24:$L$96,A45&amp;" / "&amp;B45,'2016'!$B$24:$B$96,"Playoffs")+COUNTIFS('2017'!$L$24:$L$106,A45&amp;" / "&amp;B45,'2017'!$B$24:$B$106,"Playoffs")+COUNTIFS('2018'!$L$24:$L$106,A45&amp;" / "&amp;B45,'2018'!$B$24:$B$106,"Playoffs")+COUNTIFS('2019'!$L$24:$L$106,A45&amp;" / "&amp;B45,'2019'!$B$24:$B$106,"Playoffs")+COUNTIFS('2020'!$L$24:$L$106,A45&amp;" / "&amp;B45,'2020'!$B$24:$B$106,"Playoffs")+COUNTIFS('2021'!$L$24:$L$112,A45&amp;" / "&amp;B45,'2021'!$B$24:$B$112,"Playoffs")+COUNTIFS('2022'!$L$24:$L$112,A45&amp;" / "&amp;B45,'2022'!$B$24:$B$112,"Playoffs")+COUNTIFS('2023'!$L$24:$L$112,A45&amp;" / "&amp;B45,'2023'!$B$24:$B$112,"Playoffs")+COUNTIFS('2024'!$L$24:$L$112,A45&amp;" / "&amp;B45,'2024'!$B$24:$B$112,"Playoffs")+COUNTIFS('2025'!$L$24:$L$112,A45&amp;" / "&amp;B45,'2025'!$B$24:$B$112,"Playoffs")</x:f>
        <x:v>0</x:v>
      </x:c>
      <x:c r="L45" s="2" t="n">
        <x:f>COUNTIFS('2015'!$L$24:$L$96,A45&amp;" / "&amp;B45,'2015'!$B$24:$B$96,"Unconfirmed")+COUNTIFS('2016'!$L$24:$L$96,A45&amp;" / "&amp;B45,'2016'!$B$24:$B$96,"Unconfirmed")+COUNTIFS('2017'!$L$24:$L$106,A45&amp;" / "&amp;B45,'2017'!$B$24:$B$106,"Unconfirmed")+COUNTIFS('2018'!$L$24:$L$106,A45&amp;" / "&amp;B45,'2018'!$B$24:$B$106,"Unconfirmed")+COUNTIFS('2019'!$L$24:$L$106,A45&amp;" / "&amp;B45,'2019'!$B$24:$B$106,"Unconfirmed")+COUNTIFS('2020'!$L$24:$L$106,A45&amp;" / "&amp;B45,'2020'!$B$24:$B$106,"Unconfirmed")+COUNTIFS('2021'!$L$24:$L$112,A45&amp;" / "&amp;B45,'2021'!$B$24:$B$112,"Unconfirmed")+COUNTIFS('2022'!$L$24:$L$112,A45&amp;" / "&amp;B45,'2022'!$B$24:$B$112,"Unconfirmed")+COUNTIFS('2023'!$L$24:$L$112,A45&amp;" / "&amp;B45,'2023'!$B$24:$B$112,"Unconfirmed")+COUNTIFS('2024'!$L$24:$L$112,A45&amp;" / "&amp;B45,'2024'!$B$24:$B$112,"Unconfirmed")+COUNTIFS('2025'!$L$24:$L$112,A45&amp;" / "&amp;B45,'2025'!$B$24:$B$112,"Unconfirmed")</x:f>
        <x:v>0</x:v>
      </x:c>
    </x:row>
    <x:row r="46" ht="22" customHeight="1">
      <x:c r="A46" s="2" t="str">
        <x:v>Bruce</x:v>
      </x:c>
      <x:c r="B46" s="2" t="str">
        <x:v>Nick</x:v>
      </x:c>
      <x:c r="C46" s="2" t="n">
        <x:f>COUNTIFS('2015'!$L$24:$L$96,A46&amp;" / "&amp;B46)+COUNTIFS('2016'!$L$24:$L$96,A46&amp;" / "&amp;B46)+COUNTIFS('2017'!$L$24:$L$106,A46&amp;" / "&amp;B46)+COUNTIFS('2018'!$L$24:$L$106,A46&amp;" / "&amp;B46)+COUNTIFS('2019'!$L$24:$L$106,A46&amp;" / "&amp;B46)+COUNTIFS('2020'!$L$24:$L$106,A46&amp;" / "&amp;B46)+COUNTIFS('2021'!$L$24:$L$112,A46&amp;" / "&amp;B46)+COUNTIFS('2022'!$L$24:$L$112,A46&amp;" / "&amp;B46)+COUNTIFS('2023'!$L$24:$L$112,A46&amp;" / "&amp;B46)+COUNTIFS('2024'!$L$24:$L$112,A46&amp;" / "&amp;B46)+COUNTIFS('2025'!$L$24:$L$112,A46&amp;" / "&amp;B46)</x:f>
        <x:v>8</x:v>
      </x:c>
      <x:c r="D46" s="2" t="n">
        <x:f>COUNTIFS('2015'!$L$24:$L$96,A46&amp;" / "&amp;B46,'2015'!$I$24:$I$96,A46)+COUNTIFS('2016'!$L$24:$L$96,A46&amp;" / "&amp;B46,'2016'!$I$24:$I$96,A46)+COUNTIFS('2017'!$L$24:$L$106,A46&amp;" / "&amp;B46,'2017'!$I$24:$I$106,A46)+COUNTIFS('2018'!$L$24:$L$106,A46&amp;" / "&amp;B46,'2018'!$I$24:$I$106,A46)+COUNTIFS('2019'!$L$24:$L$106,A46&amp;" / "&amp;B46,'2019'!$I$24:$I$106,A46)+COUNTIFS('2020'!$L$24:$L$106,A46&amp;" / "&amp;B46,'2020'!$I$24:$I$106,A46)+COUNTIFS('2021'!$L$24:$L$112,A46&amp;" / "&amp;B46,'2021'!$I$24:$I$112,A46)+COUNTIFS('2022'!$L$24:$L$112,A46&amp;" / "&amp;B46,'2022'!$I$24:$I$112,A46)+COUNTIFS('2023'!$L$24:$L$112,A46&amp;" / "&amp;B46,'2023'!$I$24:$I$112,A46)+COUNTIFS('2024'!$L$24:$L$112,A46&amp;" / "&amp;B46,'2024'!$I$24:$I$112,A46)+COUNTIFS('2025'!$L$24:$L$112,A46&amp;" / "&amp;B46,'2025'!$I$24:$I$112,A46)</x:f>
        <x:v>6</x:v>
      </x:c>
      <x:c r="E46" s="2" t="n">
        <x:f>COUNTIFS('2015'!$L$24:$L$96,A46&amp;" / "&amp;B46,'2015'!$I$24:$I$96,B46)+COUNTIFS('2016'!$L$24:$L$96,A46&amp;" / "&amp;B46,'2016'!$I$24:$I$96,B46)+COUNTIFS('2017'!$L$24:$L$106,A46&amp;" / "&amp;B46,'2017'!$I$24:$I$106,B46)+COUNTIFS('2018'!$L$24:$L$106,A46&amp;" / "&amp;B46,'2018'!$I$24:$I$106,B46)+COUNTIFS('2019'!$L$24:$L$106,A46&amp;" / "&amp;B46,'2019'!$I$24:$I$106,B46)+COUNTIFS('2020'!$L$24:$L$106,A46&amp;" / "&amp;B46,'2020'!$I$24:$I$106,B46)+COUNTIFS('2021'!$L$24:$L$112,A46&amp;" / "&amp;B46,'2021'!$I$24:$I$112,B46)+COUNTIFS('2022'!$L$24:$L$112,A46&amp;" / "&amp;B46,'2022'!$I$24:$I$112,B46)+COUNTIFS('2023'!$L$24:$L$112,A46&amp;" / "&amp;B46,'2023'!$I$24:$I$112,B46)+COUNTIFS('2024'!$L$24:$L$112,A46&amp;" / "&amp;B46,'2024'!$I$24:$I$112,B46)+COUNTIFS('2025'!$L$24:$L$112,A46&amp;" / "&amp;B46,'2025'!$I$24:$I$112,B46)</x:f>
        <x:v>2</x:v>
      </x:c>
      <x:c r="F46" s="2" t="n">
        <x:f>COUNTIFS('2015'!$L$24:$L$96,A46&amp;" / "&amp;B46,'2015'!$K$24:$K$96,1)+COUNTIFS('2016'!$L$24:$L$96,A46&amp;" / "&amp;B46,'2016'!$K$24:$K$96,1)+COUNTIFS('2017'!$L$24:$L$106,A46&amp;" / "&amp;B46,'2017'!$K$24:$K$106,1)+COUNTIFS('2018'!$L$24:$L$106,A46&amp;" / "&amp;B46,'2018'!$K$24:$K$106,1)+COUNTIFS('2019'!$L$24:$L$106,A46&amp;" / "&amp;B46,'2019'!$K$24:$K$106,1)+COUNTIFS('2020'!$L$24:$L$106,A46&amp;" / "&amp;B46,'2020'!$K$24:$K$106,1)+COUNTIFS('2021'!$L$24:$L$112,A46&amp;" / "&amp;B46,'2021'!$K$24:$K$112,1)+COUNTIFS('2022'!$L$24:$L$112,A46&amp;" / "&amp;B46,'2022'!$K$24:$K$112,1)+COUNTIFS('2023'!$L$24:$L$112,A46&amp;" / "&amp;B46,'2023'!$K$24:$K$112,1)+COUNTIFS('2024'!$L$24:$L$112,A46&amp;" / "&amp;B46,'2024'!$K$24:$K$112,1)+COUNTIFS('2025'!$L$24:$L$112,A46&amp;" / "&amp;B46,'2025'!$K$24:$K$112,1)</x:f>
        <x:v>0</x:v>
      </x:c>
      <x:c r="G46" s="25" t="n">
        <x:f>SUMIFS('2015'!$E$24:$E$96,'2015'!$L$24:$L$96,A46&amp;" / "&amp;B46,'2015'!$C$24:$C$96,A46)+SUMIFS('2015'!$H$24:$H$96,'2015'!$L$24:$L$96,A46&amp;" / "&amp;B46,'2015'!$F$24:$F$96,A46)+SUMIFS('2016'!$E$24:$E$96,'2016'!$L$24:$L$96,A46&amp;" / "&amp;B46,'2016'!$C$24:$C$96,A46)+SUMIFS('2016'!$H$24:$H$96,'2016'!$L$24:$L$96,A46&amp;" / "&amp;B46,'2016'!$F$24:$F$96,A46)+SUMIFS('2017'!$E$24:$E$106,'2017'!$L$24:$L$106,A46&amp;" / "&amp;B46,'2017'!$C$24:$C$106,A46)+SUMIFS('2017'!$H$24:$H$106,'2017'!$L$24:$L$106,A46&amp;" / "&amp;B46,'2017'!$F$24:$F$106,A46)+SUMIFS('2018'!$E$24:$E$106,'2018'!$L$24:$L$106,A46&amp;" / "&amp;B46,'2018'!$C$24:$C$106,A46)+SUMIFS('2018'!$H$24:$H$106,'2018'!$L$24:$L$106,A46&amp;" / "&amp;B46,'2018'!$F$24:$F$106,A46)+SUMIFS('2019'!$E$24:$E$106,'2019'!$L$24:$L$106,A46&amp;" / "&amp;B46,'2019'!$C$24:$C$106,A46)+SUMIFS('2019'!$H$24:$H$106,'2019'!$L$24:$L$106,A46&amp;" / "&amp;B46,'2019'!$F$24:$F$106,A46)+SUMIFS('2020'!$E$24:$E$106,'2020'!$L$24:$L$106,A46&amp;" / "&amp;B46,'2020'!$C$24:$C$106,A46)+SUMIFS('2020'!$H$24:$H$106,'2020'!$L$24:$L$106,A46&amp;" / "&amp;B46,'2020'!$F$24:$F$106,A46)+SUMIFS('2021'!$E$24:$E$112,'2021'!$L$24:$L$112,A46&amp;" / "&amp;B46,'2021'!$C$24:$C$112,A46)+SUMIFS('2021'!$H$24:$H$112,'2021'!$L$24:$L$112,A46&amp;" / "&amp;B46,'2021'!$F$24:$F$112,A46)+SUMIFS('2022'!$E$24:$E$112,'2022'!$L$24:$L$112,A46&amp;" / "&amp;B46,'2022'!$C$24:$C$112,A46)+SUMIFS('2022'!$H$24:$H$112,'2022'!$L$24:$L$112,A46&amp;" / "&amp;B46,'2022'!$F$24:$F$112,A46)+SUMIFS('2023'!$E$24:$E$112,'2023'!$L$24:$L$112,A46&amp;" / "&amp;B46,'2023'!$C$24:$C$112,A46)+SUMIFS('2023'!$H$24:$H$112,'2023'!$L$24:$L$112,A46&amp;" / "&amp;B46,'2023'!$F$24:$F$112,A46)+SUMIFS('2024'!$E$24:$E$112,'2024'!$L$24:$L$112,A46&amp;" / "&amp;B46,'2024'!$C$24:$C$112,A46)+SUMIFS('2024'!$H$24:$H$112,'2024'!$L$24:$L$112,A46&amp;" / "&amp;B46,'2024'!$F$24:$F$112,A46)+SUMIFS('2025'!$E$24:$E$112,'2025'!$L$24:$L$112,A46&amp;" / "&amp;B46,'2025'!$C$24:$C$112,A46)+SUMIFS('2025'!$H$24:$H$112,'2025'!$L$24:$L$112,A46&amp;" / "&amp;B46,'2025'!$F$24:$F$112,A46)</x:f>
        <x:v>921.15</x:v>
      </x:c>
      <x:c r="H46" s="25" t="n">
        <x:f>SUMIFS('2015'!$E$24:$E$96,'2015'!$L$24:$L$96,A46&amp;" / "&amp;B46,'2015'!$C$24:$C$96,B46)+SUMIFS('2015'!$H$24:$H$96,'2015'!$L$24:$L$96,A46&amp;" / "&amp;B46,'2015'!$F$24:$F$96,B46)+SUMIFS('2016'!$E$24:$E$96,'2016'!$L$24:$L$96,A46&amp;" / "&amp;B46,'2016'!$C$24:$C$96,B46)+SUMIFS('2016'!$H$24:$H$96,'2016'!$L$24:$L$96,A46&amp;" / "&amp;B46,'2016'!$F$24:$F$96,B46)+SUMIFS('2017'!$E$24:$E$106,'2017'!$L$24:$L$106,A46&amp;" / "&amp;B46,'2017'!$C$24:$C$106,B46)+SUMIFS('2017'!$H$24:$H$106,'2017'!$L$24:$L$106,A46&amp;" / "&amp;B46,'2017'!$F$24:$F$106,B46)+SUMIFS('2018'!$E$24:$E$106,'2018'!$L$24:$L$106,A46&amp;" / "&amp;B46,'2018'!$C$24:$C$106,B46)+SUMIFS('2018'!$H$24:$H$106,'2018'!$L$24:$L$106,A46&amp;" / "&amp;B46,'2018'!$F$24:$F$106,B46)+SUMIFS('2019'!$E$24:$E$106,'2019'!$L$24:$L$106,A46&amp;" / "&amp;B46,'2019'!$C$24:$C$106,B46)+SUMIFS('2019'!$H$24:$H$106,'2019'!$L$24:$L$106,A46&amp;" / "&amp;B46,'2019'!$F$24:$F$106,B46)+SUMIFS('2020'!$E$24:$E$106,'2020'!$L$24:$L$106,A46&amp;" / "&amp;B46,'2020'!$C$24:$C$106,B46)+SUMIFS('2020'!$H$24:$H$106,'2020'!$L$24:$L$106,A46&amp;" / "&amp;B46,'2020'!$F$24:$F$106,B46)+SUMIFS('2021'!$E$24:$E$112,'2021'!$L$24:$L$112,A46&amp;" / "&amp;B46,'2021'!$C$24:$C$112,B46)+SUMIFS('2021'!$H$24:$H$112,'2021'!$L$24:$L$112,A46&amp;" / "&amp;B46,'2021'!$F$24:$F$112,B46)+SUMIFS('2022'!$E$24:$E$112,'2022'!$L$24:$L$112,A46&amp;" / "&amp;B46,'2022'!$C$24:$C$112,B46)+SUMIFS('2022'!$H$24:$H$112,'2022'!$L$24:$L$112,A46&amp;" / "&amp;B46,'2022'!$F$24:$F$112,B46)+SUMIFS('2023'!$E$24:$E$112,'2023'!$L$24:$L$112,A46&amp;" / "&amp;B46,'2023'!$C$24:$C$112,B46)+SUMIFS('2023'!$H$24:$H$112,'2023'!$L$24:$L$112,A46&amp;" / "&amp;B46,'2023'!$F$24:$F$112,B46)+SUMIFS('2024'!$E$24:$E$112,'2024'!$L$24:$L$112,A46&amp;" / "&amp;B46,'2024'!$C$24:$C$112,B46)+SUMIFS('2024'!$H$24:$H$112,'2024'!$L$24:$L$112,A46&amp;" / "&amp;B46,'2024'!$F$24:$F$112,B46)+SUMIFS('2025'!$E$24:$E$112,'2025'!$L$24:$L$112,A46&amp;" / "&amp;B46,'2025'!$C$24:$C$112,B46)+SUMIFS('2025'!$H$24:$H$112,'2025'!$L$24:$L$112,A46&amp;" / "&amp;B46,'2025'!$F$24:$F$112,B46)</x:f>
        <x:v>960.5</x:v>
      </x:c>
      <x:c r="I46" s="11" t="n">
        <x:f>IF(C46=0,0,(D46+0.5*F46)/C46)</x:f>
        <x:v>0.75</x:v>
      </x:c>
      <x:c r="J46" s="2" t="n">
        <x:f>COUNTIFS('2015'!$L$24:$L$96,A46&amp;" / "&amp;B46,'2015'!$B$24:$B$96,"Regular")+COUNTIFS('2016'!$L$24:$L$96,A46&amp;" / "&amp;B46,'2016'!$B$24:$B$96,"Regular")+COUNTIFS('2017'!$L$24:$L$106,A46&amp;" / "&amp;B46,'2017'!$B$24:$B$106,"Regular")+COUNTIFS('2018'!$L$24:$L$106,A46&amp;" / "&amp;B46,'2018'!$B$24:$B$106,"Regular")+COUNTIFS('2019'!$L$24:$L$106,A46&amp;" / "&amp;B46,'2019'!$B$24:$B$106,"Regular")+COUNTIFS('2020'!$L$24:$L$106,A46&amp;" / "&amp;B46,'2020'!$B$24:$B$106,"Regular")+COUNTIFS('2021'!$L$24:$L$112,A46&amp;" / "&amp;B46,'2021'!$B$24:$B$112,"Regular")+COUNTIFS('2022'!$L$24:$L$112,A46&amp;" / "&amp;B46,'2022'!$B$24:$B$112,"Regular")+COUNTIFS('2023'!$L$24:$L$112,A46&amp;" / "&amp;B46,'2023'!$B$24:$B$112,"Regular")+COUNTIFS('2024'!$L$24:$L$112,A46&amp;" / "&amp;B46,'2024'!$B$24:$B$112,"Regular")+COUNTIFS('2025'!$L$24:$L$112,A46&amp;" / "&amp;B46,'2025'!$B$24:$B$112,"Regular")</x:f>
        <x:v>8</x:v>
      </x:c>
      <x:c r="K46" s="2" t="n">
        <x:f>COUNTIFS('2015'!$L$24:$L$96,A46&amp;" / "&amp;B46,'2015'!$B$24:$B$96,"Playoffs")+COUNTIFS('2016'!$L$24:$L$96,A46&amp;" / "&amp;B46,'2016'!$B$24:$B$96,"Playoffs")+COUNTIFS('2017'!$L$24:$L$106,A46&amp;" / "&amp;B46,'2017'!$B$24:$B$106,"Playoffs")+COUNTIFS('2018'!$L$24:$L$106,A46&amp;" / "&amp;B46,'2018'!$B$24:$B$106,"Playoffs")+COUNTIFS('2019'!$L$24:$L$106,A46&amp;" / "&amp;B46,'2019'!$B$24:$B$106,"Playoffs")+COUNTIFS('2020'!$L$24:$L$106,A46&amp;" / "&amp;B46,'2020'!$B$24:$B$106,"Playoffs")+COUNTIFS('2021'!$L$24:$L$112,A46&amp;" / "&amp;B46,'2021'!$B$24:$B$112,"Playoffs")+COUNTIFS('2022'!$L$24:$L$112,A46&amp;" / "&amp;B46,'2022'!$B$24:$B$112,"Playoffs")+COUNTIFS('2023'!$L$24:$L$112,A46&amp;" / "&amp;B46,'2023'!$B$24:$B$112,"Playoffs")+COUNTIFS('2024'!$L$24:$L$112,A46&amp;" / "&amp;B46,'2024'!$B$24:$B$112,"Playoffs")+COUNTIFS('2025'!$L$24:$L$112,A46&amp;" / "&amp;B46,'2025'!$B$24:$B$112,"Playoffs")</x:f>
        <x:v>0</x:v>
      </x:c>
      <x:c r="L46" s="2" t="n">
        <x:f>COUNTIFS('2015'!$L$24:$L$96,A46&amp;" / "&amp;B46,'2015'!$B$24:$B$96,"Unconfirmed")+COUNTIFS('2016'!$L$24:$L$96,A46&amp;" / "&amp;B46,'2016'!$B$24:$B$96,"Unconfirmed")+COUNTIFS('2017'!$L$24:$L$106,A46&amp;" / "&amp;B46,'2017'!$B$24:$B$106,"Unconfirmed")+COUNTIFS('2018'!$L$24:$L$106,A46&amp;" / "&amp;B46,'2018'!$B$24:$B$106,"Unconfirmed")+COUNTIFS('2019'!$L$24:$L$106,A46&amp;" / "&amp;B46,'2019'!$B$24:$B$106,"Unconfirmed")+COUNTIFS('2020'!$L$24:$L$106,A46&amp;" / "&amp;B46,'2020'!$B$24:$B$106,"Unconfirmed")+COUNTIFS('2021'!$L$24:$L$112,A46&amp;" / "&amp;B46,'2021'!$B$24:$B$112,"Unconfirmed")+COUNTIFS('2022'!$L$24:$L$112,A46&amp;" / "&amp;B46,'2022'!$B$24:$B$112,"Unconfirmed")+COUNTIFS('2023'!$L$24:$L$112,A46&amp;" / "&amp;B46,'2023'!$B$24:$B$112,"Unconfirmed")+COUNTIFS('2024'!$L$24:$L$112,A46&amp;" / "&amp;B46,'2024'!$B$24:$B$112,"Unconfirmed")+COUNTIFS('2025'!$L$24:$L$112,A46&amp;" / "&amp;B46,'2025'!$B$24:$B$112,"Unconfirmed")</x:f>
        <x:v>0</x:v>
      </x:c>
    </x:row>
    <x:row r="47" ht="22" customHeight="1">
      <x:c r="A47" s="2" t="str">
        <x:v>Bruce</x:v>
      </x:c>
      <x:c r="B47" s="2" t="str">
        <x:v>Paul</x:v>
      </x:c>
      <x:c r="C47" s="2" t="n">
        <x:f>COUNTIFS('2015'!$L$24:$L$96,A47&amp;" / "&amp;B47)+COUNTIFS('2016'!$L$24:$L$96,A47&amp;" / "&amp;B47)+COUNTIFS('2017'!$L$24:$L$106,A47&amp;" / "&amp;B47)+COUNTIFS('2018'!$L$24:$L$106,A47&amp;" / "&amp;B47)+COUNTIFS('2019'!$L$24:$L$106,A47&amp;" / "&amp;B47)+COUNTIFS('2020'!$L$24:$L$106,A47&amp;" / "&amp;B47)+COUNTIFS('2021'!$L$24:$L$112,A47&amp;" / "&amp;B47)+COUNTIFS('2022'!$L$24:$L$112,A47&amp;" / "&amp;B47)+COUNTIFS('2023'!$L$24:$L$112,A47&amp;" / "&amp;B47)+COUNTIFS('2024'!$L$24:$L$112,A47&amp;" / "&amp;B47)+COUNTIFS('2025'!$L$24:$L$112,A47&amp;" / "&amp;B47)</x:f>
        <x:v>10</x:v>
      </x:c>
      <x:c r="D47" s="2" t="n">
        <x:f>COUNTIFS('2015'!$L$24:$L$96,A47&amp;" / "&amp;B47,'2015'!$I$24:$I$96,A47)+COUNTIFS('2016'!$L$24:$L$96,A47&amp;" / "&amp;B47,'2016'!$I$24:$I$96,A47)+COUNTIFS('2017'!$L$24:$L$106,A47&amp;" / "&amp;B47,'2017'!$I$24:$I$106,A47)+COUNTIFS('2018'!$L$24:$L$106,A47&amp;" / "&amp;B47,'2018'!$I$24:$I$106,A47)+COUNTIFS('2019'!$L$24:$L$106,A47&amp;" / "&amp;B47,'2019'!$I$24:$I$106,A47)+COUNTIFS('2020'!$L$24:$L$106,A47&amp;" / "&amp;B47,'2020'!$I$24:$I$106,A47)+COUNTIFS('2021'!$L$24:$L$112,A47&amp;" / "&amp;B47,'2021'!$I$24:$I$112,A47)+COUNTIFS('2022'!$L$24:$L$112,A47&amp;" / "&amp;B47,'2022'!$I$24:$I$112,A47)+COUNTIFS('2023'!$L$24:$L$112,A47&amp;" / "&amp;B47,'2023'!$I$24:$I$112,A47)+COUNTIFS('2024'!$L$24:$L$112,A47&amp;" / "&amp;B47,'2024'!$I$24:$I$112,A47)+COUNTIFS('2025'!$L$24:$L$112,A47&amp;" / "&amp;B47,'2025'!$I$24:$I$112,A47)</x:f>
        <x:v>5</x:v>
      </x:c>
      <x:c r="E47" s="2" t="n">
        <x:f>COUNTIFS('2015'!$L$24:$L$96,A47&amp;" / "&amp;B47,'2015'!$I$24:$I$96,B47)+COUNTIFS('2016'!$L$24:$L$96,A47&amp;" / "&amp;B47,'2016'!$I$24:$I$96,B47)+COUNTIFS('2017'!$L$24:$L$106,A47&amp;" / "&amp;B47,'2017'!$I$24:$I$106,B47)+COUNTIFS('2018'!$L$24:$L$106,A47&amp;" / "&amp;B47,'2018'!$I$24:$I$106,B47)+COUNTIFS('2019'!$L$24:$L$106,A47&amp;" / "&amp;B47,'2019'!$I$24:$I$106,B47)+COUNTIFS('2020'!$L$24:$L$106,A47&amp;" / "&amp;B47,'2020'!$I$24:$I$106,B47)+COUNTIFS('2021'!$L$24:$L$112,A47&amp;" / "&amp;B47,'2021'!$I$24:$I$112,B47)+COUNTIFS('2022'!$L$24:$L$112,A47&amp;" / "&amp;B47,'2022'!$I$24:$I$112,B47)+COUNTIFS('2023'!$L$24:$L$112,A47&amp;" / "&amp;B47,'2023'!$I$24:$I$112,B47)+COUNTIFS('2024'!$L$24:$L$112,A47&amp;" / "&amp;B47,'2024'!$I$24:$I$112,B47)+COUNTIFS('2025'!$L$24:$L$112,A47&amp;" / "&amp;B47,'2025'!$I$24:$I$112,B47)</x:f>
        <x:v>5</x:v>
      </x:c>
      <x:c r="F47" s="2" t="n">
        <x:f>COUNTIFS('2015'!$L$24:$L$96,A47&amp;" / "&amp;B47,'2015'!$K$24:$K$96,1)+COUNTIFS('2016'!$L$24:$L$96,A47&amp;" / "&amp;B47,'2016'!$K$24:$K$96,1)+COUNTIFS('2017'!$L$24:$L$106,A47&amp;" / "&amp;B47,'2017'!$K$24:$K$106,1)+COUNTIFS('2018'!$L$24:$L$106,A47&amp;" / "&amp;B47,'2018'!$K$24:$K$106,1)+COUNTIFS('2019'!$L$24:$L$106,A47&amp;" / "&amp;B47,'2019'!$K$24:$K$106,1)+COUNTIFS('2020'!$L$24:$L$106,A47&amp;" / "&amp;B47,'2020'!$K$24:$K$106,1)+COUNTIFS('2021'!$L$24:$L$112,A47&amp;" / "&amp;B47,'2021'!$K$24:$K$112,1)+COUNTIFS('2022'!$L$24:$L$112,A47&amp;" / "&amp;B47,'2022'!$K$24:$K$112,1)+COUNTIFS('2023'!$L$24:$L$112,A47&amp;" / "&amp;B47,'2023'!$K$24:$K$112,1)+COUNTIFS('2024'!$L$24:$L$112,A47&amp;" / "&amp;B47,'2024'!$K$24:$K$112,1)+COUNTIFS('2025'!$L$24:$L$112,A47&amp;" / "&amp;B47,'2025'!$K$24:$K$112,1)</x:f>
        <x:v>0</x:v>
      </x:c>
      <x:c r="G47" s="25" t="n">
        <x:f>SUMIFS('2015'!$E$24:$E$96,'2015'!$L$24:$L$96,A47&amp;" / "&amp;B47,'2015'!$C$24:$C$96,A47)+SUMIFS('2015'!$H$24:$H$96,'2015'!$L$24:$L$96,A47&amp;" / "&amp;B47,'2015'!$F$24:$F$96,A47)+SUMIFS('2016'!$E$24:$E$96,'2016'!$L$24:$L$96,A47&amp;" / "&amp;B47,'2016'!$C$24:$C$96,A47)+SUMIFS('2016'!$H$24:$H$96,'2016'!$L$24:$L$96,A47&amp;" / "&amp;B47,'2016'!$F$24:$F$96,A47)+SUMIFS('2017'!$E$24:$E$106,'2017'!$L$24:$L$106,A47&amp;" / "&amp;B47,'2017'!$C$24:$C$106,A47)+SUMIFS('2017'!$H$24:$H$106,'2017'!$L$24:$L$106,A47&amp;" / "&amp;B47,'2017'!$F$24:$F$106,A47)+SUMIFS('2018'!$E$24:$E$106,'2018'!$L$24:$L$106,A47&amp;" / "&amp;B47,'2018'!$C$24:$C$106,A47)+SUMIFS('2018'!$H$24:$H$106,'2018'!$L$24:$L$106,A47&amp;" / "&amp;B47,'2018'!$F$24:$F$106,A47)+SUMIFS('2019'!$E$24:$E$106,'2019'!$L$24:$L$106,A47&amp;" / "&amp;B47,'2019'!$C$24:$C$106,A47)+SUMIFS('2019'!$H$24:$H$106,'2019'!$L$24:$L$106,A47&amp;" / "&amp;B47,'2019'!$F$24:$F$106,A47)+SUMIFS('2020'!$E$24:$E$106,'2020'!$L$24:$L$106,A47&amp;" / "&amp;B47,'2020'!$C$24:$C$106,A47)+SUMIFS('2020'!$H$24:$H$106,'2020'!$L$24:$L$106,A47&amp;" / "&amp;B47,'2020'!$F$24:$F$106,A47)+SUMIFS('2021'!$E$24:$E$112,'2021'!$L$24:$L$112,A47&amp;" / "&amp;B47,'2021'!$C$24:$C$112,A47)+SUMIFS('2021'!$H$24:$H$112,'2021'!$L$24:$L$112,A47&amp;" / "&amp;B47,'2021'!$F$24:$F$112,A47)+SUMIFS('2022'!$E$24:$E$112,'2022'!$L$24:$L$112,A47&amp;" / "&amp;B47,'2022'!$C$24:$C$112,A47)+SUMIFS('2022'!$H$24:$H$112,'2022'!$L$24:$L$112,A47&amp;" / "&amp;B47,'2022'!$F$24:$F$112,A47)+SUMIFS('2023'!$E$24:$E$112,'2023'!$L$24:$L$112,A47&amp;" / "&amp;B47,'2023'!$C$24:$C$112,A47)+SUMIFS('2023'!$H$24:$H$112,'2023'!$L$24:$L$112,A47&amp;" / "&amp;B47,'2023'!$F$24:$F$112,A47)+SUMIFS('2024'!$E$24:$E$112,'2024'!$L$24:$L$112,A47&amp;" / "&amp;B47,'2024'!$C$24:$C$112,A47)+SUMIFS('2024'!$H$24:$H$112,'2024'!$L$24:$L$112,A47&amp;" / "&amp;B47,'2024'!$F$24:$F$112,A47)+SUMIFS('2025'!$E$24:$E$112,'2025'!$L$24:$L$112,A47&amp;" / "&amp;B47,'2025'!$C$24:$C$112,A47)+SUMIFS('2025'!$H$24:$H$112,'2025'!$L$24:$L$112,A47&amp;" / "&amp;B47,'2025'!$F$24:$F$112,A47)</x:f>
        <x:v>1058.65</x:v>
      </x:c>
      <x:c r="H47" s="25" t="n">
        <x:f>SUMIFS('2015'!$E$24:$E$96,'2015'!$L$24:$L$96,A47&amp;" / "&amp;B47,'2015'!$C$24:$C$96,B47)+SUMIFS('2015'!$H$24:$H$96,'2015'!$L$24:$L$96,A47&amp;" / "&amp;B47,'2015'!$F$24:$F$96,B47)+SUMIFS('2016'!$E$24:$E$96,'2016'!$L$24:$L$96,A47&amp;" / "&amp;B47,'2016'!$C$24:$C$96,B47)+SUMIFS('2016'!$H$24:$H$96,'2016'!$L$24:$L$96,A47&amp;" / "&amp;B47,'2016'!$F$24:$F$96,B47)+SUMIFS('2017'!$E$24:$E$106,'2017'!$L$24:$L$106,A47&amp;" / "&amp;B47,'2017'!$C$24:$C$106,B47)+SUMIFS('2017'!$H$24:$H$106,'2017'!$L$24:$L$106,A47&amp;" / "&amp;B47,'2017'!$F$24:$F$106,B47)+SUMIFS('2018'!$E$24:$E$106,'2018'!$L$24:$L$106,A47&amp;" / "&amp;B47,'2018'!$C$24:$C$106,B47)+SUMIFS('2018'!$H$24:$H$106,'2018'!$L$24:$L$106,A47&amp;" / "&amp;B47,'2018'!$F$24:$F$106,B47)+SUMIFS('2019'!$E$24:$E$106,'2019'!$L$24:$L$106,A47&amp;" / "&amp;B47,'2019'!$C$24:$C$106,B47)+SUMIFS('2019'!$H$24:$H$106,'2019'!$L$24:$L$106,A47&amp;" / "&amp;B47,'2019'!$F$24:$F$106,B47)+SUMIFS('2020'!$E$24:$E$106,'2020'!$L$24:$L$106,A47&amp;" / "&amp;B47,'2020'!$C$24:$C$106,B47)+SUMIFS('2020'!$H$24:$H$106,'2020'!$L$24:$L$106,A47&amp;" / "&amp;B47,'2020'!$F$24:$F$106,B47)+SUMIFS('2021'!$E$24:$E$112,'2021'!$L$24:$L$112,A47&amp;" / "&amp;B47,'2021'!$C$24:$C$112,B47)+SUMIFS('2021'!$H$24:$H$112,'2021'!$L$24:$L$112,A47&amp;" / "&amp;B47,'2021'!$F$24:$F$112,B47)+SUMIFS('2022'!$E$24:$E$112,'2022'!$L$24:$L$112,A47&amp;" / "&amp;B47,'2022'!$C$24:$C$112,B47)+SUMIFS('2022'!$H$24:$H$112,'2022'!$L$24:$L$112,A47&amp;" / "&amp;B47,'2022'!$F$24:$F$112,B47)+SUMIFS('2023'!$E$24:$E$112,'2023'!$L$24:$L$112,A47&amp;" / "&amp;B47,'2023'!$C$24:$C$112,B47)+SUMIFS('2023'!$H$24:$H$112,'2023'!$L$24:$L$112,A47&amp;" / "&amp;B47,'2023'!$F$24:$F$112,B47)+SUMIFS('2024'!$E$24:$E$112,'2024'!$L$24:$L$112,A47&amp;" / "&amp;B47,'2024'!$C$24:$C$112,B47)+SUMIFS('2024'!$H$24:$H$112,'2024'!$L$24:$L$112,A47&amp;" / "&amp;B47,'2024'!$F$24:$F$112,B47)+SUMIFS('2025'!$E$24:$E$112,'2025'!$L$24:$L$112,A47&amp;" / "&amp;B47,'2025'!$C$24:$C$112,B47)+SUMIFS('2025'!$H$24:$H$112,'2025'!$L$24:$L$112,A47&amp;" / "&amp;B47,'2025'!$F$24:$F$112,B47)</x:f>
        <x:v>1275.65</x:v>
      </x:c>
      <x:c r="I47" s="11" t="n">
        <x:f>IF(C47=0,0,(D47+0.5*F47)/C47)</x:f>
        <x:v>0.5</x:v>
      </x:c>
      <x:c r="J47" s="2" t="n">
        <x:f>COUNTIFS('2015'!$L$24:$L$96,A47&amp;" / "&amp;B47,'2015'!$B$24:$B$96,"Regular")+COUNTIFS('2016'!$L$24:$L$96,A47&amp;" / "&amp;B47,'2016'!$B$24:$B$96,"Regular")+COUNTIFS('2017'!$L$24:$L$106,A47&amp;" / "&amp;B47,'2017'!$B$24:$B$106,"Regular")+COUNTIFS('2018'!$L$24:$L$106,A47&amp;" / "&amp;B47,'2018'!$B$24:$B$106,"Regular")+COUNTIFS('2019'!$L$24:$L$106,A47&amp;" / "&amp;B47,'2019'!$B$24:$B$106,"Regular")+COUNTIFS('2020'!$L$24:$L$106,A47&amp;" / "&amp;B47,'2020'!$B$24:$B$106,"Regular")+COUNTIFS('2021'!$L$24:$L$112,A47&amp;" / "&amp;B47,'2021'!$B$24:$B$112,"Regular")+COUNTIFS('2022'!$L$24:$L$112,A47&amp;" / "&amp;B47,'2022'!$B$24:$B$112,"Regular")+COUNTIFS('2023'!$L$24:$L$112,A47&amp;" / "&amp;B47,'2023'!$B$24:$B$112,"Regular")+COUNTIFS('2024'!$L$24:$L$112,A47&amp;" / "&amp;B47,'2024'!$B$24:$B$112,"Regular")+COUNTIFS('2025'!$L$24:$L$112,A47&amp;" / "&amp;B47,'2025'!$B$24:$B$112,"Regular")</x:f>
        <x:v>9</x:v>
      </x:c>
      <x:c r="K47" s="2" t="n">
        <x:f>COUNTIFS('2015'!$L$24:$L$96,A47&amp;" / "&amp;B47,'2015'!$B$24:$B$96,"Playoffs")+COUNTIFS('2016'!$L$24:$L$96,A47&amp;" / "&amp;B47,'2016'!$B$24:$B$96,"Playoffs")+COUNTIFS('2017'!$L$24:$L$106,A47&amp;" / "&amp;B47,'2017'!$B$24:$B$106,"Playoffs")+COUNTIFS('2018'!$L$24:$L$106,A47&amp;" / "&amp;B47,'2018'!$B$24:$B$106,"Playoffs")+COUNTIFS('2019'!$L$24:$L$106,A47&amp;" / "&amp;B47,'2019'!$B$24:$B$106,"Playoffs")+COUNTIFS('2020'!$L$24:$L$106,A47&amp;" / "&amp;B47,'2020'!$B$24:$B$106,"Playoffs")+COUNTIFS('2021'!$L$24:$L$112,A47&amp;" / "&amp;B47,'2021'!$B$24:$B$112,"Playoffs")+COUNTIFS('2022'!$L$24:$L$112,A47&amp;" / "&amp;B47,'2022'!$B$24:$B$112,"Playoffs")+COUNTIFS('2023'!$L$24:$L$112,A47&amp;" / "&amp;B47,'2023'!$B$24:$B$112,"Playoffs")+COUNTIFS('2024'!$L$24:$L$112,A47&amp;" / "&amp;B47,'2024'!$B$24:$B$112,"Playoffs")+COUNTIFS('2025'!$L$24:$L$112,A47&amp;" / "&amp;B47,'2025'!$B$24:$B$112,"Playoffs")</x:f>
        <x:v>1</x:v>
      </x:c>
      <x:c r="L47" s="2" t="n">
        <x:f>COUNTIFS('2015'!$L$24:$L$96,A47&amp;" / "&amp;B47,'2015'!$B$24:$B$96,"Unconfirmed")+COUNTIFS('2016'!$L$24:$L$96,A47&amp;" / "&amp;B47,'2016'!$B$24:$B$96,"Unconfirmed")+COUNTIFS('2017'!$L$24:$L$106,A47&amp;" / "&amp;B47,'2017'!$B$24:$B$106,"Unconfirmed")+COUNTIFS('2018'!$L$24:$L$106,A47&amp;" / "&amp;B47,'2018'!$B$24:$B$106,"Unconfirmed")+COUNTIFS('2019'!$L$24:$L$106,A47&amp;" / "&amp;B47,'2019'!$B$24:$B$106,"Unconfirmed")+COUNTIFS('2020'!$L$24:$L$106,A47&amp;" / "&amp;B47,'2020'!$B$24:$B$106,"Unconfirmed")+COUNTIFS('2021'!$L$24:$L$112,A47&amp;" / "&amp;B47,'2021'!$B$24:$B$112,"Unconfirmed")+COUNTIFS('2022'!$L$24:$L$112,A47&amp;" / "&amp;B47,'2022'!$B$24:$B$112,"Unconfirmed")+COUNTIFS('2023'!$L$24:$L$112,A47&amp;" / "&amp;B47,'2023'!$B$24:$B$112,"Unconfirmed")+COUNTIFS('2024'!$L$24:$L$112,A47&amp;" / "&amp;B47,'2024'!$B$24:$B$112,"Unconfirmed")+COUNTIFS('2025'!$L$24:$L$112,A47&amp;" / "&amp;B47,'2025'!$B$24:$B$112,"Unconfirmed")</x:f>
        <x:v>0</x:v>
      </x:c>
    </x:row>
    <x:row r="48" ht="22" customHeight="1">
      <x:c r="A48" s="2" t="str">
        <x:v>Bruce</x:v>
      </x:c>
      <x:c r="B48" s="2" t="str">
        <x:v>Poker Dude</x:v>
      </x:c>
      <x:c r="C48" s="2" t="n">
        <x:f>COUNTIFS('2015'!$L$24:$L$96,A48&amp;" / "&amp;B48)+COUNTIFS('2016'!$L$24:$L$96,A48&amp;" / "&amp;B48)+COUNTIFS('2017'!$L$24:$L$106,A48&amp;" / "&amp;B48)+COUNTIFS('2018'!$L$24:$L$106,A48&amp;" / "&amp;B48)+COUNTIFS('2019'!$L$24:$L$106,A48&amp;" / "&amp;B48)+COUNTIFS('2020'!$L$24:$L$106,A48&amp;" / "&amp;B48)+COUNTIFS('2021'!$L$24:$L$112,A48&amp;" / "&amp;B48)+COUNTIFS('2022'!$L$24:$L$112,A48&amp;" / "&amp;B48)+COUNTIFS('2023'!$L$24:$L$112,A48&amp;" / "&amp;B48)+COUNTIFS('2024'!$L$24:$L$112,A48&amp;" / "&amp;B48)+COUNTIFS('2025'!$L$24:$L$112,A48&amp;" / "&amp;B48)</x:f>
        <x:v>5</x:v>
      </x:c>
      <x:c r="D48" s="2" t="n">
        <x:f>COUNTIFS('2015'!$L$24:$L$96,A48&amp;" / "&amp;B48,'2015'!$I$24:$I$96,A48)+COUNTIFS('2016'!$L$24:$L$96,A48&amp;" / "&amp;B48,'2016'!$I$24:$I$96,A48)+COUNTIFS('2017'!$L$24:$L$106,A48&amp;" / "&amp;B48,'2017'!$I$24:$I$106,A48)+COUNTIFS('2018'!$L$24:$L$106,A48&amp;" / "&amp;B48,'2018'!$I$24:$I$106,A48)+COUNTIFS('2019'!$L$24:$L$106,A48&amp;" / "&amp;B48,'2019'!$I$24:$I$106,A48)+COUNTIFS('2020'!$L$24:$L$106,A48&amp;" / "&amp;B48,'2020'!$I$24:$I$106,A48)+COUNTIFS('2021'!$L$24:$L$112,A48&amp;" / "&amp;B48,'2021'!$I$24:$I$112,A48)+COUNTIFS('2022'!$L$24:$L$112,A48&amp;" / "&amp;B48,'2022'!$I$24:$I$112,A48)+COUNTIFS('2023'!$L$24:$L$112,A48&amp;" / "&amp;B48,'2023'!$I$24:$I$112,A48)+COUNTIFS('2024'!$L$24:$L$112,A48&amp;" / "&amp;B48,'2024'!$I$24:$I$112,A48)+COUNTIFS('2025'!$L$24:$L$112,A48&amp;" / "&amp;B48,'2025'!$I$24:$I$112,A48)</x:f>
        <x:v>2</x:v>
      </x:c>
      <x:c r="E48" s="2" t="n">
        <x:f>COUNTIFS('2015'!$L$24:$L$96,A48&amp;" / "&amp;B48,'2015'!$I$24:$I$96,B48)+COUNTIFS('2016'!$L$24:$L$96,A48&amp;" / "&amp;B48,'2016'!$I$24:$I$96,B48)+COUNTIFS('2017'!$L$24:$L$106,A48&amp;" / "&amp;B48,'2017'!$I$24:$I$106,B48)+COUNTIFS('2018'!$L$24:$L$106,A48&amp;" / "&amp;B48,'2018'!$I$24:$I$106,B48)+COUNTIFS('2019'!$L$24:$L$106,A48&amp;" / "&amp;B48,'2019'!$I$24:$I$106,B48)+COUNTIFS('2020'!$L$24:$L$106,A48&amp;" / "&amp;B48,'2020'!$I$24:$I$106,B48)+COUNTIFS('2021'!$L$24:$L$112,A48&amp;" / "&amp;B48,'2021'!$I$24:$I$112,B48)+COUNTIFS('2022'!$L$24:$L$112,A48&amp;" / "&amp;B48,'2022'!$I$24:$I$112,B48)+COUNTIFS('2023'!$L$24:$L$112,A48&amp;" / "&amp;B48,'2023'!$I$24:$I$112,B48)+COUNTIFS('2024'!$L$24:$L$112,A48&amp;" / "&amp;B48,'2024'!$I$24:$I$112,B48)+COUNTIFS('2025'!$L$24:$L$112,A48&amp;" / "&amp;B48,'2025'!$I$24:$I$112,B48)</x:f>
        <x:v>3</x:v>
      </x:c>
      <x:c r="F48" s="2" t="n">
        <x:f>COUNTIFS('2015'!$L$24:$L$96,A48&amp;" / "&amp;B48,'2015'!$K$24:$K$96,1)+COUNTIFS('2016'!$L$24:$L$96,A48&amp;" / "&amp;B48,'2016'!$K$24:$K$96,1)+COUNTIFS('2017'!$L$24:$L$106,A48&amp;" / "&amp;B48,'2017'!$K$24:$K$106,1)+COUNTIFS('2018'!$L$24:$L$106,A48&amp;" / "&amp;B48,'2018'!$K$24:$K$106,1)+COUNTIFS('2019'!$L$24:$L$106,A48&amp;" / "&amp;B48,'2019'!$K$24:$K$106,1)+COUNTIFS('2020'!$L$24:$L$106,A48&amp;" / "&amp;B48,'2020'!$K$24:$K$106,1)+COUNTIFS('2021'!$L$24:$L$112,A48&amp;" / "&amp;B48,'2021'!$K$24:$K$112,1)+COUNTIFS('2022'!$L$24:$L$112,A48&amp;" / "&amp;B48,'2022'!$K$24:$K$112,1)+COUNTIFS('2023'!$L$24:$L$112,A48&amp;" / "&amp;B48,'2023'!$K$24:$K$112,1)+COUNTIFS('2024'!$L$24:$L$112,A48&amp;" / "&amp;B48,'2024'!$K$24:$K$112,1)+COUNTIFS('2025'!$L$24:$L$112,A48&amp;" / "&amp;B48,'2025'!$K$24:$K$112,1)</x:f>
        <x:v>0</x:v>
      </x:c>
      <x:c r="G48" s="25" t="n">
        <x:f>SUMIFS('2015'!$E$24:$E$96,'2015'!$L$24:$L$96,A48&amp;" / "&amp;B48,'2015'!$C$24:$C$96,A48)+SUMIFS('2015'!$H$24:$H$96,'2015'!$L$24:$L$96,A48&amp;" / "&amp;B48,'2015'!$F$24:$F$96,A48)+SUMIFS('2016'!$E$24:$E$96,'2016'!$L$24:$L$96,A48&amp;" / "&amp;B48,'2016'!$C$24:$C$96,A48)+SUMIFS('2016'!$H$24:$H$96,'2016'!$L$24:$L$96,A48&amp;" / "&amp;B48,'2016'!$F$24:$F$96,A48)+SUMIFS('2017'!$E$24:$E$106,'2017'!$L$24:$L$106,A48&amp;" / "&amp;B48,'2017'!$C$24:$C$106,A48)+SUMIFS('2017'!$H$24:$H$106,'2017'!$L$24:$L$106,A48&amp;" / "&amp;B48,'2017'!$F$24:$F$106,A48)+SUMIFS('2018'!$E$24:$E$106,'2018'!$L$24:$L$106,A48&amp;" / "&amp;B48,'2018'!$C$24:$C$106,A48)+SUMIFS('2018'!$H$24:$H$106,'2018'!$L$24:$L$106,A48&amp;" / "&amp;B48,'2018'!$F$24:$F$106,A48)+SUMIFS('2019'!$E$24:$E$106,'2019'!$L$24:$L$106,A48&amp;" / "&amp;B48,'2019'!$C$24:$C$106,A48)+SUMIFS('2019'!$H$24:$H$106,'2019'!$L$24:$L$106,A48&amp;" / "&amp;B48,'2019'!$F$24:$F$106,A48)+SUMIFS('2020'!$E$24:$E$106,'2020'!$L$24:$L$106,A48&amp;" / "&amp;B48,'2020'!$C$24:$C$106,A48)+SUMIFS('2020'!$H$24:$H$106,'2020'!$L$24:$L$106,A48&amp;" / "&amp;B48,'2020'!$F$24:$F$106,A48)+SUMIFS('2021'!$E$24:$E$112,'2021'!$L$24:$L$112,A48&amp;" / "&amp;B48,'2021'!$C$24:$C$112,A48)+SUMIFS('2021'!$H$24:$H$112,'2021'!$L$24:$L$112,A48&amp;" / "&amp;B48,'2021'!$F$24:$F$112,A48)+SUMIFS('2022'!$E$24:$E$112,'2022'!$L$24:$L$112,A48&amp;" / "&amp;B48,'2022'!$C$24:$C$112,A48)+SUMIFS('2022'!$H$24:$H$112,'2022'!$L$24:$L$112,A48&amp;" / "&amp;B48,'2022'!$F$24:$F$112,A48)+SUMIFS('2023'!$E$24:$E$112,'2023'!$L$24:$L$112,A48&amp;" / "&amp;B48,'2023'!$C$24:$C$112,A48)+SUMIFS('2023'!$H$24:$H$112,'2023'!$L$24:$L$112,A48&amp;" / "&amp;B48,'2023'!$F$24:$F$112,A48)+SUMIFS('2024'!$E$24:$E$112,'2024'!$L$24:$L$112,A48&amp;" / "&amp;B48,'2024'!$C$24:$C$112,A48)+SUMIFS('2024'!$H$24:$H$112,'2024'!$L$24:$L$112,A48&amp;" / "&amp;B48,'2024'!$F$24:$F$112,A48)+SUMIFS('2025'!$E$24:$E$112,'2025'!$L$24:$L$112,A48&amp;" / "&amp;B48,'2025'!$C$24:$C$112,A48)+SUMIFS('2025'!$H$24:$H$112,'2025'!$L$24:$L$112,A48&amp;" / "&amp;B48,'2025'!$F$24:$F$112,A48)</x:f>
        <x:v>538.1500000000001</x:v>
      </x:c>
      <x:c r="H48" s="25" t="n">
        <x:f>SUMIFS('2015'!$E$24:$E$96,'2015'!$L$24:$L$96,A48&amp;" / "&amp;B48,'2015'!$C$24:$C$96,B48)+SUMIFS('2015'!$H$24:$H$96,'2015'!$L$24:$L$96,A48&amp;" / "&amp;B48,'2015'!$F$24:$F$96,B48)+SUMIFS('2016'!$E$24:$E$96,'2016'!$L$24:$L$96,A48&amp;" / "&amp;B48,'2016'!$C$24:$C$96,B48)+SUMIFS('2016'!$H$24:$H$96,'2016'!$L$24:$L$96,A48&amp;" / "&amp;B48,'2016'!$F$24:$F$96,B48)+SUMIFS('2017'!$E$24:$E$106,'2017'!$L$24:$L$106,A48&amp;" / "&amp;B48,'2017'!$C$24:$C$106,B48)+SUMIFS('2017'!$H$24:$H$106,'2017'!$L$24:$L$106,A48&amp;" / "&amp;B48,'2017'!$F$24:$F$106,B48)+SUMIFS('2018'!$E$24:$E$106,'2018'!$L$24:$L$106,A48&amp;" / "&amp;B48,'2018'!$C$24:$C$106,B48)+SUMIFS('2018'!$H$24:$H$106,'2018'!$L$24:$L$106,A48&amp;" / "&amp;B48,'2018'!$F$24:$F$106,B48)+SUMIFS('2019'!$E$24:$E$106,'2019'!$L$24:$L$106,A48&amp;" / "&amp;B48,'2019'!$C$24:$C$106,B48)+SUMIFS('2019'!$H$24:$H$106,'2019'!$L$24:$L$106,A48&amp;" / "&amp;B48,'2019'!$F$24:$F$106,B48)+SUMIFS('2020'!$E$24:$E$106,'2020'!$L$24:$L$106,A48&amp;" / "&amp;B48,'2020'!$C$24:$C$106,B48)+SUMIFS('2020'!$H$24:$H$106,'2020'!$L$24:$L$106,A48&amp;" / "&amp;B48,'2020'!$F$24:$F$106,B48)+SUMIFS('2021'!$E$24:$E$112,'2021'!$L$24:$L$112,A48&amp;" / "&amp;B48,'2021'!$C$24:$C$112,B48)+SUMIFS('2021'!$H$24:$H$112,'2021'!$L$24:$L$112,A48&amp;" / "&amp;B48,'2021'!$F$24:$F$112,B48)+SUMIFS('2022'!$E$24:$E$112,'2022'!$L$24:$L$112,A48&amp;" / "&amp;B48,'2022'!$C$24:$C$112,B48)+SUMIFS('2022'!$H$24:$H$112,'2022'!$L$24:$L$112,A48&amp;" / "&amp;B48,'2022'!$F$24:$F$112,B48)+SUMIFS('2023'!$E$24:$E$112,'2023'!$L$24:$L$112,A48&amp;" / "&amp;B48,'2023'!$C$24:$C$112,B48)+SUMIFS('2023'!$H$24:$H$112,'2023'!$L$24:$L$112,A48&amp;" / "&amp;B48,'2023'!$F$24:$F$112,B48)+SUMIFS('2024'!$E$24:$E$112,'2024'!$L$24:$L$112,A48&amp;" / "&amp;B48,'2024'!$C$24:$C$112,B48)+SUMIFS('2024'!$H$24:$H$112,'2024'!$L$24:$L$112,A48&amp;" / "&amp;B48,'2024'!$F$24:$F$112,B48)+SUMIFS('2025'!$E$24:$E$112,'2025'!$L$24:$L$112,A48&amp;" / "&amp;B48,'2025'!$C$24:$C$112,B48)+SUMIFS('2025'!$H$24:$H$112,'2025'!$L$24:$L$112,A48&amp;" / "&amp;B48,'2025'!$F$24:$F$112,B48)</x:f>
        <x:v>526.4000000000001</x:v>
      </x:c>
      <x:c r="I48" s="11" t="n">
        <x:f>IF(C48=0,0,(D48+0.5*F48)/C48)</x:f>
        <x:v>0.4</x:v>
      </x:c>
      <x:c r="J48" s="2" t="n">
        <x:f>COUNTIFS('2015'!$L$24:$L$96,A48&amp;" / "&amp;B48,'2015'!$B$24:$B$96,"Regular")+COUNTIFS('2016'!$L$24:$L$96,A48&amp;" / "&amp;B48,'2016'!$B$24:$B$96,"Regular")+COUNTIFS('2017'!$L$24:$L$106,A48&amp;" / "&amp;B48,'2017'!$B$24:$B$106,"Regular")+COUNTIFS('2018'!$L$24:$L$106,A48&amp;" / "&amp;B48,'2018'!$B$24:$B$106,"Regular")+COUNTIFS('2019'!$L$24:$L$106,A48&amp;" / "&amp;B48,'2019'!$B$24:$B$106,"Regular")+COUNTIFS('2020'!$L$24:$L$106,A48&amp;" / "&amp;B48,'2020'!$B$24:$B$106,"Regular")+COUNTIFS('2021'!$L$24:$L$112,A48&amp;" / "&amp;B48,'2021'!$B$24:$B$112,"Regular")+COUNTIFS('2022'!$L$24:$L$112,A48&amp;" / "&amp;B48,'2022'!$B$24:$B$112,"Regular")+COUNTIFS('2023'!$L$24:$L$112,A48&amp;" / "&amp;B48,'2023'!$B$24:$B$112,"Regular")+COUNTIFS('2024'!$L$24:$L$112,A48&amp;" / "&amp;B48,'2024'!$B$24:$B$112,"Regular")+COUNTIFS('2025'!$L$24:$L$112,A48&amp;" / "&amp;B48,'2025'!$B$24:$B$112,"Regular")</x:f>
        <x:v>5</x:v>
      </x:c>
      <x:c r="K48" s="2" t="n">
        <x:f>COUNTIFS('2015'!$L$24:$L$96,A48&amp;" / "&amp;B48,'2015'!$B$24:$B$96,"Playoffs")+COUNTIFS('2016'!$L$24:$L$96,A48&amp;" / "&amp;B48,'2016'!$B$24:$B$96,"Playoffs")+COUNTIFS('2017'!$L$24:$L$106,A48&amp;" / "&amp;B48,'2017'!$B$24:$B$106,"Playoffs")+COUNTIFS('2018'!$L$24:$L$106,A48&amp;" / "&amp;B48,'2018'!$B$24:$B$106,"Playoffs")+COUNTIFS('2019'!$L$24:$L$106,A48&amp;" / "&amp;B48,'2019'!$B$24:$B$106,"Playoffs")+COUNTIFS('2020'!$L$24:$L$106,A48&amp;" / "&amp;B48,'2020'!$B$24:$B$106,"Playoffs")+COUNTIFS('2021'!$L$24:$L$112,A48&amp;" / "&amp;B48,'2021'!$B$24:$B$112,"Playoffs")+COUNTIFS('2022'!$L$24:$L$112,A48&amp;" / "&amp;B48,'2022'!$B$24:$B$112,"Playoffs")+COUNTIFS('2023'!$L$24:$L$112,A48&amp;" / "&amp;B48,'2023'!$B$24:$B$112,"Playoffs")+COUNTIFS('2024'!$L$24:$L$112,A48&amp;" / "&amp;B48,'2024'!$B$24:$B$112,"Playoffs")+COUNTIFS('2025'!$L$24:$L$112,A48&amp;" / "&amp;B48,'2025'!$B$24:$B$112,"Playoffs")</x:f>
        <x:v>0</x:v>
      </x:c>
      <x:c r="L48" s="2" t="n">
        <x:f>COUNTIFS('2015'!$L$24:$L$96,A48&amp;" / "&amp;B48,'2015'!$B$24:$B$96,"Unconfirmed")+COUNTIFS('2016'!$L$24:$L$96,A48&amp;" / "&amp;B48,'2016'!$B$24:$B$96,"Unconfirmed")+COUNTIFS('2017'!$L$24:$L$106,A48&amp;" / "&amp;B48,'2017'!$B$24:$B$106,"Unconfirmed")+COUNTIFS('2018'!$L$24:$L$106,A48&amp;" / "&amp;B48,'2018'!$B$24:$B$106,"Unconfirmed")+COUNTIFS('2019'!$L$24:$L$106,A48&amp;" / "&amp;B48,'2019'!$B$24:$B$106,"Unconfirmed")+COUNTIFS('2020'!$L$24:$L$106,A48&amp;" / "&amp;B48,'2020'!$B$24:$B$106,"Unconfirmed")+COUNTIFS('2021'!$L$24:$L$112,A48&amp;" / "&amp;B48,'2021'!$B$24:$B$112,"Unconfirmed")+COUNTIFS('2022'!$L$24:$L$112,A48&amp;" / "&amp;B48,'2022'!$B$24:$B$112,"Unconfirmed")+COUNTIFS('2023'!$L$24:$L$112,A48&amp;" / "&amp;B48,'2023'!$B$24:$B$112,"Unconfirmed")+COUNTIFS('2024'!$L$24:$L$112,A48&amp;" / "&amp;B48,'2024'!$B$24:$B$112,"Unconfirmed")+COUNTIFS('2025'!$L$24:$L$112,A48&amp;" / "&amp;B48,'2025'!$B$24:$B$112,"Unconfirmed")</x:f>
        <x:v>0</x:v>
      </x:c>
    </x:row>
    <x:row r="49" ht="22" customHeight="1">
      <x:c r="A49" s="2" t="str">
        <x:v>Bruce</x:v>
      </x:c>
      <x:c r="B49" s="2" t="str">
        <x:v>Ryan</x:v>
      </x:c>
      <x:c r="C49" s="2" t="n">
        <x:f>COUNTIFS('2015'!$L$24:$L$96,A49&amp;" / "&amp;B49)+COUNTIFS('2016'!$L$24:$L$96,A49&amp;" / "&amp;B49)+COUNTIFS('2017'!$L$24:$L$106,A49&amp;" / "&amp;B49)+COUNTIFS('2018'!$L$24:$L$106,A49&amp;" / "&amp;B49)+COUNTIFS('2019'!$L$24:$L$106,A49&amp;" / "&amp;B49)+COUNTIFS('2020'!$L$24:$L$106,A49&amp;" / "&amp;B49)+COUNTIFS('2021'!$L$24:$L$112,A49&amp;" / "&amp;B49)+COUNTIFS('2022'!$L$24:$L$112,A49&amp;" / "&amp;B49)+COUNTIFS('2023'!$L$24:$L$112,A49&amp;" / "&amp;B49)+COUNTIFS('2024'!$L$24:$L$112,A49&amp;" / "&amp;B49)+COUNTIFS('2025'!$L$24:$L$112,A49&amp;" / "&amp;B49)</x:f>
        <x:v>1</x:v>
      </x:c>
      <x:c r="D49" s="2" t="n">
        <x:f>COUNTIFS('2015'!$L$24:$L$96,A49&amp;" / "&amp;B49,'2015'!$I$24:$I$96,A49)+COUNTIFS('2016'!$L$24:$L$96,A49&amp;" / "&amp;B49,'2016'!$I$24:$I$96,A49)+COUNTIFS('2017'!$L$24:$L$106,A49&amp;" / "&amp;B49,'2017'!$I$24:$I$106,A49)+COUNTIFS('2018'!$L$24:$L$106,A49&amp;" / "&amp;B49,'2018'!$I$24:$I$106,A49)+COUNTIFS('2019'!$L$24:$L$106,A49&amp;" / "&amp;B49,'2019'!$I$24:$I$106,A49)+COUNTIFS('2020'!$L$24:$L$106,A49&amp;" / "&amp;B49,'2020'!$I$24:$I$106,A49)+COUNTIFS('2021'!$L$24:$L$112,A49&amp;" / "&amp;B49,'2021'!$I$24:$I$112,A49)+COUNTIFS('2022'!$L$24:$L$112,A49&amp;" / "&amp;B49,'2022'!$I$24:$I$112,A49)+COUNTIFS('2023'!$L$24:$L$112,A49&amp;" / "&amp;B49,'2023'!$I$24:$I$112,A49)+COUNTIFS('2024'!$L$24:$L$112,A49&amp;" / "&amp;B49,'2024'!$I$24:$I$112,A49)+COUNTIFS('2025'!$L$24:$L$112,A49&amp;" / "&amp;B49,'2025'!$I$24:$I$112,A49)</x:f>
        <x:v>0</x:v>
      </x:c>
      <x:c r="E49" s="2" t="n">
        <x:f>COUNTIFS('2015'!$L$24:$L$96,A49&amp;" / "&amp;B49,'2015'!$I$24:$I$96,B49)+COUNTIFS('2016'!$L$24:$L$96,A49&amp;" / "&amp;B49,'2016'!$I$24:$I$96,B49)+COUNTIFS('2017'!$L$24:$L$106,A49&amp;" / "&amp;B49,'2017'!$I$24:$I$106,B49)+COUNTIFS('2018'!$L$24:$L$106,A49&amp;" / "&amp;B49,'2018'!$I$24:$I$106,B49)+COUNTIFS('2019'!$L$24:$L$106,A49&amp;" / "&amp;B49,'2019'!$I$24:$I$106,B49)+COUNTIFS('2020'!$L$24:$L$106,A49&amp;" / "&amp;B49,'2020'!$I$24:$I$106,B49)+COUNTIFS('2021'!$L$24:$L$112,A49&amp;" / "&amp;B49,'2021'!$I$24:$I$112,B49)+COUNTIFS('2022'!$L$24:$L$112,A49&amp;" / "&amp;B49,'2022'!$I$24:$I$112,B49)+COUNTIFS('2023'!$L$24:$L$112,A49&amp;" / "&amp;B49,'2023'!$I$24:$I$112,B49)+COUNTIFS('2024'!$L$24:$L$112,A49&amp;" / "&amp;B49,'2024'!$I$24:$I$112,B49)+COUNTIFS('2025'!$L$24:$L$112,A49&amp;" / "&amp;B49,'2025'!$I$24:$I$112,B49)</x:f>
        <x:v>1</x:v>
      </x:c>
      <x:c r="F49" s="2" t="n">
        <x:f>COUNTIFS('2015'!$L$24:$L$96,A49&amp;" / "&amp;B49,'2015'!$K$24:$K$96,1)+COUNTIFS('2016'!$L$24:$L$96,A49&amp;" / "&amp;B49,'2016'!$K$24:$K$96,1)+COUNTIFS('2017'!$L$24:$L$106,A49&amp;" / "&amp;B49,'2017'!$K$24:$K$106,1)+COUNTIFS('2018'!$L$24:$L$106,A49&amp;" / "&amp;B49,'2018'!$K$24:$K$106,1)+COUNTIFS('2019'!$L$24:$L$106,A49&amp;" / "&amp;B49,'2019'!$K$24:$K$106,1)+COUNTIFS('2020'!$L$24:$L$106,A49&amp;" / "&amp;B49,'2020'!$K$24:$K$106,1)+COUNTIFS('2021'!$L$24:$L$112,A49&amp;" / "&amp;B49,'2021'!$K$24:$K$112,1)+COUNTIFS('2022'!$L$24:$L$112,A49&amp;" / "&amp;B49,'2022'!$K$24:$K$112,1)+COUNTIFS('2023'!$L$24:$L$112,A49&amp;" / "&amp;B49,'2023'!$K$24:$K$112,1)+COUNTIFS('2024'!$L$24:$L$112,A49&amp;" / "&amp;B49,'2024'!$K$24:$K$112,1)+COUNTIFS('2025'!$L$24:$L$112,A49&amp;" / "&amp;B49,'2025'!$K$24:$K$112,1)</x:f>
        <x:v>0</x:v>
      </x:c>
      <x:c r="G49" s="25" t="n">
        <x:f>SUMIFS('2015'!$E$24:$E$96,'2015'!$L$24:$L$96,A49&amp;" / "&amp;B49,'2015'!$C$24:$C$96,A49)+SUMIFS('2015'!$H$24:$H$96,'2015'!$L$24:$L$96,A49&amp;" / "&amp;B49,'2015'!$F$24:$F$96,A49)+SUMIFS('2016'!$E$24:$E$96,'2016'!$L$24:$L$96,A49&amp;" / "&amp;B49,'2016'!$C$24:$C$96,A49)+SUMIFS('2016'!$H$24:$H$96,'2016'!$L$24:$L$96,A49&amp;" / "&amp;B49,'2016'!$F$24:$F$96,A49)+SUMIFS('2017'!$E$24:$E$106,'2017'!$L$24:$L$106,A49&amp;" / "&amp;B49,'2017'!$C$24:$C$106,A49)+SUMIFS('2017'!$H$24:$H$106,'2017'!$L$24:$L$106,A49&amp;" / "&amp;B49,'2017'!$F$24:$F$106,A49)+SUMIFS('2018'!$E$24:$E$106,'2018'!$L$24:$L$106,A49&amp;" / "&amp;B49,'2018'!$C$24:$C$106,A49)+SUMIFS('2018'!$H$24:$H$106,'2018'!$L$24:$L$106,A49&amp;" / "&amp;B49,'2018'!$F$24:$F$106,A49)+SUMIFS('2019'!$E$24:$E$106,'2019'!$L$24:$L$106,A49&amp;" / "&amp;B49,'2019'!$C$24:$C$106,A49)+SUMIFS('2019'!$H$24:$H$106,'2019'!$L$24:$L$106,A49&amp;" / "&amp;B49,'2019'!$F$24:$F$106,A49)+SUMIFS('2020'!$E$24:$E$106,'2020'!$L$24:$L$106,A49&amp;" / "&amp;B49,'2020'!$C$24:$C$106,A49)+SUMIFS('2020'!$H$24:$H$106,'2020'!$L$24:$L$106,A49&amp;" / "&amp;B49,'2020'!$F$24:$F$106,A49)+SUMIFS('2021'!$E$24:$E$112,'2021'!$L$24:$L$112,A49&amp;" / "&amp;B49,'2021'!$C$24:$C$112,A49)+SUMIFS('2021'!$H$24:$H$112,'2021'!$L$24:$L$112,A49&amp;" / "&amp;B49,'2021'!$F$24:$F$112,A49)+SUMIFS('2022'!$E$24:$E$112,'2022'!$L$24:$L$112,A49&amp;" / "&amp;B49,'2022'!$C$24:$C$112,A49)+SUMIFS('2022'!$H$24:$H$112,'2022'!$L$24:$L$112,A49&amp;" / "&amp;B49,'2022'!$F$24:$F$112,A49)+SUMIFS('2023'!$E$24:$E$112,'2023'!$L$24:$L$112,A49&amp;" / "&amp;B49,'2023'!$C$24:$C$112,A49)+SUMIFS('2023'!$H$24:$H$112,'2023'!$L$24:$L$112,A49&amp;" / "&amp;B49,'2023'!$F$24:$F$112,A49)+SUMIFS('2024'!$E$24:$E$112,'2024'!$L$24:$L$112,A49&amp;" / "&amp;B49,'2024'!$C$24:$C$112,A49)+SUMIFS('2024'!$H$24:$H$112,'2024'!$L$24:$L$112,A49&amp;" / "&amp;B49,'2024'!$F$24:$F$112,A49)+SUMIFS('2025'!$E$24:$E$112,'2025'!$L$24:$L$112,A49&amp;" / "&amp;B49,'2025'!$C$24:$C$112,A49)+SUMIFS('2025'!$H$24:$H$112,'2025'!$L$24:$L$112,A49&amp;" / "&amp;B49,'2025'!$F$24:$F$112,A49)</x:f>
        <x:v>112.65</x:v>
      </x:c>
      <x:c r="H49" s="25" t="n">
        <x:f>SUMIFS('2015'!$E$24:$E$96,'2015'!$L$24:$L$96,A49&amp;" / "&amp;B49,'2015'!$C$24:$C$96,B49)+SUMIFS('2015'!$H$24:$H$96,'2015'!$L$24:$L$96,A49&amp;" / "&amp;B49,'2015'!$F$24:$F$96,B49)+SUMIFS('2016'!$E$24:$E$96,'2016'!$L$24:$L$96,A49&amp;" / "&amp;B49,'2016'!$C$24:$C$96,B49)+SUMIFS('2016'!$H$24:$H$96,'2016'!$L$24:$L$96,A49&amp;" / "&amp;B49,'2016'!$F$24:$F$96,B49)+SUMIFS('2017'!$E$24:$E$106,'2017'!$L$24:$L$106,A49&amp;" / "&amp;B49,'2017'!$C$24:$C$106,B49)+SUMIFS('2017'!$H$24:$H$106,'2017'!$L$24:$L$106,A49&amp;" / "&amp;B49,'2017'!$F$24:$F$106,B49)+SUMIFS('2018'!$E$24:$E$106,'2018'!$L$24:$L$106,A49&amp;" / "&amp;B49,'2018'!$C$24:$C$106,B49)+SUMIFS('2018'!$H$24:$H$106,'2018'!$L$24:$L$106,A49&amp;" / "&amp;B49,'2018'!$F$24:$F$106,B49)+SUMIFS('2019'!$E$24:$E$106,'2019'!$L$24:$L$106,A49&amp;" / "&amp;B49,'2019'!$C$24:$C$106,B49)+SUMIFS('2019'!$H$24:$H$106,'2019'!$L$24:$L$106,A49&amp;" / "&amp;B49,'2019'!$F$24:$F$106,B49)+SUMIFS('2020'!$E$24:$E$106,'2020'!$L$24:$L$106,A49&amp;" / "&amp;B49,'2020'!$C$24:$C$106,B49)+SUMIFS('2020'!$H$24:$H$106,'2020'!$L$24:$L$106,A49&amp;" / "&amp;B49,'2020'!$F$24:$F$106,B49)+SUMIFS('2021'!$E$24:$E$112,'2021'!$L$24:$L$112,A49&amp;" / "&amp;B49,'2021'!$C$24:$C$112,B49)+SUMIFS('2021'!$H$24:$H$112,'2021'!$L$24:$L$112,A49&amp;" / "&amp;B49,'2021'!$F$24:$F$112,B49)+SUMIFS('2022'!$E$24:$E$112,'2022'!$L$24:$L$112,A49&amp;" / "&amp;B49,'2022'!$C$24:$C$112,B49)+SUMIFS('2022'!$H$24:$H$112,'2022'!$L$24:$L$112,A49&amp;" / "&amp;B49,'2022'!$F$24:$F$112,B49)+SUMIFS('2023'!$E$24:$E$112,'2023'!$L$24:$L$112,A49&amp;" / "&amp;B49,'2023'!$C$24:$C$112,B49)+SUMIFS('2023'!$H$24:$H$112,'2023'!$L$24:$L$112,A49&amp;" / "&amp;B49,'2023'!$F$24:$F$112,B49)+SUMIFS('2024'!$E$24:$E$112,'2024'!$L$24:$L$112,A49&amp;" / "&amp;B49,'2024'!$C$24:$C$112,B49)+SUMIFS('2024'!$H$24:$H$112,'2024'!$L$24:$L$112,A49&amp;" / "&amp;B49,'2024'!$F$24:$F$112,B49)+SUMIFS('2025'!$E$24:$E$112,'2025'!$L$24:$L$112,A49&amp;" / "&amp;B49,'2025'!$C$24:$C$112,B49)+SUMIFS('2025'!$H$24:$H$112,'2025'!$L$24:$L$112,A49&amp;" / "&amp;B49,'2025'!$F$24:$F$112,B49)</x:f>
        <x:v>121.45</x:v>
      </x:c>
      <x:c r="I49" s="11" t="n">
        <x:f>IF(C49=0,0,(D49+0.5*F49)/C49)</x:f>
        <x:v>0</x:v>
      </x:c>
      <x:c r="J49" s="2" t="n">
        <x:f>COUNTIFS('2015'!$L$24:$L$96,A49&amp;" / "&amp;B49,'2015'!$B$24:$B$96,"Regular")+COUNTIFS('2016'!$L$24:$L$96,A49&amp;" / "&amp;B49,'2016'!$B$24:$B$96,"Regular")+COUNTIFS('2017'!$L$24:$L$106,A49&amp;" / "&amp;B49,'2017'!$B$24:$B$106,"Regular")+COUNTIFS('2018'!$L$24:$L$106,A49&amp;" / "&amp;B49,'2018'!$B$24:$B$106,"Regular")+COUNTIFS('2019'!$L$24:$L$106,A49&amp;" / "&amp;B49,'2019'!$B$24:$B$106,"Regular")+COUNTIFS('2020'!$L$24:$L$106,A49&amp;" / "&amp;B49,'2020'!$B$24:$B$106,"Regular")+COUNTIFS('2021'!$L$24:$L$112,A49&amp;" / "&amp;B49,'2021'!$B$24:$B$112,"Regular")+COUNTIFS('2022'!$L$24:$L$112,A49&amp;" / "&amp;B49,'2022'!$B$24:$B$112,"Regular")+COUNTIFS('2023'!$L$24:$L$112,A49&amp;" / "&amp;B49,'2023'!$B$24:$B$112,"Regular")+COUNTIFS('2024'!$L$24:$L$112,A49&amp;" / "&amp;B49,'2024'!$B$24:$B$112,"Regular")+COUNTIFS('2025'!$L$24:$L$112,A49&amp;" / "&amp;B49,'2025'!$B$24:$B$112,"Regular")</x:f>
        <x:v>1</x:v>
      </x:c>
      <x:c r="K49" s="2" t="n">
        <x:f>COUNTIFS('2015'!$L$24:$L$96,A49&amp;" / "&amp;B49,'2015'!$B$24:$B$96,"Playoffs")+COUNTIFS('2016'!$L$24:$L$96,A49&amp;" / "&amp;B49,'2016'!$B$24:$B$96,"Playoffs")+COUNTIFS('2017'!$L$24:$L$106,A49&amp;" / "&amp;B49,'2017'!$B$24:$B$106,"Playoffs")+COUNTIFS('2018'!$L$24:$L$106,A49&amp;" / "&amp;B49,'2018'!$B$24:$B$106,"Playoffs")+COUNTIFS('2019'!$L$24:$L$106,A49&amp;" / "&amp;B49,'2019'!$B$24:$B$106,"Playoffs")+COUNTIFS('2020'!$L$24:$L$106,A49&amp;" / "&amp;B49,'2020'!$B$24:$B$106,"Playoffs")+COUNTIFS('2021'!$L$24:$L$112,A49&amp;" / "&amp;B49,'2021'!$B$24:$B$112,"Playoffs")+COUNTIFS('2022'!$L$24:$L$112,A49&amp;" / "&amp;B49,'2022'!$B$24:$B$112,"Playoffs")+COUNTIFS('2023'!$L$24:$L$112,A49&amp;" / "&amp;B49,'2023'!$B$24:$B$112,"Playoffs")+COUNTIFS('2024'!$L$24:$L$112,A49&amp;" / "&amp;B49,'2024'!$B$24:$B$112,"Playoffs")+COUNTIFS('2025'!$L$24:$L$112,A49&amp;" / "&amp;B49,'2025'!$B$24:$B$112,"Playoffs")</x:f>
        <x:v>0</x:v>
      </x:c>
      <x:c r="L49" s="2" t="n">
        <x:f>COUNTIFS('2015'!$L$24:$L$96,A49&amp;" / "&amp;B49,'2015'!$B$24:$B$96,"Unconfirmed")+COUNTIFS('2016'!$L$24:$L$96,A49&amp;" / "&amp;B49,'2016'!$B$24:$B$96,"Unconfirmed")+COUNTIFS('2017'!$L$24:$L$106,A49&amp;" / "&amp;B49,'2017'!$B$24:$B$106,"Unconfirmed")+COUNTIFS('2018'!$L$24:$L$106,A49&amp;" / "&amp;B49,'2018'!$B$24:$B$106,"Unconfirmed")+COUNTIFS('2019'!$L$24:$L$106,A49&amp;" / "&amp;B49,'2019'!$B$24:$B$106,"Unconfirmed")+COUNTIFS('2020'!$L$24:$L$106,A49&amp;" / "&amp;B49,'2020'!$B$24:$B$106,"Unconfirmed")+COUNTIFS('2021'!$L$24:$L$112,A49&amp;" / "&amp;B49,'2021'!$B$24:$B$112,"Unconfirmed")+COUNTIFS('2022'!$L$24:$L$112,A49&amp;" / "&amp;B49,'2022'!$B$24:$B$112,"Unconfirmed")+COUNTIFS('2023'!$L$24:$L$112,A49&amp;" / "&amp;B49,'2023'!$B$24:$B$112,"Unconfirmed")+COUNTIFS('2024'!$L$24:$L$112,A49&amp;" / "&amp;B49,'2024'!$B$24:$B$112,"Unconfirmed")+COUNTIFS('2025'!$L$24:$L$112,A49&amp;" / "&amp;B49,'2025'!$B$24:$B$112,"Unconfirmed")</x:f>
        <x:v>0</x:v>
      </x:c>
    </x:row>
    <x:row r="50" ht="22" customHeight="1">
      <x:c r="A50" s="2" t="str">
        <x:v>Bruce</x:v>
      </x:c>
      <x:c r="B50" s="2" t="str">
        <x:v>Taylor</x:v>
      </x:c>
      <x:c r="C50" s="2" t="n">
        <x:f>COUNTIFS('2015'!$L$24:$L$96,A50&amp;" / "&amp;B50)+COUNTIFS('2016'!$L$24:$L$96,A50&amp;" / "&amp;B50)+COUNTIFS('2017'!$L$24:$L$106,A50&amp;" / "&amp;B50)+COUNTIFS('2018'!$L$24:$L$106,A50&amp;" / "&amp;B50)+COUNTIFS('2019'!$L$24:$L$106,A50&amp;" / "&amp;B50)+COUNTIFS('2020'!$L$24:$L$106,A50&amp;" / "&amp;B50)+COUNTIFS('2021'!$L$24:$L$112,A50&amp;" / "&amp;B50)+COUNTIFS('2022'!$L$24:$L$112,A50&amp;" / "&amp;B50)+COUNTIFS('2023'!$L$24:$L$112,A50&amp;" / "&amp;B50)+COUNTIFS('2024'!$L$24:$L$112,A50&amp;" / "&amp;B50)+COUNTIFS('2025'!$L$24:$L$112,A50&amp;" / "&amp;B50)</x:f>
        <x:v>4</x:v>
      </x:c>
      <x:c r="D50" s="2" t="n">
        <x:f>COUNTIFS('2015'!$L$24:$L$96,A50&amp;" / "&amp;B50,'2015'!$I$24:$I$96,A50)+COUNTIFS('2016'!$L$24:$L$96,A50&amp;" / "&amp;B50,'2016'!$I$24:$I$96,A50)+COUNTIFS('2017'!$L$24:$L$106,A50&amp;" / "&amp;B50,'2017'!$I$24:$I$106,A50)+COUNTIFS('2018'!$L$24:$L$106,A50&amp;" / "&amp;B50,'2018'!$I$24:$I$106,A50)+COUNTIFS('2019'!$L$24:$L$106,A50&amp;" / "&amp;B50,'2019'!$I$24:$I$106,A50)+COUNTIFS('2020'!$L$24:$L$106,A50&amp;" / "&amp;B50,'2020'!$I$24:$I$106,A50)+COUNTIFS('2021'!$L$24:$L$112,A50&amp;" / "&amp;B50,'2021'!$I$24:$I$112,A50)+COUNTIFS('2022'!$L$24:$L$112,A50&amp;" / "&amp;B50,'2022'!$I$24:$I$112,A50)+COUNTIFS('2023'!$L$24:$L$112,A50&amp;" / "&amp;B50,'2023'!$I$24:$I$112,A50)+COUNTIFS('2024'!$L$24:$L$112,A50&amp;" / "&amp;B50,'2024'!$I$24:$I$112,A50)+COUNTIFS('2025'!$L$24:$L$112,A50&amp;" / "&amp;B50,'2025'!$I$24:$I$112,A50)</x:f>
        <x:v>2</x:v>
      </x:c>
      <x:c r="E50" s="2" t="n">
        <x:f>COUNTIFS('2015'!$L$24:$L$96,A50&amp;" / "&amp;B50,'2015'!$I$24:$I$96,B50)+COUNTIFS('2016'!$L$24:$L$96,A50&amp;" / "&amp;B50,'2016'!$I$24:$I$96,B50)+COUNTIFS('2017'!$L$24:$L$106,A50&amp;" / "&amp;B50,'2017'!$I$24:$I$106,B50)+COUNTIFS('2018'!$L$24:$L$106,A50&amp;" / "&amp;B50,'2018'!$I$24:$I$106,B50)+COUNTIFS('2019'!$L$24:$L$106,A50&amp;" / "&amp;B50,'2019'!$I$24:$I$106,B50)+COUNTIFS('2020'!$L$24:$L$106,A50&amp;" / "&amp;B50,'2020'!$I$24:$I$106,B50)+COUNTIFS('2021'!$L$24:$L$112,A50&amp;" / "&amp;B50,'2021'!$I$24:$I$112,B50)+COUNTIFS('2022'!$L$24:$L$112,A50&amp;" / "&amp;B50,'2022'!$I$24:$I$112,B50)+COUNTIFS('2023'!$L$24:$L$112,A50&amp;" / "&amp;B50,'2023'!$I$24:$I$112,B50)+COUNTIFS('2024'!$L$24:$L$112,A50&amp;" / "&amp;B50,'2024'!$I$24:$I$112,B50)+COUNTIFS('2025'!$L$24:$L$112,A50&amp;" / "&amp;B50,'2025'!$I$24:$I$112,B50)</x:f>
        <x:v>1</x:v>
      </x:c>
      <x:c r="F50" s="2" t="n">
        <x:f>COUNTIFS('2015'!$L$24:$L$96,A50&amp;" / "&amp;B50,'2015'!$K$24:$K$96,1)+COUNTIFS('2016'!$L$24:$L$96,A50&amp;" / "&amp;B50,'2016'!$K$24:$K$96,1)+COUNTIFS('2017'!$L$24:$L$106,A50&amp;" / "&amp;B50,'2017'!$K$24:$K$106,1)+COUNTIFS('2018'!$L$24:$L$106,A50&amp;" / "&amp;B50,'2018'!$K$24:$K$106,1)+COUNTIFS('2019'!$L$24:$L$106,A50&amp;" / "&amp;B50,'2019'!$K$24:$K$106,1)+COUNTIFS('2020'!$L$24:$L$106,A50&amp;" / "&amp;B50,'2020'!$K$24:$K$106,1)+COUNTIFS('2021'!$L$24:$L$112,A50&amp;" / "&amp;B50,'2021'!$K$24:$K$112,1)+COUNTIFS('2022'!$L$24:$L$112,A50&amp;" / "&amp;B50,'2022'!$K$24:$K$112,1)+COUNTIFS('2023'!$L$24:$L$112,A50&amp;" / "&amp;B50,'2023'!$K$24:$K$112,1)+COUNTIFS('2024'!$L$24:$L$112,A50&amp;" / "&amp;B50,'2024'!$K$24:$K$112,1)+COUNTIFS('2025'!$L$24:$L$112,A50&amp;" / "&amp;B50,'2025'!$K$24:$K$112,1)</x:f>
        <x:v>1</x:v>
      </x:c>
      <x:c r="G50" s="25" t="n">
        <x:f>SUMIFS('2015'!$E$24:$E$96,'2015'!$L$24:$L$96,A50&amp;" / "&amp;B50,'2015'!$C$24:$C$96,A50)+SUMIFS('2015'!$H$24:$H$96,'2015'!$L$24:$L$96,A50&amp;" / "&amp;B50,'2015'!$F$24:$F$96,A50)+SUMIFS('2016'!$E$24:$E$96,'2016'!$L$24:$L$96,A50&amp;" / "&amp;B50,'2016'!$C$24:$C$96,A50)+SUMIFS('2016'!$H$24:$H$96,'2016'!$L$24:$L$96,A50&amp;" / "&amp;B50,'2016'!$F$24:$F$96,A50)+SUMIFS('2017'!$E$24:$E$106,'2017'!$L$24:$L$106,A50&amp;" / "&amp;B50,'2017'!$C$24:$C$106,A50)+SUMIFS('2017'!$H$24:$H$106,'2017'!$L$24:$L$106,A50&amp;" / "&amp;B50,'2017'!$F$24:$F$106,A50)+SUMIFS('2018'!$E$24:$E$106,'2018'!$L$24:$L$106,A50&amp;" / "&amp;B50,'2018'!$C$24:$C$106,A50)+SUMIFS('2018'!$H$24:$H$106,'2018'!$L$24:$L$106,A50&amp;" / "&amp;B50,'2018'!$F$24:$F$106,A50)+SUMIFS('2019'!$E$24:$E$106,'2019'!$L$24:$L$106,A50&amp;" / "&amp;B50,'2019'!$C$24:$C$106,A50)+SUMIFS('2019'!$H$24:$H$106,'2019'!$L$24:$L$106,A50&amp;" / "&amp;B50,'2019'!$F$24:$F$106,A50)+SUMIFS('2020'!$E$24:$E$106,'2020'!$L$24:$L$106,A50&amp;" / "&amp;B50,'2020'!$C$24:$C$106,A50)+SUMIFS('2020'!$H$24:$H$106,'2020'!$L$24:$L$106,A50&amp;" / "&amp;B50,'2020'!$F$24:$F$106,A50)+SUMIFS('2021'!$E$24:$E$112,'2021'!$L$24:$L$112,A50&amp;" / "&amp;B50,'2021'!$C$24:$C$112,A50)+SUMIFS('2021'!$H$24:$H$112,'2021'!$L$24:$L$112,A50&amp;" / "&amp;B50,'2021'!$F$24:$F$112,A50)+SUMIFS('2022'!$E$24:$E$112,'2022'!$L$24:$L$112,A50&amp;" / "&amp;B50,'2022'!$C$24:$C$112,A50)+SUMIFS('2022'!$H$24:$H$112,'2022'!$L$24:$L$112,A50&amp;" / "&amp;B50,'2022'!$F$24:$F$112,A50)+SUMIFS('2023'!$E$24:$E$112,'2023'!$L$24:$L$112,A50&amp;" / "&amp;B50,'2023'!$C$24:$C$112,A50)+SUMIFS('2023'!$H$24:$H$112,'2023'!$L$24:$L$112,A50&amp;" / "&amp;B50,'2023'!$F$24:$F$112,A50)+SUMIFS('2024'!$E$24:$E$112,'2024'!$L$24:$L$112,A50&amp;" / "&amp;B50,'2024'!$C$24:$C$112,A50)+SUMIFS('2024'!$H$24:$H$112,'2024'!$L$24:$L$112,A50&amp;" / "&amp;B50,'2024'!$F$24:$F$112,A50)+SUMIFS('2025'!$E$24:$E$112,'2025'!$L$24:$L$112,A50&amp;" / "&amp;B50,'2025'!$C$24:$C$112,A50)+SUMIFS('2025'!$H$24:$H$112,'2025'!$L$24:$L$112,A50&amp;" / "&amp;B50,'2025'!$F$24:$F$112,A50)</x:f>
        <x:v>432</x:v>
      </x:c>
      <x:c r="H50" s="25" t="n">
        <x:f>SUMIFS('2015'!$E$24:$E$96,'2015'!$L$24:$L$96,A50&amp;" / "&amp;B50,'2015'!$C$24:$C$96,B50)+SUMIFS('2015'!$H$24:$H$96,'2015'!$L$24:$L$96,A50&amp;" / "&amp;B50,'2015'!$F$24:$F$96,B50)+SUMIFS('2016'!$E$24:$E$96,'2016'!$L$24:$L$96,A50&amp;" / "&amp;B50,'2016'!$C$24:$C$96,B50)+SUMIFS('2016'!$H$24:$H$96,'2016'!$L$24:$L$96,A50&amp;" / "&amp;B50,'2016'!$F$24:$F$96,B50)+SUMIFS('2017'!$E$24:$E$106,'2017'!$L$24:$L$106,A50&amp;" / "&amp;B50,'2017'!$C$24:$C$106,B50)+SUMIFS('2017'!$H$24:$H$106,'2017'!$L$24:$L$106,A50&amp;" / "&amp;B50,'2017'!$F$24:$F$106,B50)+SUMIFS('2018'!$E$24:$E$106,'2018'!$L$24:$L$106,A50&amp;" / "&amp;B50,'2018'!$C$24:$C$106,B50)+SUMIFS('2018'!$H$24:$H$106,'2018'!$L$24:$L$106,A50&amp;" / "&amp;B50,'2018'!$F$24:$F$106,B50)+SUMIFS('2019'!$E$24:$E$106,'2019'!$L$24:$L$106,A50&amp;" / "&amp;B50,'2019'!$C$24:$C$106,B50)+SUMIFS('2019'!$H$24:$H$106,'2019'!$L$24:$L$106,A50&amp;" / "&amp;B50,'2019'!$F$24:$F$106,B50)+SUMIFS('2020'!$E$24:$E$106,'2020'!$L$24:$L$106,A50&amp;" / "&amp;B50,'2020'!$C$24:$C$106,B50)+SUMIFS('2020'!$H$24:$H$106,'2020'!$L$24:$L$106,A50&amp;" / "&amp;B50,'2020'!$F$24:$F$106,B50)+SUMIFS('2021'!$E$24:$E$112,'2021'!$L$24:$L$112,A50&amp;" / "&amp;B50,'2021'!$C$24:$C$112,B50)+SUMIFS('2021'!$H$24:$H$112,'2021'!$L$24:$L$112,A50&amp;" / "&amp;B50,'2021'!$F$24:$F$112,B50)+SUMIFS('2022'!$E$24:$E$112,'2022'!$L$24:$L$112,A50&amp;" / "&amp;B50,'2022'!$C$24:$C$112,B50)+SUMIFS('2022'!$H$24:$H$112,'2022'!$L$24:$L$112,A50&amp;" / "&amp;B50,'2022'!$F$24:$F$112,B50)+SUMIFS('2023'!$E$24:$E$112,'2023'!$L$24:$L$112,A50&amp;" / "&amp;B50,'2023'!$C$24:$C$112,B50)+SUMIFS('2023'!$H$24:$H$112,'2023'!$L$24:$L$112,A50&amp;" / "&amp;B50,'2023'!$F$24:$F$112,B50)+SUMIFS('2024'!$E$24:$E$112,'2024'!$L$24:$L$112,A50&amp;" / "&amp;B50,'2024'!$C$24:$C$112,B50)+SUMIFS('2024'!$H$24:$H$112,'2024'!$L$24:$L$112,A50&amp;" / "&amp;B50,'2024'!$F$24:$F$112,B50)+SUMIFS('2025'!$E$24:$E$112,'2025'!$L$24:$L$112,A50&amp;" / "&amp;B50,'2025'!$C$24:$C$112,B50)+SUMIFS('2025'!$H$24:$H$112,'2025'!$L$24:$L$112,A50&amp;" / "&amp;B50,'2025'!$F$24:$F$112,B50)</x:f>
        <x:v>429</x:v>
      </x:c>
      <x:c r="I50" s="11" t="n">
        <x:f>IF(C50=0,0,(D50+0.5*F50)/C50)</x:f>
        <x:v>0.625</x:v>
      </x:c>
      <x:c r="J50" s="2" t="n">
        <x:f>COUNTIFS('2015'!$L$24:$L$96,A50&amp;" / "&amp;B50,'2015'!$B$24:$B$96,"Regular")+COUNTIFS('2016'!$L$24:$L$96,A50&amp;" / "&amp;B50,'2016'!$B$24:$B$96,"Regular")+COUNTIFS('2017'!$L$24:$L$106,A50&amp;" / "&amp;B50,'2017'!$B$24:$B$106,"Regular")+COUNTIFS('2018'!$L$24:$L$106,A50&amp;" / "&amp;B50,'2018'!$B$24:$B$106,"Regular")+COUNTIFS('2019'!$L$24:$L$106,A50&amp;" / "&amp;B50,'2019'!$B$24:$B$106,"Regular")+COUNTIFS('2020'!$L$24:$L$106,A50&amp;" / "&amp;B50,'2020'!$B$24:$B$106,"Regular")+COUNTIFS('2021'!$L$24:$L$112,A50&amp;" / "&amp;B50,'2021'!$B$24:$B$112,"Regular")+COUNTIFS('2022'!$L$24:$L$112,A50&amp;" / "&amp;B50,'2022'!$B$24:$B$112,"Regular")+COUNTIFS('2023'!$L$24:$L$112,A50&amp;" / "&amp;B50,'2023'!$B$24:$B$112,"Regular")+COUNTIFS('2024'!$L$24:$L$112,A50&amp;" / "&amp;B50,'2024'!$B$24:$B$112,"Regular")+COUNTIFS('2025'!$L$24:$L$112,A50&amp;" / "&amp;B50,'2025'!$B$24:$B$112,"Regular")</x:f>
        <x:v>4</x:v>
      </x:c>
      <x:c r="K50" s="2" t="n">
        <x:f>COUNTIFS('2015'!$L$24:$L$96,A50&amp;" / "&amp;B50,'2015'!$B$24:$B$96,"Playoffs")+COUNTIFS('2016'!$L$24:$L$96,A50&amp;" / "&amp;B50,'2016'!$B$24:$B$96,"Playoffs")+COUNTIFS('2017'!$L$24:$L$106,A50&amp;" / "&amp;B50,'2017'!$B$24:$B$106,"Playoffs")+COUNTIFS('2018'!$L$24:$L$106,A50&amp;" / "&amp;B50,'2018'!$B$24:$B$106,"Playoffs")+COUNTIFS('2019'!$L$24:$L$106,A50&amp;" / "&amp;B50,'2019'!$B$24:$B$106,"Playoffs")+COUNTIFS('2020'!$L$24:$L$106,A50&amp;" / "&amp;B50,'2020'!$B$24:$B$106,"Playoffs")+COUNTIFS('2021'!$L$24:$L$112,A50&amp;" / "&amp;B50,'2021'!$B$24:$B$112,"Playoffs")+COUNTIFS('2022'!$L$24:$L$112,A50&amp;" / "&amp;B50,'2022'!$B$24:$B$112,"Playoffs")+COUNTIFS('2023'!$L$24:$L$112,A50&amp;" / "&amp;B50,'2023'!$B$24:$B$112,"Playoffs")+COUNTIFS('2024'!$L$24:$L$112,A50&amp;" / "&amp;B50,'2024'!$B$24:$B$112,"Playoffs")+COUNTIFS('2025'!$L$24:$L$112,A50&amp;" / "&amp;B50,'2025'!$B$24:$B$112,"Playoffs")</x:f>
        <x:v>0</x:v>
      </x:c>
      <x:c r="L50" s="2" t="n">
        <x:f>COUNTIFS('2015'!$L$24:$L$96,A50&amp;" / "&amp;B50,'2015'!$B$24:$B$96,"Unconfirmed")+COUNTIFS('2016'!$L$24:$L$96,A50&amp;" / "&amp;B50,'2016'!$B$24:$B$96,"Unconfirmed")+COUNTIFS('2017'!$L$24:$L$106,A50&amp;" / "&amp;B50,'2017'!$B$24:$B$106,"Unconfirmed")+COUNTIFS('2018'!$L$24:$L$106,A50&amp;" / "&amp;B50,'2018'!$B$24:$B$106,"Unconfirmed")+COUNTIFS('2019'!$L$24:$L$106,A50&amp;" / "&amp;B50,'2019'!$B$24:$B$106,"Unconfirmed")+COUNTIFS('2020'!$L$24:$L$106,A50&amp;" / "&amp;B50,'2020'!$B$24:$B$106,"Unconfirmed")+COUNTIFS('2021'!$L$24:$L$112,A50&amp;" / "&amp;B50,'2021'!$B$24:$B$112,"Unconfirmed")+COUNTIFS('2022'!$L$24:$L$112,A50&amp;" / "&amp;B50,'2022'!$B$24:$B$112,"Unconfirmed")+COUNTIFS('2023'!$L$24:$L$112,A50&amp;" / "&amp;B50,'2023'!$B$24:$B$112,"Unconfirmed")+COUNTIFS('2024'!$L$24:$L$112,A50&amp;" / "&amp;B50,'2024'!$B$24:$B$112,"Unconfirmed")+COUNTIFS('2025'!$L$24:$L$112,A50&amp;" / "&amp;B50,'2025'!$B$24:$B$112,"Unconfirmed")</x:f>
        <x:v>0</x:v>
      </x:c>
    </x:row>
    <x:row r="51" ht="22" customHeight="1">
      <x:c r="A51" s="2" t="str">
        <x:v>Bruce</x:v>
      </x:c>
      <x:c r="B51" s="2" t="str">
        <x:v>Troy</x:v>
      </x:c>
      <x:c r="C51" s="2" t="n">
        <x:f>COUNTIFS('2015'!$L$24:$L$96,A51&amp;" / "&amp;B51)+COUNTIFS('2016'!$L$24:$L$96,A51&amp;" / "&amp;B51)+COUNTIFS('2017'!$L$24:$L$106,A51&amp;" / "&amp;B51)+COUNTIFS('2018'!$L$24:$L$106,A51&amp;" / "&amp;B51)+COUNTIFS('2019'!$L$24:$L$106,A51&amp;" / "&amp;B51)+COUNTIFS('2020'!$L$24:$L$106,A51&amp;" / "&amp;B51)+COUNTIFS('2021'!$L$24:$L$112,A51&amp;" / "&amp;B51)+COUNTIFS('2022'!$L$24:$L$112,A51&amp;" / "&amp;B51)+COUNTIFS('2023'!$L$24:$L$112,A51&amp;" / "&amp;B51)+COUNTIFS('2024'!$L$24:$L$112,A51&amp;" / "&amp;B51)+COUNTIFS('2025'!$L$24:$L$112,A51&amp;" / "&amp;B51)</x:f>
        <x:v>2</x:v>
      </x:c>
      <x:c r="D51" s="2" t="n">
        <x:f>COUNTIFS('2015'!$L$24:$L$96,A51&amp;" / "&amp;B51,'2015'!$I$24:$I$96,A51)+COUNTIFS('2016'!$L$24:$L$96,A51&amp;" / "&amp;B51,'2016'!$I$24:$I$96,A51)+COUNTIFS('2017'!$L$24:$L$106,A51&amp;" / "&amp;B51,'2017'!$I$24:$I$106,A51)+COUNTIFS('2018'!$L$24:$L$106,A51&amp;" / "&amp;B51,'2018'!$I$24:$I$106,A51)+COUNTIFS('2019'!$L$24:$L$106,A51&amp;" / "&amp;B51,'2019'!$I$24:$I$106,A51)+COUNTIFS('2020'!$L$24:$L$106,A51&amp;" / "&amp;B51,'2020'!$I$24:$I$106,A51)+COUNTIFS('2021'!$L$24:$L$112,A51&amp;" / "&amp;B51,'2021'!$I$24:$I$112,A51)+COUNTIFS('2022'!$L$24:$L$112,A51&amp;" / "&amp;B51,'2022'!$I$24:$I$112,A51)+COUNTIFS('2023'!$L$24:$L$112,A51&amp;" / "&amp;B51,'2023'!$I$24:$I$112,A51)+COUNTIFS('2024'!$L$24:$L$112,A51&amp;" / "&amp;B51,'2024'!$I$24:$I$112,A51)+COUNTIFS('2025'!$L$24:$L$112,A51&amp;" / "&amp;B51,'2025'!$I$24:$I$112,A51)</x:f>
        <x:v>0</x:v>
      </x:c>
      <x:c r="E51" s="2" t="n">
        <x:f>COUNTIFS('2015'!$L$24:$L$96,A51&amp;" / "&amp;B51,'2015'!$I$24:$I$96,B51)+COUNTIFS('2016'!$L$24:$L$96,A51&amp;" / "&amp;B51,'2016'!$I$24:$I$96,B51)+COUNTIFS('2017'!$L$24:$L$106,A51&amp;" / "&amp;B51,'2017'!$I$24:$I$106,B51)+COUNTIFS('2018'!$L$24:$L$106,A51&amp;" / "&amp;B51,'2018'!$I$24:$I$106,B51)+COUNTIFS('2019'!$L$24:$L$106,A51&amp;" / "&amp;B51,'2019'!$I$24:$I$106,B51)+COUNTIFS('2020'!$L$24:$L$106,A51&amp;" / "&amp;B51,'2020'!$I$24:$I$106,B51)+COUNTIFS('2021'!$L$24:$L$112,A51&amp;" / "&amp;B51,'2021'!$I$24:$I$112,B51)+COUNTIFS('2022'!$L$24:$L$112,A51&amp;" / "&amp;B51,'2022'!$I$24:$I$112,B51)+COUNTIFS('2023'!$L$24:$L$112,A51&amp;" / "&amp;B51,'2023'!$I$24:$I$112,B51)+COUNTIFS('2024'!$L$24:$L$112,A51&amp;" / "&amp;B51,'2024'!$I$24:$I$112,B51)+COUNTIFS('2025'!$L$24:$L$112,A51&amp;" / "&amp;B51,'2025'!$I$24:$I$112,B51)</x:f>
        <x:v>1</x:v>
      </x:c>
      <x:c r="F51" s="2" t="n">
        <x:f>COUNTIFS('2015'!$L$24:$L$96,A51&amp;" / "&amp;B51,'2015'!$K$24:$K$96,1)+COUNTIFS('2016'!$L$24:$L$96,A51&amp;" / "&amp;B51,'2016'!$K$24:$K$96,1)+COUNTIFS('2017'!$L$24:$L$106,A51&amp;" / "&amp;B51,'2017'!$K$24:$K$106,1)+COUNTIFS('2018'!$L$24:$L$106,A51&amp;" / "&amp;B51,'2018'!$K$24:$K$106,1)+COUNTIFS('2019'!$L$24:$L$106,A51&amp;" / "&amp;B51,'2019'!$K$24:$K$106,1)+COUNTIFS('2020'!$L$24:$L$106,A51&amp;" / "&amp;B51,'2020'!$K$24:$K$106,1)+COUNTIFS('2021'!$L$24:$L$112,A51&amp;" / "&amp;B51,'2021'!$K$24:$K$112,1)+COUNTIFS('2022'!$L$24:$L$112,A51&amp;" / "&amp;B51,'2022'!$K$24:$K$112,1)+COUNTIFS('2023'!$L$24:$L$112,A51&amp;" / "&amp;B51,'2023'!$K$24:$K$112,1)+COUNTIFS('2024'!$L$24:$L$112,A51&amp;" / "&amp;B51,'2024'!$K$24:$K$112,1)+COUNTIFS('2025'!$L$24:$L$112,A51&amp;" / "&amp;B51,'2025'!$K$24:$K$112,1)</x:f>
        <x:v>1</x:v>
      </x:c>
      <x:c r="G51" s="25" t="n">
        <x:f>SUMIFS('2015'!$E$24:$E$96,'2015'!$L$24:$L$96,A51&amp;" / "&amp;B51,'2015'!$C$24:$C$96,A51)+SUMIFS('2015'!$H$24:$H$96,'2015'!$L$24:$L$96,A51&amp;" / "&amp;B51,'2015'!$F$24:$F$96,A51)+SUMIFS('2016'!$E$24:$E$96,'2016'!$L$24:$L$96,A51&amp;" / "&amp;B51,'2016'!$C$24:$C$96,A51)+SUMIFS('2016'!$H$24:$H$96,'2016'!$L$24:$L$96,A51&amp;" / "&amp;B51,'2016'!$F$24:$F$96,A51)+SUMIFS('2017'!$E$24:$E$106,'2017'!$L$24:$L$106,A51&amp;" / "&amp;B51,'2017'!$C$24:$C$106,A51)+SUMIFS('2017'!$H$24:$H$106,'2017'!$L$24:$L$106,A51&amp;" / "&amp;B51,'2017'!$F$24:$F$106,A51)+SUMIFS('2018'!$E$24:$E$106,'2018'!$L$24:$L$106,A51&amp;" / "&amp;B51,'2018'!$C$24:$C$106,A51)+SUMIFS('2018'!$H$24:$H$106,'2018'!$L$24:$L$106,A51&amp;" / "&amp;B51,'2018'!$F$24:$F$106,A51)+SUMIFS('2019'!$E$24:$E$106,'2019'!$L$24:$L$106,A51&amp;" / "&amp;B51,'2019'!$C$24:$C$106,A51)+SUMIFS('2019'!$H$24:$H$106,'2019'!$L$24:$L$106,A51&amp;" / "&amp;B51,'2019'!$F$24:$F$106,A51)+SUMIFS('2020'!$E$24:$E$106,'2020'!$L$24:$L$106,A51&amp;" / "&amp;B51,'2020'!$C$24:$C$106,A51)+SUMIFS('2020'!$H$24:$H$106,'2020'!$L$24:$L$106,A51&amp;" / "&amp;B51,'2020'!$F$24:$F$106,A51)+SUMIFS('2021'!$E$24:$E$112,'2021'!$L$24:$L$112,A51&amp;" / "&amp;B51,'2021'!$C$24:$C$112,A51)+SUMIFS('2021'!$H$24:$H$112,'2021'!$L$24:$L$112,A51&amp;" / "&amp;B51,'2021'!$F$24:$F$112,A51)+SUMIFS('2022'!$E$24:$E$112,'2022'!$L$24:$L$112,A51&amp;" / "&amp;B51,'2022'!$C$24:$C$112,A51)+SUMIFS('2022'!$H$24:$H$112,'2022'!$L$24:$L$112,A51&amp;" / "&amp;B51,'2022'!$F$24:$F$112,A51)+SUMIFS('2023'!$E$24:$E$112,'2023'!$L$24:$L$112,A51&amp;" / "&amp;B51,'2023'!$C$24:$C$112,A51)+SUMIFS('2023'!$H$24:$H$112,'2023'!$L$24:$L$112,A51&amp;" / "&amp;B51,'2023'!$F$24:$F$112,A51)+SUMIFS('2024'!$E$24:$E$112,'2024'!$L$24:$L$112,A51&amp;" / "&amp;B51,'2024'!$C$24:$C$112,A51)+SUMIFS('2024'!$H$24:$H$112,'2024'!$L$24:$L$112,A51&amp;" / "&amp;B51,'2024'!$F$24:$F$112,A51)+SUMIFS('2025'!$E$24:$E$112,'2025'!$L$24:$L$112,A51&amp;" / "&amp;B51,'2025'!$C$24:$C$112,A51)+SUMIFS('2025'!$H$24:$H$112,'2025'!$L$24:$L$112,A51&amp;" / "&amp;B51,'2025'!$F$24:$F$112,A51)</x:f>
        <x:v>224</x:v>
      </x:c>
      <x:c r="H51" s="25" t="n">
        <x:f>SUMIFS('2015'!$E$24:$E$96,'2015'!$L$24:$L$96,A51&amp;" / "&amp;B51,'2015'!$C$24:$C$96,B51)+SUMIFS('2015'!$H$24:$H$96,'2015'!$L$24:$L$96,A51&amp;" / "&amp;B51,'2015'!$F$24:$F$96,B51)+SUMIFS('2016'!$E$24:$E$96,'2016'!$L$24:$L$96,A51&amp;" / "&amp;B51,'2016'!$C$24:$C$96,B51)+SUMIFS('2016'!$H$24:$H$96,'2016'!$L$24:$L$96,A51&amp;" / "&amp;B51,'2016'!$F$24:$F$96,B51)+SUMIFS('2017'!$E$24:$E$106,'2017'!$L$24:$L$106,A51&amp;" / "&amp;B51,'2017'!$C$24:$C$106,B51)+SUMIFS('2017'!$H$24:$H$106,'2017'!$L$24:$L$106,A51&amp;" / "&amp;B51,'2017'!$F$24:$F$106,B51)+SUMIFS('2018'!$E$24:$E$106,'2018'!$L$24:$L$106,A51&amp;" / "&amp;B51,'2018'!$C$24:$C$106,B51)+SUMIFS('2018'!$H$24:$H$106,'2018'!$L$24:$L$106,A51&amp;" / "&amp;B51,'2018'!$F$24:$F$106,B51)+SUMIFS('2019'!$E$24:$E$106,'2019'!$L$24:$L$106,A51&amp;" / "&amp;B51,'2019'!$C$24:$C$106,B51)+SUMIFS('2019'!$H$24:$H$106,'2019'!$L$24:$L$106,A51&amp;" / "&amp;B51,'2019'!$F$24:$F$106,B51)+SUMIFS('2020'!$E$24:$E$106,'2020'!$L$24:$L$106,A51&amp;" / "&amp;B51,'2020'!$C$24:$C$106,B51)+SUMIFS('2020'!$H$24:$H$106,'2020'!$L$24:$L$106,A51&amp;" / "&amp;B51,'2020'!$F$24:$F$106,B51)+SUMIFS('2021'!$E$24:$E$112,'2021'!$L$24:$L$112,A51&amp;" / "&amp;B51,'2021'!$C$24:$C$112,B51)+SUMIFS('2021'!$H$24:$H$112,'2021'!$L$24:$L$112,A51&amp;" / "&amp;B51,'2021'!$F$24:$F$112,B51)+SUMIFS('2022'!$E$24:$E$112,'2022'!$L$24:$L$112,A51&amp;" / "&amp;B51,'2022'!$C$24:$C$112,B51)+SUMIFS('2022'!$H$24:$H$112,'2022'!$L$24:$L$112,A51&amp;" / "&amp;B51,'2022'!$F$24:$F$112,B51)+SUMIFS('2023'!$E$24:$E$112,'2023'!$L$24:$L$112,A51&amp;" / "&amp;B51,'2023'!$C$24:$C$112,B51)+SUMIFS('2023'!$H$24:$H$112,'2023'!$L$24:$L$112,A51&amp;" / "&amp;B51,'2023'!$F$24:$F$112,B51)+SUMIFS('2024'!$E$24:$E$112,'2024'!$L$24:$L$112,A51&amp;" / "&amp;B51,'2024'!$C$24:$C$112,B51)+SUMIFS('2024'!$H$24:$H$112,'2024'!$L$24:$L$112,A51&amp;" / "&amp;B51,'2024'!$F$24:$F$112,B51)+SUMIFS('2025'!$E$24:$E$112,'2025'!$L$24:$L$112,A51&amp;" / "&amp;B51,'2025'!$C$24:$C$112,B51)+SUMIFS('2025'!$H$24:$H$112,'2025'!$L$24:$L$112,A51&amp;" / "&amp;B51,'2025'!$F$24:$F$112,B51)</x:f>
        <x:v>242</x:v>
      </x:c>
      <x:c r="I51" s="11" t="n">
        <x:f>IF(C51=0,0,(D51+0.5*F51)/C51)</x:f>
        <x:v>0.25</x:v>
      </x:c>
      <x:c r="J51" s="2" t="n">
        <x:f>COUNTIFS('2015'!$L$24:$L$96,A51&amp;" / "&amp;B51,'2015'!$B$24:$B$96,"Regular")+COUNTIFS('2016'!$L$24:$L$96,A51&amp;" / "&amp;B51,'2016'!$B$24:$B$96,"Regular")+COUNTIFS('2017'!$L$24:$L$106,A51&amp;" / "&amp;B51,'2017'!$B$24:$B$106,"Regular")+COUNTIFS('2018'!$L$24:$L$106,A51&amp;" / "&amp;B51,'2018'!$B$24:$B$106,"Regular")+COUNTIFS('2019'!$L$24:$L$106,A51&amp;" / "&amp;B51,'2019'!$B$24:$B$106,"Regular")+COUNTIFS('2020'!$L$24:$L$106,A51&amp;" / "&amp;B51,'2020'!$B$24:$B$106,"Regular")+COUNTIFS('2021'!$L$24:$L$112,A51&amp;" / "&amp;B51,'2021'!$B$24:$B$112,"Regular")+COUNTIFS('2022'!$L$24:$L$112,A51&amp;" / "&amp;B51,'2022'!$B$24:$B$112,"Regular")+COUNTIFS('2023'!$L$24:$L$112,A51&amp;" / "&amp;B51,'2023'!$B$24:$B$112,"Regular")+COUNTIFS('2024'!$L$24:$L$112,A51&amp;" / "&amp;B51,'2024'!$B$24:$B$112,"Regular")+COUNTIFS('2025'!$L$24:$L$112,A51&amp;" / "&amp;B51,'2025'!$B$24:$B$112,"Regular")</x:f>
        <x:v>2</x:v>
      </x:c>
      <x:c r="K51" s="2" t="n">
        <x:f>COUNTIFS('2015'!$L$24:$L$96,A51&amp;" / "&amp;B51,'2015'!$B$24:$B$96,"Playoffs")+COUNTIFS('2016'!$L$24:$L$96,A51&amp;" / "&amp;B51,'2016'!$B$24:$B$96,"Playoffs")+COUNTIFS('2017'!$L$24:$L$106,A51&amp;" / "&amp;B51,'2017'!$B$24:$B$106,"Playoffs")+COUNTIFS('2018'!$L$24:$L$106,A51&amp;" / "&amp;B51,'2018'!$B$24:$B$106,"Playoffs")+COUNTIFS('2019'!$L$24:$L$106,A51&amp;" / "&amp;B51,'2019'!$B$24:$B$106,"Playoffs")+COUNTIFS('2020'!$L$24:$L$106,A51&amp;" / "&amp;B51,'2020'!$B$24:$B$106,"Playoffs")+COUNTIFS('2021'!$L$24:$L$112,A51&amp;" / "&amp;B51,'2021'!$B$24:$B$112,"Playoffs")+COUNTIFS('2022'!$L$24:$L$112,A51&amp;" / "&amp;B51,'2022'!$B$24:$B$112,"Playoffs")+COUNTIFS('2023'!$L$24:$L$112,A51&amp;" / "&amp;B51,'2023'!$B$24:$B$112,"Playoffs")+COUNTIFS('2024'!$L$24:$L$112,A51&amp;" / "&amp;B51,'2024'!$B$24:$B$112,"Playoffs")+COUNTIFS('2025'!$L$24:$L$112,A51&amp;" / "&amp;B51,'2025'!$B$24:$B$112,"Playoffs")</x:f>
        <x:v>0</x:v>
      </x:c>
      <x:c r="L51" s="2" t="n">
        <x:f>COUNTIFS('2015'!$L$24:$L$96,A51&amp;" / "&amp;B51,'2015'!$B$24:$B$96,"Unconfirmed")+COUNTIFS('2016'!$L$24:$L$96,A51&amp;" / "&amp;B51,'2016'!$B$24:$B$96,"Unconfirmed")+COUNTIFS('2017'!$L$24:$L$106,A51&amp;" / "&amp;B51,'2017'!$B$24:$B$106,"Unconfirmed")+COUNTIFS('2018'!$L$24:$L$106,A51&amp;" / "&amp;B51,'2018'!$B$24:$B$106,"Unconfirmed")+COUNTIFS('2019'!$L$24:$L$106,A51&amp;" / "&amp;B51,'2019'!$B$24:$B$106,"Unconfirmed")+COUNTIFS('2020'!$L$24:$L$106,A51&amp;" / "&amp;B51,'2020'!$B$24:$B$106,"Unconfirmed")+COUNTIFS('2021'!$L$24:$L$112,A51&amp;" / "&amp;B51,'2021'!$B$24:$B$112,"Unconfirmed")+COUNTIFS('2022'!$L$24:$L$112,A51&amp;" / "&amp;B51,'2022'!$B$24:$B$112,"Unconfirmed")+COUNTIFS('2023'!$L$24:$L$112,A51&amp;" / "&amp;B51,'2023'!$B$24:$B$112,"Unconfirmed")+COUNTIFS('2024'!$L$24:$L$112,A51&amp;" / "&amp;B51,'2024'!$B$24:$B$112,"Unconfirmed")+COUNTIFS('2025'!$L$24:$L$112,A51&amp;" / "&amp;B51,'2025'!$B$24:$B$112,"Unconfirmed")</x:f>
        <x:v>0</x:v>
      </x:c>
    </x:row>
    <x:row r="52" ht="22" customHeight="1">
      <x:c r="A52" s="2" t="str">
        <x:v>Chas</x:v>
      </x:c>
      <x:c r="B52" s="2" t="str">
        <x:v>Craig</x:v>
      </x:c>
      <x:c r="C52" s="2" t="n">
        <x:f>COUNTIFS('2015'!$L$24:$L$96,A52&amp;" / "&amp;B52)+COUNTIFS('2016'!$L$24:$L$96,A52&amp;" / "&amp;B52)+COUNTIFS('2017'!$L$24:$L$106,A52&amp;" / "&amp;B52)+COUNTIFS('2018'!$L$24:$L$106,A52&amp;" / "&amp;B52)+COUNTIFS('2019'!$L$24:$L$106,A52&amp;" / "&amp;B52)+COUNTIFS('2020'!$L$24:$L$106,A52&amp;" / "&amp;B52)+COUNTIFS('2021'!$L$24:$L$112,A52&amp;" / "&amp;B52)+COUNTIFS('2022'!$L$24:$L$112,A52&amp;" / "&amp;B52)+COUNTIFS('2023'!$L$24:$L$112,A52&amp;" / "&amp;B52)+COUNTIFS('2024'!$L$24:$L$112,A52&amp;" / "&amp;B52)+COUNTIFS('2025'!$L$24:$L$112,A52&amp;" / "&amp;B52)</x:f>
        <x:v>2</x:v>
      </x:c>
      <x:c r="D52" s="2" t="n">
        <x:f>COUNTIFS('2015'!$L$24:$L$96,A52&amp;" / "&amp;B52,'2015'!$I$24:$I$96,A52)+COUNTIFS('2016'!$L$24:$L$96,A52&amp;" / "&amp;B52,'2016'!$I$24:$I$96,A52)+COUNTIFS('2017'!$L$24:$L$106,A52&amp;" / "&amp;B52,'2017'!$I$24:$I$106,A52)+COUNTIFS('2018'!$L$24:$L$106,A52&amp;" / "&amp;B52,'2018'!$I$24:$I$106,A52)+COUNTIFS('2019'!$L$24:$L$106,A52&amp;" / "&amp;B52,'2019'!$I$24:$I$106,A52)+COUNTIFS('2020'!$L$24:$L$106,A52&amp;" / "&amp;B52,'2020'!$I$24:$I$106,A52)+COUNTIFS('2021'!$L$24:$L$112,A52&amp;" / "&amp;B52,'2021'!$I$24:$I$112,A52)+COUNTIFS('2022'!$L$24:$L$112,A52&amp;" / "&amp;B52,'2022'!$I$24:$I$112,A52)+COUNTIFS('2023'!$L$24:$L$112,A52&amp;" / "&amp;B52,'2023'!$I$24:$I$112,A52)+COUNTIFS('2024'!$L$24:$L$112,A52&amp;" / "&amp;B52,'2024'!$I$24:$I$112,A52)+COUNTIFS('2025'!$L$24:$L$112,A52&amp;" / "&amp;B52,'2025'!$I$24:$I$112,A52)</x:f>
        <x:v>0</x:v>
      </x:c>
      <x:c r="E52" s="2" t="n">
        <x:f>COUNTIFS('2015'!$L$24:$L$96,A52&amp;" / "&amp;B52,'2015'!$I$24:$I$96,B52)+COUNTIFS('2016'!$L$24:$L$96,A52&amp;" / "&amp;B52,'2016'!$I$24:$I$96,B52)+COUNTIFS('2017'!$L$24:$L$106,A52&amp;" / "&amp;B52,'2017'!$I$24:$I$106,B52)+COUNTIFS('2018'!$L$24:$L$106,A52&amp;" / "&amp;B52,'2018'!$I$24:$I$106,B52)+COUNTIFS('2019'!$L$24:$L$106,A52&amp;" / "&amp;B52,'2019'!$I$24:$I$106,B52)+COUNTIFS('2020'!$L$24:$L$106,A52&amp;" / "&amp;B52,'2020'!$I$24:$I$106,B52)+COUNTIFS('2021'!$L$24:$L$112,A52&amp;" / "&amp;B52,'2021'!$I$24:$I$112,B52)+COUNTIFS('2022'!$L$24:$L$112,A52&amp;" / "&amp;B52,'2022'!$I$24:$I$112,B52)+COUNTIFS('2023'!$L$24:$L$112,A52&amp;" / "&amp;B52,'2023'!$I$24:$I$112,B52)+COUNTIFS('2024'!$L$24:$L$112,A52&amp;" / "&amp;B52,'2024'!$I$24:$I$112,B52)+COUNTIFS('2025'!$L$24:$L$112,A52&amp;" / "&amp;B52,'2025'!$I$24:$I$112,B52)</x:f>
        <x:v>2</x:v>
      </x:c>
      <x:c r="F52" s="2" t="n">
        <x:f>COUNTIFS('2015'!$L$24:$L$96,A52&amp;" / "&amp;B52,'2015'!$K$24:$K$96,1)+COUNTIFS('2016'!$L$24:$L$96,A52&amp;" / "&amp;B52,'2016'!$K$24:$K$96,1)+COUNTIFS('2017'!$L$24:$L$106,A52&amp;" / "&amp;B52,'2017'!$K$24:$K$106,1)+COUNTIFS('2018'!$L$24:$L$106,A52&amp;" / "&amp;B52,'2018'!$K$24:$K$106,1)+COUNTIFS('2019'!$L$24:$L$106,A52&amp;" / "&amp;B52,'2019'!$K$24:$K$106,1)+COUNTIFS('2020'!$L$24:$L$106,A52&amp;" / "&amp;B52,'2020'!$K$24:$K$106,1)+COUNTIFS('2021'!$L$24:$L$112,A52&amp;" / "&amp;B52,'2021'!$K$24:$K$112,1)+COUNTIFS('2022'!$L$24:$L$112,A52&amp;" / "&amp;B52,'2022'!$K$24:$K$112,1)+COUNTIFS('2023'!$L$24:$L$112,A52&amp;" / "&amp;B52,'2023'!$K$24:$K$112,1)+COUNTIFS('2024'!$L$24:$L$112,A52&amp;" / "&amp;B52,'2024'!$K$24:$K$112,1)+COUNTIFS('2025'!$L$24:$L$112,A52&amp;" / "&amp;B52,'2025'!$K$24:$K$112,1)</x:f>
        <x:v>0</x:v>
      </x:c>
      <x:c r="G52" s="25" t="n">
        <x:f>SUMIFS('2015'!$E$24:$E$96,'2015'!$L$24:$L$96,A52&amp;" / "&amp;B52,'2015'!$C$24:$C$96,A52)+SUMIFS('2015'!$H$24:$H$96,'2015'!$L$24:$L$96,A52&amp;" / "&amp;B52,'2015'!$F$24:$F$96,A52)+SUMIFS('2016'!$E$24:$E$96,'2016'!$L$24:$L$96,A52&amp;" / "&amp;B52,'2016'!$C$24:$C$96,A52)+SUMIFS('2016'!$H$24:$H$96,'2016'!$L$24:$L$96,A52&amp;" / "&amp;B52,'2016'!$F$24:$F$96,A52)+SUMIFS('2017'!$E$24:$E$106,'2017'!$L$24:$L$106,A52&amp;" / "&amp;B52,'2017'!$C$24:$C$106,A52)+SUMIFS('2017'!$H$24:$H$106,'2017'!$L$24:$L$106,A52&amp;" / "&amp;B52,'2017'!$F$24:$F$106,A52)+SUMIFS('2018'!$E$24:$E$106,'2018'!$L$24:$L$106,A52&amp;" / "&amp;B52,'2018'!$C$24:$C$106,A52)+SUMIFS('2018'!$H$24:$H$106,'2018'!$L$24:$L$106,A52&amp;" / "&amp;B52,'2018'!$F$24:$F$106,A52)+SUMIFS('2019'!$E$24:$E$106,'2019'!$L$24:$L$106,A52&amp;" / "&amp;B52,'2019'!$C$24:$C$106,A52)+SUMIFS('2019'!$H$24:$H$106,'2019'!$L$24:$L$106,A52&amp;" / "&amp;B52,'2019'!$F$24:$F$106,A52)+SUMIFS('2020'!$E$24:$E$106,'2020'!$L$24:$L$106,A52&amp;" / "&amp;B52,'2020'!$C$24:$C$106,A52)+SUMIFS('2020'!$H$24:$H$106,'2020'!$L$24:$L$106,A52&amp;" / "&amp;B52,'2020'!$F$24:$F$106,A52)+SUMIFS('2021'!$E$24:$E$112,'2021'!$L$24:$L$112,A52&amp;" / "&amp;B52,'2021'!$C$24:$C$112,A52)+SUMIFS('2021'!$H$24:$H$112,'2021'!$L$24:$L$112,A52&amp;" / "&amp;B52,'2021'!$F$24:$F$112,A52)+SUMIFS('2022'!$E$24:$E$112,'2022'!$L$24:$L$112,A52&amp;" / "&amp;B52,'2022'!$C$24:$C$112,A52)+SUMIFS('2022'!$H$24:$H$112,'2022'!$L$24:$L$112,A52&amp;" / "&amp;B52,'2022'!$F$24:$F$112,A52)+SUMIFS('2023'!$E$24:$E$112,'2023'!$L$24:$L$112,A52&amp;" / "&amp;B52,'2023'!$C$24:$C$112,A52)+SUMIFS('2023'!$H$24:$H$112,'2023'!$L$24:$L$112,A52&amp;" / "&amp;B52,'2023'!$F$24:$F$112,A52)+SUMIFS('2024'!$E$24:$E$112,'2024'!$L$24:$L$112,A52&amp;" / "&amp;B52,'2024'!$C$24:$C$112,A52)+SUMIFS('2024'!$H$24:$H$112,'2024'!$L$24:$L$112,A52&amp;" / "&amp;B52,'2024'!$F$24:$F$112,A52)+SUMIFS('2025'!$E$24:$E$112,'2025'!$L$24:$L$112,A52&amp;" / "&amp;B52,'2025'!$C$24:$C$112,A52)+SUMIFS('2025'!$H$24:$H$112,'2025'!$L$24:$L$112,A52&amp;" / "&amp;B52,'2025'!$F$24:$F$112,A52)</x:f>
        <x:v>212</x:v>
      </x:c>
      <x:c r="H52" s="25" t="n">
        <x:f>SUMIFS('2015'!$E$24:$E$96,'2015'!$L$24:$L$96,A52&amp;" / "&amp;B52,'2015'!$C$24:$C$96,B52)+SUMIFS('2015'!$H$24:$H$96,'2015'!$L$24:$L$96,A52&amp;" / "&amp;B52,'2015'!$F$24:$F$96,B52)+SUMIFS('2016'!$E$24:$E$96,'2016'!$L$24:$L$96,A52&amp;" / "&amp;B52,'2016'!$C$24:$C$96,B52)+SUMIFS('2016'!$H$24:$H$96,'2016'!$L$24:$L$96,A52&amp;" / "&amp;B52,'2016'!$F$24:$F$96,B52)+SUMIFS('2017'!$E$24:$E$106,'2017'!$L$24:$L$106,A52&amp;" / "&amp;B52,'2017'!$C$24:$C$106,B52)+SUMIFS('2017'!$H$24:$H$106,'2017'!$L$24:$L$106,A52&amp;" / "&amp;B52,'2017'!$F$24:$F$106,B52)+SUMIFS('2018'!$E$24:$E$106,'2018'!$L$24:$L$106,A52&amp;" / "&amp;B52,'2018'!$C$24:$C$106,B52)+SUMIFS('2018'!$H$24:$H$106,'2018'!$L$24:$L$106,A52&amp;" / "&amp;B52,'2018'!$F$24:$F$106,B52)+SUMIFS('2019'!$E$24:$E$106,'2019'!$L$24:$L$106,A52&amp;" / "&amp;B52,'2019'!$C$24:$C$106,B52)+SUMIFS('2019'!$H$24:$H$106,'2019'!$L$24:$L$106,A52&amp;" / "&amp;B52,'2019'!$F$24:$F$106,B52)+SUMIFS('2020'!$E$24:$E$106,'2020'!$L$24:$L$106,A52&amp;" / "&amp;B52,'2020'!$C$24:$C$106,B52)+SUMIFS('2020'!$H$24:$H$106,'2020'!$L$24:$L$106,A52&amp;" / "&amp;B52,'2020'!$F$24:$F$106,B52)+SUMIFS('2021'!$E$24:$E$112,'2021'!$L$24:$L$112,A52&amp;" / "&amp;B52,'2021'!$C$24:$C$112,B52)+SUMIFS('2021'!$H$24:$H$112,'2021'!$L$24:$L$112,A52&amp;" / "&amp;B52,'2021'!$F$24:$F$112,B52)+SUMIFS('2022'!$E$24:$E$112,'2022'!$L$24:$L$112,A52&amp;" / "&amp;B52,'2022'!$C$24:$C$112,B52)+SUMIFS('2022'!$H$24:$H$112,'2022'!$L$24:$L$112,A52&amp;" / "&amp;B52,'2022'!$F$24:$F$112,B52)+SUMIFS('2023'!$E$24:$E$112,'2023'!$L$24:$L$112,A52&amp;" / "&amp;B52,'2023'!$C$24:$C$112,B52)+SUMIFS('2023'!$H$24:$H$112,'2023'!$L$24:$L$112,A52&amp;" / "&amp;B52,'2023'!$F$24:$F$112,B52)+SUMIFS('2024'!$E$24:$E$112,'2024'!$L$24:$L$112,A52&amp;" / "&amp;B52,'2024'!$C$24:$C$112,B52)+SUMIFS('2024'!$H$24:$H$112,'2024'!$L$24:$L$112,A52&amp;" / "&amp;B52,'2024'!$F$24:$F$112,B52)+SUMIFS('2025'!$E$24:$E$112,'2025'!$L$24:$L$112,A52&amp;" / "&amp;B52,'2025'!$C$24:$C$112,B52)+SUMIFS('2025'!$H$24:$H$112,'2025'!$L$24:$L$112,A52&amp;" / "&amp;B52,'2025'!$F$24:$F$112,B52)</x:f>
        <x:v>261</x:v>
      </x:c>
      <x:c r="I52" s="11" t="n">
        <x:f>IF(C52=0,0,(D52+0.5*F52)/C52)</x:f>
        <x:v>0</x:v>
      </x:c>
      <x:c r="J52" s="2" t="n">
        <x:f>COUNTIFS('2015'!$L$24:$L$96,A52&amp;" / "&amp;B52,'2015'!$B$24:$B$96,"Regular")+COUNTIFS('2016'!$L$24:$L$96,A52&amp;" / "&amp;B52,'2016'!$B$24:$B$96,"Regular")+COUNTIFS('2017'!$L$24:$L$106,A52&amp;" / "&amp;B52,'2017'!$B$24:$B$106,"Regular")+COUNTIFS('2018'!$L$24:$L$106,A52&amp;" / "&amp;B52,'2018'!$B$24:$B$106,"Regular")+COUNTIFS('2019'!$L$24:$L$106,A52&amp;" / "&amp;B52,'2019'!$B$24:$B$106,"Regular")+COUNTIFS('2020'!$L$24:$L$106,A52&amp;" / "&amp;B52,'2020'!$B$24:$B$106,"Regular")+COUNTIFS('2021'!$L$24:$L$112,A52&amp;" / "&amp;B52,'2021'!$B$24:$B$112,"Regular")+COUNTIFS('2022'!$L$24:$L$112,A52&amp;" / "&amp;B52,'2022'!$B$24:$B$112,"Regular")+COUNTIFS('2023'!$L$24:$L$112,A52&amp;" / "&amp;B52,'2023'!$B$24:$B$112,"Regular")+COUNTIFS('2024'!$L$24:$L$112,A52&amp;" / "&amp;B52,'2024'!$B$24:$B$112,"Regular")+COUNTIFS('2025'!$L$24:$L$112,A52&amp;" / "&amp;B52,'2025'!$B$24:$B$112,"Regular")</x:f>
        <x:v>2</x:v>
      </x:c>
      <x:c r="K52" s="2" t="n">
        <x:f>COUNTIFS('2015'!$L$24:$L$96,A52&amp;" / "&amp;B52,'2015'!$B$24:$B$96,"Playoffs")+COUNTIFS('2016'!$L$24:$L$96,A52&amp;" / "&amp;B52,'2016'!$B$24:$B$96,"Playoffs")+COUNTIFS('2017'!$L$24:$L$106,A52&amp;" / "&amp;B52,'2017'!$B$24:$B$106,"Playoffs")+COUNTIFS('2018'!$L$24:$L$106,A52&amp;" / "&amp;B52,'2018'!$B$24:$B$106,"Playoffs")+COUNTIFS('2019'!$L$24:$L$106,A52&amp;" / "&amp;B52,'2019'!$B$24:$B$106,"Playoffs")+COUNTIFS('2020'!$L$24:$L$106,A52&amp;" / "&amp;B52,'2020'!$B$24:$B$106,"Playoffs")+COUNTIFS('2021'!$L$24:$L$112,A52&amp;" / "&amp;B52,'2021'!$B$24:$B$112,"Playoffs")+COUNTIFS('2022'!$L$24:$L$112,A52&amp;" / "&amp;B52,'2022'!$B$24:$B$112,"Playoffs")+COUNTIFS('2023'!$L$24:$L$112,A52&amp;" / "&amp;B52,'2023'!$B$24:$B$112,"Playoffs")+COUNTIFS('2024'!$L$24:$L$112,A52&amp;" / "&amp;B52,'2024'!$B$24:$B$112,"Playoffs")+COUNTIFS('2025'!$L$24:$L$112,A52&amp;" / "&amp;B52,'2025'!$B$24:$B$112,"Playoffs")</x:f>
        <x:v>0</x:v>
      </x:c>
      <x:c r="L52" s="2" t="n">
        <x:f>COUNTIFS('2015'!$L$24:$L$96,A52&amp;" / "&amp;B52,'2015'!$B$24:$B$96,"Unconfirmed")+COUNTIFS('2016'!$L$24:$L$96,A52&amp;" / "&amp;B52,'2016'!$B$24:$B$96,"Unconfirmed")+COUNTIFS('2017'!$L$24:$L$106,A52&amp;" / "&amp;B52,'2017'!$B$24:$B$106,"Unconfirmed")+COUNTIFS('2018'!$L$24:$L$106,A52&amp;" / "&amp;B52,'2018'!$B$24:$B$106,"Unconfirmed")+COUNTIFS('2019'!$L$24:$L$106,A52&amp;" / "&amp;B52,'2019'!$B$24:$B$106,"Unconfirmed")+COUNTIFS('2020'!$L$24:$L$106,A52&amp;" / "&amp;B52,'2020'!$B$24:$B$106,"Unconfirmed")+COUNTIFS('2021'!$L$24:$L$112,A52&amp;" / "&amp;B52,'2021'!$B$24:$B$112,"Unconfirmed")+COUNTIFS('2022'!$L$24:$L$112,A52&amp;" / "&amp;B52,'2022'!$B$24:$B$112,"Unconfirmed")+COUNTIFS('2023'!$L$24:$L$112,A52&amp;" / "&amp;B52,'2023'!$B$24:$B$112,"Unconfirmed")+COUNTIFS('2024'!$L$24:$L$112,A52&amp;" / "&amp;B52,'2024'!$B$24:$B$112,"Unconfirmed")+COUNTIFS('2025'!$L$24:$L$112,A52&amp;" / "&amp;B52,'2025'!$B$24:$B$112,"Unconfirmed")</x:f>
        <x:v>0</x:v>
      </x:c>
    </x:row>
    <x:row r="53" ht="22" customHeight="1">
      <x:c r="A53" s="2" t="str">
        <x:v>Chas</x:v>
      </x:c>
      <x:c r="B53" s="2" t="str">
        <x:v>Dave</x:v>
      </x:c>
      <x:c r="C53" s="2" t="n">
        <x:f>COUNTIFS('2015'!$L$24:$L$96,A53&amp;" / "&amp;B53)+COUNTIFS('2016'!$L$24:$L$96,A53&amp;" / "&amp;B53)+COUNTIFS('2017'!$L$24:$L$106,A53&amp;" / "&amp;B53)+COUNTIFS('2018'!$L$24:$L$106,A53&amp;" / "&amp;B53)+COUNTIFS('2019'!$L$24:$L$106,A53&amp;" / "&amp;B53)+COUNTIFS('2020'!$L$24:$L$106,A53&amp;" / "&amp;B53)+COUNTIFS('2021'!$L$24:$L$112,A53&amp;" / "&amp;B53)+COUNTIFS('2022'!$L$24:$L$112,A53&amp;" / "&amp;B53)+COUNTIFS('2023'!$L$24:$L$112,A53&amp;" / "&amp;B53)+COUNTIFS('2024'!$L$24:$L$112,A53&amp;" / "&amp;B53)+COUNTIFS('2025'!$L$24:$L$112,A53&amp;" / "&amp;B53)</x:f>
        <x:v>2</x:v>
      </x:c>
      <x:c r="D53" s="2" t="n">
        <x:f>COUNTIFS('2015'!$L$24:$L$96,A53&amp;" / "&amp;B53,'2015'!$I$24:$I$96,A53)+COUNTIFS('2016'!$L$24:$L$96,A53&amp;" / "&amp;B53,'2016'!$I$24:$I$96,A53)+COUNTIFS('2017'!$L$24:$L$106,A53&amp;" / "&amp;B53,'2017'!$I$24:$I$106,A53)+COUNTIFS('2018'!$L$24:$L$106,A53&amp;" / "&amp;B53,'2018'!$I$24:$I$106,A53)+COUNTIFS('2019'!$L$24:$L$106,A53&amp;" / "&amp;B53,'2019'!$I$24:$I$106,A53)+COUNTIFS('2020'!$L$24:$L$106,A53&amp;" / "&amp;B53,'2020'!$I$24:$I$106,A53)+COUNTIFS('2021'!$L$24:$L$112,A53&amp;" / "&amp;B53,'2021'!$I$24:$I$112,A53)+COUNTIFS('2022'!$L$24:$L$112,A53&amp;" / "&amp;B53,'2022'!$I$24:$I$112,A53)+COUNTIFS('2023'!$L$24:$L$112,A53&amp;" / "&amp;B53,'2023'!$I$24:$I$112,A53)+COUNTIFS('2024'!$L$24:$L$112,A53&amp;" / "&amp;B53,'2024'!$I$24:$I$112,A53)+COUNTIFS('2025'!$L$24:$L$112,A53&amp;" / "&amp;B53,'2025'!$I$24:$I$112,A53)</x:f>
        <x:v>1</x:v>
      </x:c>
      <x:c r="E53" s="2" t="n">
        <x:f>COUNTIFS('2015'!$L$24:$L$96,A53&amp;" / "&amp;B53,'2015'!$I$24:$I$96,B53)+COUNTIFS('2016'!$L$24:$L$96,A53&amp;" / "&amp;B53,'2016'!$I$24:$I$96,B53)+COUNTIFS('2017'!$L$24:$L$106,A53&amp;" / "&amp;B53,'2017'!$I$24:$I$106,B53)+COUNTIFS('2018'!$L$24:$L$106,A53&amp;" / "&amp;B53,'2018'!$I$24:$I$106,B53)+COUNTIFS('2019'!$L$24:$L$106,A53&amp;" / "&amp;B53,'2019'!$I$24:$I$106,B53)+COUNTIFS('2020'!$L$24:$L$106,A53&amp;" / "&amp;B53,'2020'!$I$24:$I$106,B53)+COUNTIFS('2021'!$L$24:$L$112,A53&amp;" / "&amp;B53,'2021'!$I$24:$I$112,B53)+COUNTIFS('2022'!$L$24:$L$112,A53&amp;" / "&amp;B53,'2022'!$I$24:$I$112,B53)+COUNTIFS('2023'!$L$24:$L$112,A53&amp;" / "&amp;B53,'2023'!$I$24:$I$112,B53)+COUNTIFS('2024'!$L$24:$L$112,A53&amp;" / "&amp;B53,'2024'!$I$24:$I$112,B53)+COUNTIFS('2025'!$L$24:$L$112,A53&amp;" / "&amp;B53,'2025'!$I$24:$I$112,B53)</x:f>
        <x:v>1</x:v>
      </x:c>
      <x:c r="F53" s="2" t="n">
        <x:f>COUNTIFS('2015'!$L$24:$L$96,A53&amp;" / "&amp;B53,'2015'!$K$24:$K$96,1)+COUNTIFS('2016'!$L$24:$L$96,A53&amp;" / "&amp;B53,'2016'!$K$24:$K$96,1)+COUNTIFS('2017'!$L$24:$L$106,A53&amp;" / "&amp;B53,'2017'!$K$24:$K$106,1)+COUNTIFS('2018'!$L$24:$L$106,A53&amp;" / "&amp;B53,'2018'!$K$24:$K$106,1)+COUNTIFS('2019'!$L$24:$L$106,A53&amp;" / "&amp;B53,'2019'!$K$24:$K$106,1)+COUNTIFS('2020'!$L$24:$L$106,A53&amp;" / "&amp;B53,'2020'!$K$24:$K$106,1)+COUNTIFS('2021'!$L$24:$L$112,A53&amp;" / "&amp;B53,'2021'!$K$24:$K$112,1)+COUNTIFS('2022'!$L$24:$L$112,A53&amp;" / "&amp;B53,'2022'!$K$24:$K$112,1)+COUNTIFS('2023'!$L$24:$L$112,A53&amp;" / "&amp;B53,'2023'!$K$24:$K$112,1)+COUNTIFS('2024'!$L$24:$L$112,A53&amp;" / "&amp;B53,'2024'!$K$24:$K$112,1)+COUNTIFS('2025'!$L$24:$L$112,A53&amp;" / "&amp;B53,'2025'!$K$24:$K$112,1)</x:f>
        <x:v>0</x:v>
      </x:c>
      <x:c r="G53" s="25" t="n">
        <x:f>SUMIFS('2015'!$E$24:$E$96,'2015'!$L$24:$L$96,A53&amp;" / "&amp;B53,'2015'!$C$24:$C$96,A53)+SUMIFS('2015'!$H$24:$H$96,'2015'!$L$24:$L$96,A53&amp;" / "&amp;B53,'2015'!$F$24:$F$96,A53)+SUMIFS('2016'!$E$24:$E$96,'2016'!$L$24:$L$96,A53&amp;" / "&amp;B53,'2016'!$C$24:$C$96,A53)+SUMIFS('2016'!$H$24:$H$96,'2016'!$L$24:$L$96,A53&amp;" / "&amp;B53,'2016'!$F$24:$F$96,A53)+SUMIFS('2017'!$E$24:$E$106,'2017'!$L$24:$L$106,A53&amp;" / "&amp;B53,'2017'!$C$24:$C$106,A53)+SUMIFS('2017'!$H$24:$H$106,'2017'!$L$24:$L$106,A53&amp;" / "&amp;B53,'2017'!$F$24:$F$106,A53)+SUMIFS('2018'!$E$24:$E$106,'2018'!$L$24:$L$106,A53&amp;" / "&amp;B53,'2018'!$C$24:$C$106,A53)+SUMIFS('2018'!$H$24:$H$106,'2018'!$L$24:$L$106,A53&amp;" / "&amp;B53,'2018'!$F$24:$F$106,A53)+SUMIFS('2019'!$E$24:$E$106,'2019'!$L$24:$L$106,A53&amp;" / "&amp;B53,'2019'!$C$24:$C$106,A53)+SUMIFS('2019'!$H$24:$H$106,'2019'!$L$24:$L$106,A53&amp;" / "&amp;B53,'2019'!$F$24:$F$106,A53)+SUMIFS('2020'!$E$24:$E$106,'2020'!$L$24:$L$106,A53&amp;" / "&amp;B53,'2020'!$C$24:$C$106,A53)+SUMIFS('2020'!$H$24:$H$106,'2020'!$L$24:$L$106,A53&amp;" / "&amp;B53,'2020'!$F$24:$F$106,A53)+SUMIFS('2021'!$E$24:$E$112,'2021'!$L$24:$L$112,A53&amp;" / "&amp;B53,'2021'!$C$24:$C$112,A53)+SUMIFS('2021'!$H$24:$H$112,'2021'!$L$24:$L$112,A53&amp;" / "&amp;B53,'2021'!$F$24:$F$112,A53)+SUMIFS('2022'!$E$24:$E$112,'2022'!$L$24:$L$112,A53&amp;" / "&amp;B53,'2022'!$C$24:$C$112,A53)+SUMIFS('2022'!$H$24:$H$112,'2022'!$L$24:$L$112,A53&amp;" / "&amp;B53,'2022'!$F$24:$F$112,A53)+SUMIFS('2023'!$E$24:$E$112,'2023'!$L$24:$L$112,A53&amp;" / "&amp;B53,'2023'!$C$24:$C$112,A53)+SUMIFS('2023'!$H$24:$H$112,'2023'!$L$24:$L$112,A53&amp;" / "&amp;B53,'2023'!$F$24:$F$112,A53)+SUMIFS('2024'!$E$24:$E$112,'2024'!$L$24:$L$112,A53&amp;" / "&amp;B53,'2024'!$C$24:$C$112,A53)+SUMIFS('2024'!$H$24:$H$112,'2024'!$L$24:$L$112,A53&amp;" / "&amp;B53,'2024'!$F$24:$F$112,A53)+SUMIFS('2025'!$E$24:$E$112,'2025'!$L$24:$L$112,A53&amp;" / "&amp;B53,'2025'!$C$24:$C$112,A53)+SUMIFS('2025'!$H$24:$H$112,'2025'!$L$24:$L$112,A53&amp;" / "&amp;B53,'2025'!$F$24:$F$112,A53)</x:f>
        <x:v>205</x:v>
      </x:c>
      <x:c r="H53" s="25" t="n">
        <x:f>SUMIFS('2015'!$E$24:$E$96,'2015'!$L$24:$L$96,A53&amp;" / "&amp;B53,'2015'!$C$24:$C$96,B53)+SUMIFS('2015'!$H$24:$H$96,'2015'!$L$24:$L$96,A53&amp;" / "&amp;B53,'2015'!$F$24:$F$96,B53)+SUMIFS('2016'!$E$24:$E$96,'2016'!$L$24:$L$96,A53&amp;" / "&amp;B53,'2016'!$C$24:$C$96,B53)+SUMIFS('2016'!$H$24:$H$96,'2016'!$L$24:$L$96,A53&amp;" / "&amp;B53,'2016'!$F$24:$F$96,B53)+SUMIFS('2017'!$E$24:$E$106,'2017'!$L$24:$L$106,A53&amp;" / "&amp;B53,'2017'!$C$24:$C$106,B53)+SUMIFS('2017'!$H$24:$H$106,'2017'!$L$24:$L$106,A53&amp;" / "&amp;B53,'2017'!$F$24:$F$106,B53)+SUMIFS('2018'!$E$24:$E$106,'2018'!$L$24:$L$106,A53&amp;" / "&amp;B53,'2018'!$C$24:$C$106,B53)+SUMIFS('2018'!$H$24:$H$106,'2018'!$L$24:$L$106,A53&amp;" / "&amp;B53,'2018'!$F$24:$F$106,B53)+SUMIFS('2019'!$E$24:$E$106,'2019'!$L$24:$L$106,A53&amp;" / "&amp;B53,'2019'!$C$24:$C$106,B53)+SUMIFS('2019'!$H$24:$H$106,'2019'!$L$24:$L$106,A53&amp;" / "&amp;B53,'2019'!$F$24:$F$106,B53)+SUMIFS('2020'!$E$24:$E$106,'2020'!$L$24:$L$106,A53&amp;" / "&amp;B53,'2020'!$C$24:$C$106,B53)+SUMIFS('2020'!$H$24:$H$106,'2020'!$L$24:$L$106,A53&amp;" / "&amp;B53,'2020'!$F$24:$F$106,B53)+SUMIFS('2021'!$E$24:$E$112,'2021'!$L$24:$L$112,A53&amp;" / "&amp;B53,'2021'!$C$24:$C$112,B53)+SUMIFS('2021'!$H$24:$H$112,'2021'!$L$24:$L$112,A53&amp;" / "&amp;B53,'2021'!$F$24:$F$112,B53)+SUMIFS('2022'!$E$24:$E$112,'2022'!$L$24:$L$112,A53&amp;" / "&amp;B53,'2022'!$C$24:$C$112,B53)+SUMIFS('2022'!$H$24:$H$112,'2022'!$L$24:$L$112,A53&amp;" / "&amp;B53,'2022'!$F$24:$F$112,B53)+SUMIFS('2023'!$E$24:$E$112,'2023'!$L$24:$L$112,A53&amp;" / "&amp;B53,'2023'!$C$24:$C$112,B53)+SUMIFS('2023'!$H$24:$H$112,'2023'!$L$24:$L$112,A53&amp;" / "&amp;B53,'2023'!$F$24:$F$112,B53)+SUMIFS('2024'!$E$24:$E$112,'2024'!$L$24:$L$112,A53&amp;" / "&amp;B53,'2024'!$C$24:$C$112,B53)+SUMIFS('2024'!$H$24:$H$112,'2024'!$L$24:$L$112,A53&amp;" / "&amp;B53,'2024'!$F$24:$F$112,B53)+SUMIFS('2025'!$E$24:$E$112,'2025'!$L$24:$L$112,A53&amp;" / "&amp;B53,'2025'!$C$24:$C$112,B53)+SUMIFS('2025'!$H$24:$H$112,'2025'!$L$24:$L$112,A53&amp;" / "&amp;B53,'2025'!$F$24:$F$112,B53)</x:f>
        <x:v>231</x:v>
      </x:c>
      <x:c r="I53" s="11" t="n">
        <x:f>IF(C53=0,0,(D53+0.5*F53)/C53)</x:f>
        <x:v>0.5</x:v>
      </x:c>
      <x:c r="J53" s="2" t="n">
        <x:f>COUNTIFS('2015'!$L$24:$L$96,A53&amp;" / "&amp;B53,'2015'!$B$24:$B$96,"Regular")+COUNTIFS('2016'!$L$24:$L$96,A53&amp;" / "&amp;B53,'2016'!$B$24:$B$96,"Regular")+COUNTIFS('2017'!$L$24:$L$106,A53&amp;" / "&amp;B53,'2017'!$B$24:$B$106,"Regular")+COUNTIFS('2018'!$L$24:$L$106,A53&amp;" / "&amp;B53,'2018'!$B$24:$B$106,"Regular")+COUNTIFS('2019'!$L$24:$L$106,A53&amp;" / "&amp;B53,'2019'!$B$24:$B$106,"Regular")+COUNTIFS('2020'!$L$24:$L$106,A53&amp;" / "&amp;B53,'2020'!$B$24:$B$106,"Regular")+COUNTIFS('2021'!$L$24:$L$112,A53&amp;" / "&amp;B53,'2021'!$B$24:$B$112,"Regular")+COUNTIFS('2022'!$L$24:$L$112,A53&amp;" / "&amp;B53,'2022'!$B$24:$B$112,"Regular")+COUNTIFS('2023'!$L$24:$L$112,A53&amp;" / "&amp;B53,'2023'!$B$24:$B$112,"Regular")+COUNTIFS('2024'!$L$24:$L$112,A53&amp;" / "&amp;B53,'2024'!$B$24:$B$112,"Regular")+COUNTIFS('2025'!$L$24:$L$112,A53&amp;" / "&amp;B53,'2025'!$B$24:$B$112,"Regular")</x:f>
        <x:v>2</x:v>
      </x:c>
      <x:c r="K53" s="2" t="n">
        <x:f>COUNTIFS('2015'!$L$24:$L$96,A53&amp;" / "&amp;B53,'2015'!$B$24:$B$96,"Playoffs")+COUNTIFS('2016'!$L$24:$L$96,A53&amp;" / "&amp;B53,'2016'!$B$24:$B$96,"Playoffs")+COUNTIFS('2017'!$L$24:$L$106,A53&amp;" / "&amp;B53,'2017'!$B$24:$B$106,"Playoffs")+COUNTIFS('2018'!$L$24:$L$106,A53&amp;" / "&amp;B53,'2018'!$B$24:$B$106,"Playoffs")+COUNTIFS('2019'!$L$24:$L$106,A53&amp;" / "&amp;B53,'2019'!$B$24:$B$106,"Playoffs")+COUNTIFS('2020'!$L$24:$L$106,A53&amp;" / "&amp;B53,'2020'!$B$24:$B$106,"Playoffs")+COUNTIFS('2021'!$L$24:$L$112,A53&amp;" / "&amp;B53,'2021'!$B$24:$B$112,"Playoffs")+COUNTIFS('2022'!$L$24:$L$112,A53&amp;" / "&amp;B53,'2022'!$B$24:$B$112,"Playoffs")+COUNTIFS('2023'!$L$24:$L$112,A53&amp;" / "&amp;B53,'2023'!$B$24:$B$112,"Playoffs")+COUNTIFS('2024'!$L$24:$L$112,A53&amp;" / "&amp;B53,'2024'!$B$24:$B$112,"Playoffs")+COUNTIFS('2025'!$L$24:$L$112,A53&amp;" / "&amp;B53,'2025'!$B$24:$B$112,"Playoffs")</x:f>
        <x:v>0</x:v>
      </x:c>
      <x:c r="L53" s="2" t="n">
        <x:f>COUNTIFS('2015'!$L$24:$L$96,A53&amp;" / "&amp;B53,'2015'!$B$24:$B$96,"Unconfirmed")+COUNTIFS('2016'!$L$24:$L$96,A53&amp;" / "&amp;B53,'2016'!$B$24:$B$96,"Unconfirmed")+COUNTIFS('2017'!$L$24:$L$106,A53&amp;" / "&amp;B53,'2017'!$B$24:$B$106,"Unconfirmed")+COUNTIFS('2018'!$L$24:$L$106,A53&amp;" / "&amp;B53,'2018'!$B$24:$B$106,"Unconfirmed")+COUNTIFS('2019'!$L$24:$L$106,A53&amp;" / "&amp;B53,'2019'!$B$24:$B$106,"Unconfirmed")+COUNTIFS('2020'!$L$24:$L$106,A53&amp;" / "&amp;B53,'2020'!$B$24:$B$106,"Unconfirmed")+COUNTIFS('2021'!$L$24:$L$112,A53&amp;" / "&amp;B53,'2021'!$B$24:$B$112,"Unconfirmed")+COUNTIFS('2022'!$L$24:$L$112,A53&amp;" / "&amp;B53,'2022'!$B$24:$B$112,"Unconfirmed")+COUNTIFS('2023'!$L$24:$L$112,A53&amp;" / "&amp;B53,'2023'!$B$24:$B$112,"Unconfirmed")+COUNTIFS('2024'!$L$24:$L$112,A53&amp;" / "&amp;B53,'2024'!$B$24:$B$112,"Unconfirmed")+COUNTIFS('2025'!$L$24:$L$112,A53&amp;" / "&amp;B53,'2025'!$B$24:$B$112,"Unconfirmed")</x:f>
        <x:v>0</x:v>
      </x:c>
    </x:row>
    <x:row r="54" ht="22" customHeight="1">
      <x:c r="A54" s="2" t="str">
        <x:v>Chas</x:v>
      </x:c>
      <x:c r="B54" s="2" t="str">
        <x:v>Ed</x:v>
      </x:c>
      <x:c r="C54" s="2" t="n">
        <x:f>COUNTIFS('2015'!$L$24:$L$96,A54&amp;" / "&amp;B54)+COUNTIFS('2016'!$L$24:$L$96,A54&amp;" / "&amp;B54)+COUNTIFS('2017'!$L$24:$L$106,A54&amp;" / "&amp;B54)+COUNTIFS('2018'!$L$24:$L$106,A54&amp;" / "&amp;B54)+COUNTIFS('2019'!$L$24:$L$106,A54&amp;" / "&amp;B54)+COUNTIFS('2020'!$L$24:$L$106,A54&amp;" / "&amp;B54)+COUNTIFS('2021'!$L$24:$L$112,A54&amp;" / "&amp;B54)+COUNTIFS('2022'!$L$24:$L$112,A54&amp;" / "&amp;B54)+COUNTIFS('2023'!$L$24:$L$112,A54&amp;" / "&amp;B54)+COUNTIFS('2024'!$L$24:$L$112,A54&amp;" / "&amp;B54)+COUNTIFS('2025'!$L$24:$L$112,A54&amp;" / "&amp;B54)</x:f>
        <x:v>2</x:v>
      </x:c>
      <x:c r="D54" s="2" t="n">
        <x:f>COUNTIFS('2015'!$L$24:$L$96,A54&amp;" / "&amp;B54,'2015'!$I$24:$I$96,A54)+COUNTIFS('2016'!$L$24:$L$96,A54&amp;" / "&amp;B54,'2016'!$I$24:$I$96,A54)+COUNTIFS('2017'!$L$24:$L$106,A54&amp;" / "&amp;B54,'2017'!$I$24:$I$106,A54)+COUNTIFS('2018'!$L$24:$L$106,A54&amp;" / "&amp;B54,'2018'!$I$24:$I$106,A54)+COUNTIFS('2019'!$L$24:$L$106,A54&amp;" / "&amp;B54,'2019'!$I$24:$I$106,A54)+COUNTIFS('2020'!$L$24:$L$106,A54&amp;" / "&amp;B54,'2020'!$I$24:$I$106,A54)+COUNTIFS('2021'!$L$24:$L$112,A54&amp;" / "&amp;B54,'2021'!$I$24:$I$112,A54)+COUNTIFS('2022'!$L$24:$L$112,A54&amp;" / "&amp;B54,'2022'!$I$24:$I$112,A54)+COUNTIFS('2023'!$L$24:$L$112,A54&amp;" / "&amp;B54,'2023'!$I$24:$I$112,A54)+COUNTIFS('2024'!$L$24:$L$112,A54&amp;" / "&amp;B54,'2024'!$I$24:$I$112,A54)+COUNTIFS('2025'!$L$24:$L$112,A54&amp;" / "&amp;B54,'2025'!$I$24:$I$112,A54)</x:f>
        <x:v>1</x:v>
      </x:c>
      <x:c r="E54" s="2" t="n">
        <x:f>COUNTIFS('2015'!$L$24:$L$96,A54&amp;" / "&amp;B54,'2015'!$I$24:$I$96,B54)+COUNTIFS('2016'!$L$24:$L$96,A54&amp;" / "&amp;B54,'2016'!$I$24:$I$96,B54)+COUNTIFS('2017'!$L$24:$L$106,A54&amp;" / "&amp;B54,'2017'!$I$24:$I$106,B54)+COUNTIFS('2018'!$L$24:$L$106,A54&amp;" / "&amp;B54,'2018'!$I$24:$I$106,B54)+COUNTIFS('2019'!$L$24:$L$106,A54&amp;" / "&amp;B54,'2019'!$I$24:$I$106,B54)+COUNTIFS('2020'!$L$24:$L$106,A54&amp;" / "&amp;B54,'2020'!$I$24:$I$106,B54)+COUNTIFS('2021'!$L$24:$L$112,A54&amp;" / "&amp;B54,'2021'!$I$24:$I$112,B54)+COUNTIFS('2022'!$L$24:$L$112,A54&amp;" / "&amp;B54,'2022'!$I$24:$I$112,B54)+COUNTIFS('2023'!$L$24:$L$112,A54&amp;" / "&amp;B54,'2023'!$I$24:$I$112,B54)+COUNTIFS('2024'!$L$24:$L$112,A54&amp;" / "&amp;B54,'2024'!$I$24:$I$112,B54)+COUNTIFS('2025'!$L$24:$L$112,A54&amp;" / "&amp;B54,'2025'!$I$24:$I$112,B54)</x:f>
        <x:v>1</x:v>
      </x:c>
      <x:c r="F54" s="2" t="n">
        <x:f>COUNTIFS('2015'!$L$24:$L$96,A54&amp;" / "&amp;B54,'2015'!$K$24:$K$96,1)+COUNTIFS('2016'!$L$24:$L$96,A54&amp;" / "&amp;B54,'2016'!$K$24:$K$96,1)+COUNTIFS('2017'!$L$24:$L$106,A54&amp;" / "&amp;B54,'2017'!$K$24:$K$106,1)+COUNTIFS('2018'!$L$24:$L$106,A54&amp;" / "&amp;B54,'2018'!$K$24:$K$106,1)+COUNTIFS('2019'!$L$24:$L$106,A54&amp;" / "&amp;B54,'2019'!$K$24:$K$106,1)+COUNTIFS('2020'!$L$24:$L$106,A54&amp;" / "&amp;B54,'2020'!$K$24:$K$106,1)+COUNTIFS('2021'!$L$24:$L$112,A54&amp;" / "&amp;B54,'2021'!$K$24:$K$112,1)+COUNTIFS('2022'!$L$24:$L$112,A54&amp;" / "&amp;B54,'2022'!$K$24:$K$112,1)+COUNTIFS('2023'!$L$24:$L$112,A54&amp;" / "&amp;B54,'2023'!$K$24:$K$112,1)+COUNTIFS('2024'!$L$24:$L$112,A54&amp;" / "&amp;B54,'2024'!$K$24:$K$112,1)+COUNTIFS('2025'!$L$24:$L$112,A54&amp;" / "&amp;B54,'2025'!$K$24:$K$112,1)</x:f>
        <x:v>0</x:v>
      </x:c>
      <x:c r="G54" s="25" t="n">
        <x:f>SUMIFS('2015'!$E$24:$E$96,'2015'!$L$24:$L$96,A54&amp;" / "&amp;B54,'2015'!$C$24:$C$96,A54)+SUMIFS('2015'!$H$24:$H$96,'2015'!$L$24:$L$96,A54&amp;" / "&amp;B54,'2015'!$F$24:$F$96,A54)+SUMIFS('2016'!$E$24:$E$96,'2016'!$L$24:$L$96,A54&amp;" / "&amp;B54,'2016'!$C$24:$C$96,A54)+SUMIFS('2016'!$H$24:$H$96,'2016'!$L$24:$L$96,A54&amp;" / "&amp;B54,'2016'!$F$24:$F$96,A54)+SUMIFS('2017'!$E$24:$E$106,'2017'!$L$24:$L$106,A54&amp;" / "&amp;B54,'2017'!$C$24:$C$106,A54)+SUMIFS('2017'!$H$24:$H$106,'2017'!$L$24:$L$106,A54&amp;" / "&amp;B54,'2017'!$F$24:$F$106,A54)+SUMIFS('2018'!$E$24:$E$106,'2018'!$L$24:$L$106,A54&amp;" / "&amp;B54,'2018'!$C$24:$C$106,A54)+SUMIFS('2018'!$H$24:$H$106,'2018'!$L$24:$L$106,A54&amp;" / "&amp;B54,'2018'!$F$24:$F$106,A54)+SUMIFS('2019'!$E$24:$E$106,'2019'!$L$24:$L$106,A54&amp;" / "&amp;B54,'2019'!$C$24:$C$106,A54)+SUMIFS('2019'!$H$24:$H$106,'2019'!$L$24:$L$106,A54&amp;" / "&amp;B54,'2019'!$F$24:$F$106,A54)+SUMIFS('2020'!$E$24:$E$106,'2020'!$L$24:$L$106,A54&amp;" / "&amp;B54,'2020'!$C$24:$C$106,A54)+SUMIFS('2020'!$H$24:$H$106,'2020'!$L$24:$L$106,A54&amp;" / "&amp;B54,'2020'!$F$24:$F$106,A54)+SUMIFS('2021'!$E$24:$E$112,'2021'!$L$24:$L$112,A54&amp;" / "&amp;B54,'2021'!$C$24:$C$112,A54)+SUMIFS('2021'!$H$24:$H$112,'2021'!$L$24:$L$112,A54&amp;" / "&amp;B54,'2021'!$F$24:$F$112,A54)+SUMIFS('2022'!$E$24:$E$112,'2022'!$L$24:$L$112,A54&amp;" / "&amp;B54,'2022'!$C$24:$C$112,A54)+SUMIFS('2022'!$H$24:$H$112,'2022'!$L$24:$L$112,A54&amp;" / "&amp;B54,'2022'!$F$24:$F$112,A54)+SUMIFS('2023'!$E$24:$E$112,'2023'!$L$24:$L$112,A54&amp;" / "&amp;B54,'2023'!$C$24:$C$112,A54)+SUMIFS('2023'!$H$24:$H$112,'2023'!$L$24:$L$112,A54&amp;" / "&amp;B54,'2023'!$F$24:$F$112,A54)+SUMIFS('2024'!$E$24:$E$112,'2024'!$L$24:$L$112,A54&amp;" / "&amp;B54,'2024'!$C$24:$C$112,A54)+SUMIFS('2024'!$H$24:$H$112,'2024'!$L$24:$L$112,A54&amp;" / "&amp;B54,'2024'!$F$24:$F$112,A54)+SUMIFS('2025'!$E$24:$E$112,'2025'!$L$24:$L$112,A54&amp;" / "&amp;B54,'2025'!$C$24:$C$112,A54)+SUMIFS('2025'!$H$24:$H$112,'2025'!$L$24:$L$112,A54&amp;" / "&amp;B54,'2025'!$F$24:$F$112,A54)</x:f>
        <x:v>214</x:v>
      </x:c>
      <x:c r="H54" s="25" t="n">
        <x:f>SUMIFS('2015'!$E$24:$E$96,'2015'!$L$24:$L$96,A54&amp;" / "&amp;B54,'2015'!$C$24:$C$96,B54)+SUMIFS('2015'!$H$24:$H$96,'2015'!$L$24:$L$96,A54&amp;" / "&amp;B54,'2015'!$F$24:$F$96,B54)+SUMIFS('2016'!$E$24:$E$96,'2016'!$L$24:$L$96,A54&amp;" / "&amp;B54,'2016'!$C$24:$C$96,B54)+SUMIFS('2016'!$H$24:$H$96,'2016'!$L$24:$L$96,A54&amp;" / "&amp;B54,'2016'!$F$24:$F$96,B54)+SUMIFS('2017'!$E$24:$E$106,'2017'!$L$24:$L$106,A54&amp;" / "&amp;B54,'2017'!$C$24:$C$106,B54)+SUMIFS('2017'!$H$24:$H$106,'2017'!$L$24:$L$106,A54&amp;" / "&amp;B54,'2017'!$F$24:$F$106,B54)+SUMIFS('2018'!$E$24:$E$106,'2018'!$L$24:$L$106,A54&amp;" / "&amp;B54,'2018'!$C$24:$C$106,B54)+SUMIFS('2018'!$H$24:$H$106,'2018'!$L$24:$L$106,A54&amp;" / "&amp;B54,'2018'!$F$24:$F$106,B54)+SUMIFS('2019'!$E$24:$E$106,'2019'!$L$24:$L$106,A54&amp;" / "&amp;B54,'2019'!$C$24:$C$106,B54)+SUMIFS('2019'!$H$24:$H$106,'2019'!$L$24:$L$106,A54&amp;" / "&amp;B54,'2019'!$F$24:$F$106,B54)+SUMIFS('2020'!$E$24:$E$106,'2020'!$L$24:$L$106,A54&amp;" / "&amp;B54,'2020'!$C$24:$C$106,B54)+SUMIFS('2020'!$H$24:$H$106,'2020'!$L$24:$L$106,A54&amp;" / "&amp;B54,'2020'!$F$24:$F$106,B54)+SUMIFS('2021'!$E$24:$E$112,'2021'!$L$24:$L$112,A54&amp;" / "&amp;B54,'2021'!$C$24:$C$112,B54)+SUMIFS('2021'!$H$24:$H$112,'2021'!$L$24:$L$112,A54&amp;" / "&amp;B54,'2021'!$F$24:$F$112,B54)+SUMIFS('2022'!$E$24:$E$112,'2022'!$L$24:$L$112,A54&amp;" / "&amp;B54,'2022'!$C$24:$C$112,B54)+SUMIFS('2022'!$H$24:$H$112,'2022'!$L$24:$L$112,A54&amp;" / "&amp;B54,'2022'!$F$24:$F$112,B54)+SUMIFS('2023'!$E$24:$E$112,'2023'!$L$24:$L$112,A54&amp;" / "&amp;B54,'2023'!$C$24:$C$112,B54)+SUMIFS('2023'!$H$24:$H$112,'2023'!$L$24:$L$112,A54&amp;" / "&amp;B54,'2023'!$F$24:$F$112,B54)+SUMIFS('2024'!$E$24:$E$112,'2024'!$L$24:$L$112,A54&amp;" / "&amp;B54,'2024'!$C$24:$C$112,B54)+SUMIFS('2024'!$H$24:$H$112,'2024'!$L$24:$L$112,A54&amp;" / "&amp;B54,'2024'!$F$24:$F$112,B54)+SUMIFS('2025'!$E$24:$E$112,'2025'!$L$24:$L$112,A54&amp;" / "&amp;B54,'2025'!$C$24:$C$112,B54)+SUMIFS('2025'!$H$24:$H$112,'2025'!$L$24:$L$112,A54&amp;" / "&amp;B54,'2025'!$F$24:$F$112,B54)</x:f>
        <x:v>219</x:v>
      </x:c>
      <x:c r="I54" s="11" t="n">
        <x:f>IF(C54=0,0,(D54+0.5*F54)/C54)</x:f>
        <x:v>0.5</x:v>
      </x:c>
      <x:c r="J54" s="2" t="n">
        <x:f>COUNTIFS('2015'!$L$24:$L$96,A54&amp;" / "&amp;B54,'2015'!$B$24:$B$96,"Regular")+COUNTIFS('2016'!$L$24:$L$96,A54&amp;" / "&amp;B54,'2016'!$B$24:$B$96,"Regular")+COUNTIFS('2017'!$L$24:$L$106,A54&amp;" / "&amp;B54,'2017'!$B$24:$B$106,"Regular")+COUNTIFS('2018'!$L$24:$L$106,A54&amp;" / "&amp;B54,'2018'!$B$24:$B$106,"Regular")+COUNTIFS('2019'!$L$24:$L$106,A54&amp;" / "&amp;B54,'2019'!$B$24:$B$106,"Regular")+COUNTIFS('2020'!$L$24:$L$106,A54&amp;" / "&amp;B54,'2020'!$B$24:$B$106,"Regular")+COUNTIFS('2021'!$L$24:$L$112,A54&amp;" / "&amp;B54,'2021'!$B$24:$B$112,"Regular")+COUNTIFS('2022'!$L$24:$L$112,A54&amp;" / "&amp;B54,'2022'!$B$24:$B$112,"Regular")+COUNTIFS('2023'!$L$24:$L$112,A54&amp;" / "&amp;B54,'2023'!$B$24:$B$112,"Regular")+COUNTIFS('2024'!$L$24:$L$112,A54&amp;" / "&amp;B54,'2024'!$B$24:$B$112,"Regular")+COUNTIFS('2025'!$L$24:$L$112,A54&amp;" / "&amp;B54,'2025'!$B$24:$B$112,"Regular")</x:f>
        <x:v>2</x:v>
      </x:c>
      <x:c r="K54" s="2" t="n">
        <x:f>COUNTIFS('2015'!$L$24:$L$96,A54&amp;" / "&amp;B54,'2015'!$B$24:$B$96,"Playoffs")+COUNTIFS('2016'!$L$24:$L$96,A54&amp;" / "&amp;B54,'2016'!$B$24:$B$96,"Playoffs")+COUNTIFS('2017'!$L$24:$L$106,A54&amp;" / "&amp;B54,'2017'!$B$24:$B$106,"Playoffs")+COUNTIFS('2018'!$L$24:$L$106,A54&amp;" / "&amp;B54,'2018'!$B$24:$B$106,"Playoffs")+COUNTIFS('2019'!$L$24:$L$106,A54&amp;" / "&amp;B54,'2019'!$B$24:$B$106,"Playoffs")+COUNTIFS('2020'!$L$24:$L$106,A54&amp;" / "&amp;B54,'2020'!$B$24:$B$106,"Playoffs")+COUNTIFS('2021'!$L$24:$L$112,A54&amp;" / "&amp;B54,'2021'!$B$24:$B$112,"Playoffs")+COUNTIFS('2022'!$L$24:$L$112,A54&amp;" / "&amp;B54,'2022'!$B$24:$B$112,"Playoffs")+COUNTIFS('2023'!$L$24:$L$112,A54&amp;" / "&amp;B54,'2023'!$B$24:$B$112,"Playoffs")+COUNTIFS('2024'!$L$24:$L$112,A54&amp;" / "&amp;B54,'2024'!$B$24:$B$112,"Playoffs")+COUNTIFS('2025'!$L$24:$L$112,A54&amp;" / "&amp;B54,'2025'!$B$24:$B$112,"Playoffs")</x:f>
        <x:v>0</x:v>
      </x:c>
      <x:c r="L54" s="2" t="n">
        <x:f>COUNTIFS('2015'!$L$24:$L$96,A54&amp;" / "&amp;B54,'2015'!$B$24:$B$96,"Unconfirmed")+COUNTIFS('2016'!$L$24:$L$96,A54&amp;" / "&amp;B54,'2016'!$B$24:$B$96,"Unconfirmed")+COUNTIFS('2017'!$L$24:$L$106,A54&amp;" / "&amp;B54,'2017'!$B$24:$B$106,"Unconfirmed")+COUNTIFS('2018'!$L$24:$L$106,A54&amp;" / "&amp;B54,'2018'!$B$24:$B$106,"Unconfirmed")+COUNTIFS('2019'!$L$24:$L$106,A54&amp;" / "&amp;B54,'2019'!$B$24:$B$106,"Unconfirmed")+COUNTIFS('2020'!$L$24:$L$106,A54&amp;" / "&amp;B54,'2020'!$B$24:$B$106,"Unconfirmed")+COUNTIFS('2021'!$L$24:$L$112,A54&amp;" / "&amp;B54,'2021'!$B$24:$B$112,"Unconfirmed")+COUNTIFS('2022'!$L$24:$L$112,A54&amp;" / "&amp;B54,'2022'!$B$24:$B$112,"Unconfirmed")+COUNTIFS('2023'!$L$24:$L$112,A54&amp;" / "&amp;B54,'2023'!$B$24:$B$112,"Unconfirmed")+COUNTIFS('2024'!$L$24:$L$112,A54&amp;" / "&amp;B54,'2024'!$B$24:$B$112,"Unconfirmed")+COUNTIFS('2025'!$L$24:$L$112,A54&amp;" / "&amp;B54,'2025'!$B$24:$B$112,"Unconfirmed")</x:f>
        <x:v>0</x:v>
      </x:c>
    </x:row>
    <x:row r="55" ht="22" customHeight="1">
      <x:c r="A55" s="2" t="str">
        <x:v>Chas</x:v>
      </x:c>
      <x:c r="B55" s="2" t="str">
        <x:v>Frank</x:v>
      </x:c>
      <x:c r="C55" s="2" t="n">
        <x:f>COUNTIFS('2015'!$L$24:$L$96,A55&amp;" / "&amp;B55)+COUNTIFS('2016'!$L$24:$L$96,A55&amp;" / "&amp;B55)+COUNTIFS('2017'!$L$24:$L$106,A55&amp;" / "&amp;B55)+COUNTIFS('2018'!$L$24:$L$106,A55&amp;" / "&amp;B55)+COUNTIFS('2019'!$L$24:$L$106,A55&amp;" / "&amp;B55)+COUNTIFS('2020'!$L$24:$L$106,A55&amp;" / "&amp;B55)+COUNTIFS('2021'!$L$24:$L$112,A55&amp;" / "&amp;B55)+COUNTIFS('2022'!$L$24:$L$112,A55&amp;" / "&amp;B55)+COUNTIFS('2023'!$L$24:$L$112,A55&amp;" / "&amp;B55)+COUNTIFS('2024'!$L$24:$L$112,A55&amp;" / "&amp;B55)+COUNTIFS('2025'!$L$24:$L$112,A55&amp;" / "&amp;B55)</x:f>
        <x:v>1</x:v>
      </x:c>
      <x:c r="D55" s="2" t="n">
        <x:f>COUNTIFS('2015'!$L$24:$L$96,A55&amp;" / "&amp;B55,'2015'!$I$24:$I$96,A55)+COUNTIFS('2016'!$L$24:$L$96,A55&amp;" / "&amp;B55,'2016'!$I$24:$I$96,A55)+COUNTIFS('2017'!$L$24:$L$106,A55&amp;" / "&amp;B55,'2017'!$I$24:$I$106,A55)+COUNTIFS('2018'!$L$24:$L$106,A55&amp;" / "&amp;B55,'2018'!$I$24:$I$106,A55)+COUNTIFS('2019'!$L$24:$L$106,A55&amp;" / "&amp;B55,'2019'!$I$24:$I$106,A55)+COUNTIFS('2020'!$L$24:$L$106,A55&amp;" / "&amp;B55,'2020'!$I$24:$I$106,A55)+COUNTIFS('2021'!$L$24:$L$112,A55&amp;" / "&amp;B55,'2021'!$I$24:$I$112,A55)+COUNTIFS('2022'!$L$24:$L$112,A55&amp;" / "&amp;B55,'2022'!$I$24:$I$112,A55)+COUNTIFS('2023'!$L$24:$L$112,A55&amp;" / "&amp;B55,'2023'!$I$24:$I$112,A55)+COUNTIFS('2024'!$L$24:$L$112,A55&amp;" / "&amp;B55,'2024'!$I$24:$I$112,A55)+COUNTIFS('2025'!$L$24:$L$112,A55&amp;" / "&amp;B55,'2025'!$I$24:$I$112,A55)</x:f>
        <x:v>0</x:v>
      </x:c>
      <x:c r="E55" s="2" t="n">
        <x:f>COUNTIFS('2015'!$L$24:$L$96,A55&amp;" / "&amp;B55,'2015'!$I$24:$I$96,B55)+COUNTIFS('2016'!$L$24:$L$96,A55&amp;" / "&amp;B55,'2016'!$I$24:$I$96,B55)+COUNTIFS('2017'!$L$24:$L$106,A55&amp;" / "&amp;B55,'2017'!$I$24:$I$106,B55)+COUNTIFS('2018'!$L$24:$L$106,A55&amp;" / "&amp;B55,'2018'!$I$24:$I$106,B55)+COUNTIFS('2019'!$L$24:$L$106,A55&amp;" / "&amp;B55,'2019'!$I$24:$I$106,B55)+COUNTIFS('2020'!$L$24:$L$106,A55&amp;" / "&amp;B55,'2020'!$I$24:$I$106,B55)+COUNTIFS('2021'!$L$24:$L$112,A55&amp;" / "&amp;B55,'2021'!$I$24:$I$112,B55)+COUNTIFS('2022'!$L$24:$L$112,A55&amp;" / "&amp;B55,'2022'!$I$24:$I$112,B55)+COUNTIFS('2023'!$L$24:$L$112,A55&amp;" / "&amp;B55,'2023'!$I$24:$I$112,B55)+COUNTIFS('2024'!$L$24:$L$112,A55&amp;" / "&amp;B55,'2024'!$I$24:$I$112,B55)+COUNTIFS('2025'!$L$24:$L$112,A55&amp;" / "&amp;B55,'2025'!$I$24:$I$112,B55)</x:f>
        <x:v>1</x:v>
      </x:c>
      <x:c r="F55" s="2" t="n">
        <x:f>COUNTIFS('2015'!$L$24:$L$96,A55&amp;" / "&amp;B55,'2015'!$K$24:$K$96,1)+COUNTIFS('2016'!$L$24:$L$96,A55&amp;" / "&amp;B55,'2016'!$K$24:$K$96,1)+COUNTIFS('2017'!$L$24:$L$106,A55&amp;" / "&amp;B55,'2017'!$K$24:$K$106,1)+COUNTIFS('2018'!$L$24:$L$106,A55&amp;" / "&amp;B55,'2018'!$K$24:$K$106,1)+COUNTIFS('2019'!$L$24:$L$106,A55&amp;" / "&amp;B55,'2019'!$K$24:$K$106,1)+COUNTIFS('2020'!$L$24:$L$106,A55&amp;" / "&amp;B55,'2020'!$K$24:$K$106,1)+COUNTIFS('2021'!$L$24:$L$112,A55&amp;" / "&amp;B55,'2021'!$K$24:$K$112,1)+COUNTIFS('2022'!$L$24:$L$112,A55&amp;" / "&amp;B55,'2022'!$K$24:$K$112,1)+COUNTIFS('2023'!$L$24:$L$112,A55&amp;" / "&amp;B55,'2023'!$K$24:$K$112,1)+COUNTIFS('2024'!$L$24:$L$112,A55&amp;" / "&amp;B55,'2024'!$K$24:$K$112,1)+COUNTIFS('2025'!$L$24:$L$112,A55&amp;" / "&amp;B55,'2025'!$K$24:$K$112,1)</x:f>
        <x:v>0</x:v>
      </x:c>
      <x:c r="G55" s="25" t="n">
        <x:f>SUMIFS('2015'!$E$24:$E$96,'2015'!$L$24:$L$96,A55&amp;" / "&amp;B55,'2015'!$C$24:$C$96,A55)+SUMIFS('2015'!$H$24:$H$96,'2015'!$L$24:$L$96,A55&amp;" / "&amp;B55,'2015'!$F$24:$F$96,A55)+SUMIFS('2016'!$E$24:$E$96,'2016'!$L$24:$L$96,A55&amp;" / "&amp;B55,'2016'!$C$24:$C$96,A55)+SUMIFS('2016'!$H$24:$H$96,'2016'!$L$24:$L$96,A55&amp;" / "&amp;B55,'2016'!$F$24:$F$96,A55)+SUMIFS('2017'!$E$24:$E$106,'2017'!$L$24:$L$106,A55&amp;" / "&amp;B55,'2017'!$C$24:$C$106,A55)+SUMIFS('2017'!$H$24:$H$106,'2017'!$L$24:$L$106,A55&amp;" / "&amp;B55,'2017'!$F$24:$F$106,A55)+SUMIFS('2018'!$E$24:$E$106,'2018'!$L$24:$L$106,A55&amp;" / "&amp;B55,'2018'!$C$24:$C$106,A55)+SUMIFS('2018'!$H$24:$H$106,'2018'!$L$24:$L$106,A55&amp;" / "&amp;B55,'2018'!$F$24:$F$106,A55)+SUMIFS('2019'!$E$24:$E$106,'2019'!$L$24:$L$106,A55&amp;" / "&amp;B55,'2019'!$C$24:$C$106,A55)+SUMIFS('2019'!$H$24:$H$106,'2019'!$L$24:$L$106,A55&amp;" / "&amp;B55,'2019'!$F$24:$F$106,A55)+SUMIFS('2020'!$E$24:$E$106,'2020'!$L$24:$L$106,A55&amp;" / "&amp;B55,'2020'!$C$24:$C$106,A55)+SUMIFS('2020'!$H$24:$H$106,'2020'!$L$24:$L$106,A55&amp;" / "&amp;B55,'2020'!$F$24:$F$106,A55)+SUMIFS('2021'!$E$24:$E$112,'2021'!$L$24:$L$112,A55&amp;" / "&amp;B55,'2021'!$C$24:$C$112,A55)+SUMIFS('2021'!$H$24:$H$112,'2021'!$L$24:$L$112,A55&amp;" / "&amp;B55,'2021'!$F$24:$F$112,A55)+SUMIFS('2022'!$E$24:$E$112,'2022'!$L$24:$L$112,A55&amp;" / "&amp;B55,'2022'!$C$24:$C$112,A55)+SUMIFS('2022'!$H$24:$H$112,'2022'!$L$24:$L$112,A55&amp;" / "&amp;B55,'2022'!$F$24:$F$112,A55)+SUMIFS('2023'!$E$24:$E$112,'2023'!$L$24:$L$112,A55&amp;" / "&amp;B55,'2023'!$C$24:$C$112,A55)+SUMIFS('2023'!$H$24:$H$112,'2023'!$L$24:$L$112,A55&amp;" / "&amp;B55,'2023'!$F$24:$F$112,A55)+SUMIFS('2024'!$E$24:$E$112,'2024'!$L$24:$L$112,A55&amp;" / "&amp;B55,'2024'!$C$24:$C$112,A55)+SUMIFS('2024'!$H$24:$H$112,'2024'!$L$24:$L$112,A55&amp;" / "&amp;B55,'2024'!$F$24:$F$112,A55)+SUMIFS('2025'!$E$24:$E$112,'2025'!$L$24:$L$112,A55&amp;" / "&amp;B55,'2025'!$C$24:$C$112,A55)+SUMIFS('2025'!$H$24:$H$112,'2025'!$L$24:$L$112,A55&amp;" / "&amp;B55,'2025'!$F$24:$F$112,A55)</x:f>
        <x:v>77</x:v>
      </x:c>
      <x:c r="H55" s="25" t="n">
        <x:f>SUMIFS('2015'!$E$24:$E$96,'2015'!$L$24:$L$96,A55&amp;" / "&amp;B55,'2015'!$C$24:$C$96,B55)+SUMIFS('2015'!$H$24:$H$96,'2015'!$L$24:$L$96,A55&amp;" / "&amp;B55,'2015'!$F$24:$F$96,B55)+SUMIFS('2016'!$E$24:$E$96,'2016'!$L$24:$L$96,A55&amp;" / "&amp;B55,'2016'!$C$24:$C$96,B55)+SUMIFS('2016'!$H$24:$H$96,'2016'!$L$24:$L$96,A55&amp;" / "&amp;B55,'2016'!$F$24:$F$96,B55)+SUMIFS('2017'!$E$24:$E$106,'2017'!$L$24:$L$106,A55&amp;" / "&amp;B55,'2017'!$C$24:$C$106,B55)+SUMIFS('2017'!$H$24:$H$106,'2017'!$L$24:$L$106,A55&amp;" / "&amp;B55,'2017'!$F$24:$F$106,B55)+SUMIFS('2018'!$E$24:$E$106,'2018'!$L$24:$L$106,A55&amp;" / "&amp;B55,'2018'!$C$24:$C$106,B55)+SUMIFS('2018'!$H$24:$H$106,'2018'!$L$24:$L$106,A55&amp;" / "&amp;B55,'2018'!$F$24:$F$106,B55)+SUMIFS('2019'!$E$24:$E$106,'2019'!$L$24:$L$106,A55&amp;" / "&amp;B55,'2019'!$C$24:$C$106,B55)+SUMIFS('2019'!$H$24:$H$106,'2019'!$L$24:$L$106,A55&amp;" / "&amp;B55,'2019'!$F$24:$F$106,B55)+SUMIFS('2020'!$E$24:$E$106,'2020'!$L$24:$L$106,A55&amp;" / "&amp;B55,'2020'!$C$24:$C$106,B55)+SUMIFS('2020'!$H$24:$H$106,'2020'!$L$24:$L$106,A55&amp;" / "&amp;B55,'2020'!$F$24:$F$106,B55)+SUMIFS('2021'!$E$24:$E$112,'2021'!$L$24:$L$112,A55&amp;" / "&amp;B55,'2021'!$C$24:$C$112,B55)+SUMIFS('2021'!$H$24:$H$112,'2021'!$L$24:$L$112,A55&amp;" / "&amp;B55,'2021'!$F$24:$F$112,B55)+SUMIFS('2022'!$E$24:$E$112,'2022'!$L$24:$L$112,A55&amp;" / "&amp;B55,'2022'!$C$24:$C$112,B55)+SUMIFS('2022'!$H$24:$H$112,'2022'!$L$24:$L$112,A55&amp;" / "&amp;B55,'2022'!$F$24:$F$112,B55)+SUMIFS('2023'!$E$24:$E$112,'2023'!$L$24:$L$112,A55&amp;" / "&amp;B55,'2023'!$C$24:$C$112,B55)+SUMIFS('2023'!$H$24:$H$112,'2023'!$L$24:$L$112,A55&amp;" / "&amp;B55,'2023'!$F$24:$F$112,B55)+SUMIFS('2024'!$E$24:$E$112,'2024'!$L$24:$L$112,A55&amp;" / "&amp;B55,'2024'!$C$24:$C$112,B55)+SUMIFS('2024'!$H$24:$H$112,'2024'!$L$24:$L$112,A55&amp;" / "&amp;B55,'2024'!$F$24:$F$112,B55)+SUMIFS('2025'!$E$24:$E$112,'2025'!$L$24:$L$112,A55&amp;" / "&amp;B55,'2025'!$C$24:$C$112,B55)+SUMIFS('2025'!$H$24:$H$112,'2025'!$L$24:$L$112,A55&amp;" / "&amp;B55,'2025'!$F$24:$F$112,B55)</x:f>
        <x:v>164</x:v>
      </x:c>
      <x:c r="I55" s="11" t="n">
        <x:f>IF(C55=0,0,(D55+0.5*F55)/C55)</x:f>
        <x:v>0</x:v>
      </x:c>
      <x:c r="J55" s="2" t="n">
        <x:f>COUNTIFS('2015'!$L$24:$L$96,A55&amp;" / "&amp;B55,'2015'!$B$24:$B$96,"Regular")+COUNTIFS('2016'!$L$24:$L$96,A55&amp;" / "&amp;B55,'2016'!$B$24:$B$96,"Regular")+COUNTIFS('2017'!$L$24:$L$106,A55&amp;" / "&amp;B55,'2017'!$B$24:$B$106,"Regular")+COUNTIFS('2018'!$L$24:$L$106,A55&amp;" / "&amp;B55,'2018'!$B$24:$B$106,"Regular")+COUNTIFS('2019'!$L$24:$L$106,A55&amp;" / "&amp;B55,'2019'!$B$24:$B$106,"Regular")+COUNTIFS('2020'!$L$24:$L$106,A55&amp;" / "&amp;B55,'2020'!$B$24:$B$106,"Regular")+COUNTIFS('2021'!$L$24:$L$112,A55&amp;" / "&amp;B55,'2021'!$B$24:$B$112,"Regular")+COUNTIFS('2022'!$L$24:$L$112,A55&amp;" / "&amp;B55,'2022'!$B$24:$B$112,"Regular")+COUNTIFS('2023'!$L$24:$L$112,A55&amp;" / "&amp;B55,'2023'!$B$24:$B$112,"Regular")+COUNTIFS('2024'!$L$24:$L$112,A55&amp;" / "&amp;B55,'2024'!$B$24:$B$112,"Regular")+COUNTIFS('2025'!$L$24:$L$112,A55&amp;" / "&amp;B55,'2025'!$B$24:$B$112,"Regular")</x:f>
        <x:v>1</x:v>
      </x:c>
      <x:c r="K55" s="2" t="n">
        <x:f>COUNTIFS('2015'!$L$24:$L$96,A55&amp;" / "&amp;B55,'2015'!$B$24:$B$96,"Playoffs")+COUNTIFS('2016'!$L$24:$L$96,A55&amp;" / "&amp;B55,'2016'!$B$24:$B$96,"Playoffs")+COUNTIFS('2017'!$L$24:$L$106,A55&amp;" / "&amp;B55,'2017'!$B$24:$B$106,"Playoffs")+COUNTIFS('2018'!$L$24:$L$106,A55&amp;" / "&amp;B55,'2018'!$B$24:$B$106,"Playoffs")+COUNTIFS('2019'!$L$24:$L$106,A55&amp;" / "&amp;B55,'2019'!$B$24:$B$106,"Playoffs")+COUNTIFS('2020'!$L$24:$L$106,A55&amp;" / "&amp;B55,'2020'!$B$24:$B$106,"Playoffs")+COUNTIFS('2021'!$L$24:$L$112,A55&amp;" / "&amp;B55,'2021'!$B$24:$B$112,"Playoffs")+COUNTIFS('2022'!$L$24:$L$112,A55&amp;" / "&amp;B55,'2022'!$B$24:$B$112,"Playoffs")+COUNTIFS('2023'!$L$24:$L$112,A55&amp;" / "&amp;B55,'2023'!$B$24:$B$112,"Playoffs")+COUNTIFS('2024'!$L$24:$L$112,A55&amp;" / "&amp;B55,'2024'!$B$24:$B$112,"Playoffs")+COUNTIFS('2025'!$L$24:$L$112,A55&amp;" / "&amp;B55,'2025'!$B$24:$B$112,"Playoffs")</x:f>
        <x:v>0</x:v>
      </x:c>
      <x:c r="L55" s="2" t="n">
        <x:f>COUNTIFS('2015'!$L$24:$L$96,A55&amp;" / "&amp;B55,'2015'!$B$24:$B$96,"Unconfirmed")+COUNTIFS('2016'!$L$24:$L$96,A55&amp;" / "&amp;B55,'2016'!$B$24:$B$96,"Unconfirmed")+COUNTIFS('2017'!$L$24:$L$106,A55&amp;" / "&amp;B55,'2017'!$B$24:$B$106,"Unconfirmed")+COUNTIFS('2018'!$L$24:$L$106,A55&amp;" / "&amp;B55,'2018'!$B$24:$B$106,"Unconfirmed")+COUNTIFS('2019'!$L$24:$L$106,A55&amp;" / "&amp;B55,'2019'!$B$24:$B$106,"Unconfirmed")+COUNTIFS('2020'!$L$24:$L$106,A55&amp;" / "&amp;B55,'2020'!$B$24:$B$106,"Unconfirmed")+COUNTIFS('2021'!$L$24:$L$112,A55&amp;" / "&amp;B55,'2021'!$B$24:$B$112,"Unconfirmed")+COUNTIFS('2022'!$L$24:$L$112,A55&amp;" / "&amp;B55,'2022'!$B$24:$B$112,"Unconfirmed")+COUNTIFS('2023'!$L$24:$L$112,A55&amp;" / "&amp;B55,'2023'!$B$24:$B$112,"Unconfirmed")+COUNTIFS('2024'!$L$24:$L$112,A55&amp;" / "&amp;B55,'2024'!$B$24:$B$112,"Unconfirmed")+COUNTIFS('2025'!$L$24:$L$112,A55&amp;" / "&amp;B55,'2025'!$B$24:$B$112,"Unconfirmed")</x:f>
        <x:v>0</x:v>
      </x:c>
    </x:row>
    <x:row r="56" ht="22" customHeight="1">
      <x:c r="A56" s="2" t="str">
        <x:v>Chas</x:v>
      </x:c>
      <x:c r="B56" s="2" t="str">
        <x:v>James B.</x:v>
      </x:c>
      <x:c r="C56" s="2" t="n">
        <x:f>COUNTIFS('2015'!$L$24:$L$96,A56&amp;" / "&amp;B56)+COUNTIFS('2016'!$L$24:$L$96,A56&amp;" / "&amp;B56)+COUNTIFS('2017'!$L$24:$L$106,A56&amp;" / "&amp;B56)+COUNTIFS('2018'!$L$24:$L$106,A56&amp;" / "&amp;B56)+COUNTIFS('2019'!$L$24:$L$106,A56&amp;" / "&amp;B56)+COUNTIFS('2020'!$L$24:$L$106,A56&amp;" / "&amp;B56)+COUNTIFS('2021'!$L$24:$L$112,A56&amp;" / "&amp;B56)+COUNTIFS('2022'!$L$24:$L$112,A56&amp;" / "&amp;B56)+COUNTIFS('2023'!$L$24:$L$112,A56&amp;" / "&amp;B56)+COUNTIFS('2024'!$L$24:$L$112,A56&amp;" / "&amp;B56)+COUNTIFS('2025'!$L$24:$L$112,A56&amp;" / "&amp;B56)</x:f>
        <x:v>1</x:v>
      </x:c>
      <x:c r="D56" s="2" t="n">
        <x:f>COUNTIFS('2015'!$L$24:$L$96,A56&amp;" / "&amp;B56,'2015'!$I$24:$I$96,A56)+COUNTIFS('2016'!$L$24:$L$96,A56&amp;" / "&amp;B56,'2016'!$I$24:$I$96,A56)+COUNTIFS('2017'!$L$24:$L$106,A56&amp;" / "&amp;B56,'2017'!$I$24:$I$106,A56)+COUNTIFS('2018'!$L$24:$L$106,A56&amp;" / "&amp;B56,'2018'!$I$24:$I$106,A56)+COUNTIFS('2019'!$L$24:$L$106,A56&amp;" / "&amp;B56,'2019'!$I$24:$I$106,A56)+COUNTIFS('2020'!$L$24:$L$106,A56&amp;" / "&amp;B56,'2020'!$I$24:$I$106,A56)+COUNTIFS('2021'!$L$24:$L$112,A56&amp;" / "&amp;B56,'2021'!$I$24:$I$112,A56)+COUNTIFS('2022'!$L$24:$L$112,A56&amp;" / "&amp;B56,'2022'!$I$24:$I$112,A56)+COUNTIFS('2023'!$L$24:$L$112,A56&amp;" / "&amp;B56,'2023'!$I$24:$I$112,A56)+COUNTIFS('2024'!$L$24:$L$112,A56&amp;" / "&amp;B56,'2024'!$I$24:$I$112,A56)+COUNTIFS('2025'!$L$24:$L$112,A56&amp;" / "&amp;B56,'2025'!$I$24:$I$112,A56)</x:f>
        <x:v>0</x:v>
      </x:c>
      <x:c r="E56" s="2" t="n">
        <x:f>COUNTIFS('2015'!$L$24:$L$96,A56&amp;" / "&amp;B56,'2015'!$I$24:$I$96,B56)+COUNTIFS('2016'!$L$24:$L$96,A56&amp;" / "&amp;B56,'2016'!$I$24:$I$96,B56)+COUNTIFS('2017'!$L$24:$L$106,A56&amp;" / "&amp;B56,'2017'!$I$24:$I$106,B56)+COUNTIFS('2018'!$L$24:$L$106,A56&amp;" / "&amp;B56,'2018'!$I$24:$I$106,B56)+COUNTIFS('2019'!$L$24:$L$106,A56&amp;" / "&amp;B56,'2019'!$I$24:$I$106,B56)+COUNTIFS('2020'!$L$24:$L$106,A56&amp;" / "&amp;B56,'2020'!$I$24:$I$106,B56)+COUNTIFS('2021'!$L$24:$L$112,A56&amp;" / "&amp;B56,'2021'!$I$24:$I$112,B56)+COUNTIFS('2022'!$L$24:$L$112,A56&amp;" / "&amp;B56,'2022'!$I$24:$I$112,B56)+COUNTIFS('2023'!$L$24:$L$112,A56&amp;" / "&amp;B56,'2023'!$I$24:$I$112,B56)+COUNTIFS('2024'!$L$24:$L$112,A56&amp;" / "&amp;B56,'2024'!$I$24:$I$112,B56)+COUNTIFS('2025'!$L$24:$L$112,A56&amp;" / "&amp;B56,'2025'!$I$24:$I$112,B56)</x:f>
        <x:v>1</x:v>
      </x:c>
      <x:c r="F56" s="2" t="n">
        <x:f>COUNTIFS('2015'!$L$24:$L$96,A56&amp;" / "&amp;B56,'2015'!$K$24:$K$96,1)+COUNTIFS('2016'!$L$24:$L$96,A56&amp;" / "&amp;B56,'2016'!$K$24:$K$96,1)+COUNTIFS('2017'!$L$24:$L$106,A56&amp;" / "&amp;B56,'2017'!$K$24:$K$106,1)+COUNTIFS('2018'!$L$24:$L$106,A56&amp;" / "&amp;B56,'2018'!$K$24:$K$106,1)+COUNTIFS('2019'!$L$24:$L$106,A56&amp;" / "&amp;B56,'2019'!$K$24:$K$106,1)+COUNTIFS('2020'!$L$24:$L$106,A56&amp;" / "&amp;B56,'2020'!$K$24:$K$106,1)+COUNTIFS('2021'!$L$24:$L$112,A56&amp;" / "&amp;B56,'2021'!$K$24:$K$112,1)+COUNTIFS('2022'!$L$24:$L$112,A56&amp;" / "&amp;B56,'2022'!$K$24:$K$112,1)+COUNTIFS('2023'!$L$24:$L$112,A56&amp;" / "&amp;B56,'2023'!$K$24:$K$112,1)+COUNTIFS('2024'!$L$24:$L$112,A56&amp;" / "&amp;B56,'2024'!$K$24:$K$112,1)+COUNTIFS('2025'!$L$24:$L$112,A56&amp;" / "&amp;B56,'2025'!$K$24:$K$112,1)</x:f>
        <x:v>0</x:v>
      </x:c>
      <x:c r="G56" s="25" t="n">
        <x:f>SUMIFS('2015'!$E$24:$E$96,'2015'!$L$24:$L$96,A56&amp;" / "&amp;B56,'2015'!$C$24:$C$96,A56)+SUMIFS('2015'!$H$24:$H$96,'2015'!$L$24:$L$96,A56&amp;" / "&amp;B56,'2015'!$F$24:$F$96,A56)+SUMIFS('2016'!$E$24:$E$96,'2016'!$L$24:$L$96,A56&amp;" / "&amp;B56,'2016'!$C$24:$C$96,A56)+SUMIFS('2016'!$H$24:$H$96,'2016'!$L$24:$L$96,A56&amp;" / "&amp;B56,'2016'!$F$24:$F$96,A56)+SUMIFS('2017'!$E$24:$E$106,'2017'!$L$24:$L$106,A56&amp;" / "&amp;B56,'2017'!$C$24:$C$106,A56)+SUMIFS('2017'!$H$24:$H$106,'2017'!$L$24:$L$106,A56&amp;" / "&amp;B56,'2017'!$F$24:$F$106,A56)+SUMIFS('2018'!$E$24:$E$106,'2018'!$L$24:$L$106,A56&amp;" / "&amp;B56,'2018'!$C$24:$C$106,A56)+SUMIFS('2018'!$H$24:$H$106,'2018'!$L$24:$L$106,A56&amp;" / "&amp;B56,'2018'!$F$24:$F$106,A56)+SUMIFS('2019'!$E$24:$E$106,'2019'!$L$24:$L$106,A56&amp;" / "&amp;B56,'2019'!$C$24:$C$106,A56)+SUMIFS('2019'!$H$24:$H$106,'2019'!$L$24:$L$106,A56&amp;" / "&amp;B56,'2019'!$F$24:$F$106,A56)+SUMIFS('2020'!$E$24:$E$106,'2020'!$L$24:$L$106,A56&amp;" / "&amp;B56,'2020'!$C$24:$C$106,A56)+SUMIFS('2020'!$H$24:$H$106,'2020'!$L$24:$L$106,A56&amp;" / "&amp;B56,'2020'!$F$24:$F$106,A56)+SUMIFS('2021'!$E$24:$E$112,'2021'!$L$24:$L$112,A56&amp;" / "&amp;B56,'2021'!$C$24:$C$112,A56)+SUMIFS('2021'!$H$24:$H$112,'2021'!$L$24:$L$112,A56&amp;" / "&amp;B56,'2021'!$F$24:$F$112,A56)+SUMIFS('2022'!$E$24:$E$112,'2022'!$L$24:$L$112,A56&amp;" / "&amp;B56,'2022'!$C$24:$C$112,A56)+SUMIFS('2022'!$H$24:$H$112,'2022'!$L$24:$L$112,A56&amp;" / "&amp;B56,'2022'!$F$24:$F$112,A56)+SUMIFS('2023'!$E$24:$E$112,'2023'!$L$24:$L$112,A56&amp;" / "&amp;B56,'2023'!$C$24:$C$112,A56)+SUMIFS('2023'!$H$24:$H$112,'2023'!$L$24:$L$112,A56&amp;" / "&amp;B56,'2023'!$F$24:$F$112,A56)+SUMIFS('2024'!$E$24:$E$112,'2024'!$L$24:$L$112,A56&amp;" / "&amp;B56,'2024'!$C$24:$C$112,A56)+SUMIFS('2024'!$H$24:$H$112,'2024'!$L$24:$L$112,A56&amp;" / "&amp;B56,'2024'!$F$24:$F$112,A56)+SUMIFS('2025'!$E$24:$E$112,'2025'!$L$24:$L$112,A56&amp;" / "&amp;B56,'2025'!$C$24:$C$112,A56)+SUMIFS('2025'!$H$24:$H$112,'2025'!$L$24:$L$112,A56&amp;" / "&amp;B56,'2025'!$F$24:$F$112,A56)</x:f>
        <x:v>97</x:v>
      </x:c>
      <x:c r="H56" s="25" t="n">
        <x:f>SUMIFS('2015'!$E$24:$E$96,'2015'!$L$24:$L$96,A56&amp;" / "&amp;B56,'2015'!$C$24:$C$96,B56)+SUMIFS('2015'!$H$24:$H$96,'2015'!$L$24:$L$96,A56&amp;" / "&amp;B56,'2015'!$F$24:$F$96,B56)+SUMIFS('2016'!$E$24:$E$96,'2016'!$L$24:$L$96,A56&amp;" / "&amp;B56,'2016'!$C$24:$C$96,B56)+SUMIFS('2016'!$H$24:$H$96,'2016'!$L$24:$L$96,A56&amp;" / "&amp;B56,'2016'!$F$24:$F$96,B56)+SUMIFS('2017'!$E$24:$E$106,'2017'!$L$24:$L$106,A56&amp;" / "&amp;B56,'2017'!$C$24:$C$106,B56)+SUMIFS('2017'!$H$24:$H$106,'2017'!$L$24:$L$106,A56&amp;" / "&amp;B56,'2017'!$F$24:$F$106,B56)+SUMIFS('2018'!$E$24:$E$106,'2018'!$L$24:$L$106,A56&amp;" / "&amp;B56,'2018'!$C$24:$C$106,B56)+SUMIFS('2018'!$H$24:$H$106,'2018'!$L$24:$L$106,A56&amp;" / "&amp;B56,'2018'!$F$24:$F$106,B56)+SUMIFS('2019'!$E$24:$E$106,'2019'!$L$24:$L$106,A56&amp;" / "&amp;B56,'2019'!$C$24:$C$106,B56)+SUMIFS('2019'!$H$24:$H$106,'2019'!$L$24:$L$106,A56&amp;" / "&amp;B56,'2019'!$F$24:$F$106,B56)+SUMIFS('2020'!$E$24:$E$106,'2020'!$L$24:$L$106,A56&amp;" / "&amp;B56,'2020'!$C$24:$C$106,B56)+SUMIFS('2020'!$H$24:$H$106,'2020'!$L$24:$L$106,A56&amp;" / "&amp;B56,'2020'!$F$24:$F$106,B56)+SUMIFS('2021'!$E$24:$E$112,'2021'!$L$24:$L$112,A56&amp;" / "&amp;B56,'2021'!$C$24:$C$112,B56)+SUMIFS('2021'!$H$24:$H$112,'2021'!$L$24:$L$112,A56&amp;" / "&amp;B56,'2021'!$F$24:$F$112,B56)+SUMIFS('2022'!$E$24:$E$112,'2022'!$L$24:$L$112,A56&amp;" / "&amp;B56,'2022'!$C$24:$C$112,B56)+SUMIFS('2022'!$H$24:$H$112,'2022'!$L$24:$L$112,A56&amp;" / "&amp;B56,'2022'!$F$24:$F$112,B56)+SUMIFS('2023'!$E$24:$E$112,'2023'!$L$24:$L$112,A56&amp;" / "&amp;B56,'2023'!$C$24:$C$112,B56)+SUMIFS('2023'!$H$24:$H$112,'2023'!$L$24:$L$112,A56&amp;" / "&amp;B56,'2023'!$F$24:$F$112,B56)+SUMIFS('2024'!$E$24:$E$112,'2024'!$L$24:$L$112,A56&amp;" / "&amp;B56,'2024'!$C$24:$C$112,B56)+SUMIFS('2024'!$H$24:$H$112,'2024'!$L$24:$L$112,A56&amp;" / "&amp;B56,'2024'!$F$24:$F$112,B56)+SUMIFS('2025'!$E$24:$E$112,'2025'!$L$24:$L$112,A56&amp;" / "&amp;B56,'2025'!$C$24:$C$112,B56)+SUMIFS('2025'!$H$24:$H$112,'2025'!$L$24:$L$112,A56&amp;" / "&amp;B56,'2025'!$F$24:$F$112,B56)</x:f>
        <x:v>106</x:v>
      </x:c>
      <x:c r="I56" s="11" t="n">
        <x:f>IF(C56=0,0,(D56+0.5*F56)/C56)</x:f>
        <x:v>0</x:v>
      </x:c>
      <x:c r="J56" s="2" t="n">
        <x:f>COUNTIFS('2015'!$L$24:$L$96,A56&amp;" / "&amp;B56,'2015'!$B$24:$B$96,"Regular")+COUNTIFS('2016'!$L$24:$L$96,A56&amp;" / "&amp;B56,'2016'!$B$24:$B$96,"Regular")+COUNTIFS('2017'!$L$24:$L$106,A56&amp;" / "&amp;B56,'2017'!$B$24:$B$106,"Regular")+COUNTIFS('2018'!$L$24:$L$106,A56&amp;" / "&amp;B56,'2018'!$B$24:$B$106,"Regular")+COUNTIFS('2019'!$L$24:$L$106,A56&amp;" / "&amp;B56,'2019'!$B$24:$B$106,"Regular")+COUNTIFS('2020'!$L$24:$L$106,A56&amp;" / "&amp;B56,'2020'!$B$24:$B$106,"Regular")+COUNTIFS('2021'!$L$24:$L$112,A56&amp;" / "&amp;B56,'2021'!$B$24:$B$112,"Regular")+COUNTIFS('2022'!$L$24:$L$112,A56&amp;" / "&amp;B56,'2022'!$B$24:$B$112,"Regular")+COUNTIFS('2023'!$L$24:$L$112,A56&amp;" / "&amp;B56,'2023'!$B$24:$B$112,"Regular")+COUNTIFS('2024'!$L$24:$L$112,A56&amp;" / "&amp;B56,'2024'!$B$24:$B$112,"Regular")+COUNTIFS('2025'!$L$24:$L$112,A56&amp;" / "&amp;B56,'2025'!$B$24:$B$112,"Regular")</x:f>
        <x:v>1</x:v>
      </x:c>
      <x:c r="K56" s="2" t="n">
        <x:f>COUNTIFS('2015'!$L$24:$L$96,A56&amp;" / "&amp;B56,'2015'!$B$24:$B$96,"Playoffs")+COUNTIFS('2016'!$L$24:$L$96,A56&amp;" / "&amp;B56,'2016'!$B$24:$B$96,"Playoffs")+COUNTIFS('2017'!$L$24:$L$106,A56&amp;" / "&amp;B56,'2017'!$B$24:$B$106,"Playoffs")+COUNTIFS('2018'!$L$24:$L$106,A56&amp;" / "&amp;B56,'2018'!$B$24:$B$106,"Playoffs")+COUNTIFS('2019'!$L$24:$L$106,A56&amp;" / "&amp;B56,'2019'!$B$24:$B$106,"Playoffs")+COUNTIFS('2020'!$L$24:$L$106,A56&amp;" / "&amp;B56,'2020'!$B$24:$B$106,"Playoffs")+COUNTIFS('2021'!$L$24:$L$112,A56&amp;" / "&amp;B56,'2021'!$B$24:$B$112,"Playoffs")+COUNTIFS('2022'!$L$24:$L$112,A56&amp;" / "&amp;B56,'2022'!$B$24:$B$112,"Playoffs")+COUNTIFS('2023'!$L$24:$L$112,A56&amp;" / "&amp;B56,'2023'!$B$24:$B$112,"Playoffs")+COUNTIFS('2024'!$L$24:$L$112,A56&amp;" / "&amp;B56,'2024'!$B$24:$B$112,"Playoffs")+COUNTIFS('2025'!$L$24:$L$112,A56&amp;" / "&amp;B56,'2025'!$B$24:$B$112,"Playoffs")</x:f>
        <x:v>0</x:v>
      </x:c>
      <x:c r="L56" s="2" t="n">
        <x:f>COUNTIFS('2015'!$L$24:$L$96,A56&amp;" / "&amp;B56,'2015'!$B$24:$B$96,"Unconfirmed")+COUNTIFS('2016'!$L$24:$L$96,A56&amp;" / "&amp;B56,'2016'!$B$24:$B$96,"Unconfirmed")+COUNTIFS('2017'!$L$24:$L$106,A56&amp;" / "&amp;B56,'2017'!$B$24:$B$106,"Unconfirmed")+COUNTIFS('2018'!$L$24:$L$106,A56&amp;" / "&amp;B56,'2018'!$B$24:$B$106,"Unconfirmed")+COUNTIFS('2019'!$L$24:$L$106,A56&amp;" / "&amp;B56,'2019'!$B$24:$B$106,"Unconfirmed")+COUNTIFS('2020'!$L$24:$L$106,A56&amp;" / "&amp;B56,'2020'!$B$24:$B$106,"Unconfirmed")+COUNTIFS('2021'!$L$24:$L$112,A56&amp;" / "&amp;B56,'2021'!$B$24:$B$112,"Unconfirmed")+COUNTIFS('2022'!$L$24:$L$112,A56&amp;" / "&amp;B56,'2022'!$B$24:$B$112,"Unconfirmed")+COUNTIFS('2023'!$L$24:$L$112,A56&amp;" / "&amp;B56,'2023'!$B$24:$B$112,"Unconfirmed")+COUNTIFS('2024'!$L$24:$L$112,A56&amp;" / "&amp;B56,'2024'!$B$24:$B$112,"Unconfirmed")+COUNTIFS('2025'!$L$24:$L$112,A56&amp;" / "&amp;B56,'2025'!$B$24:$B$112,"Unconfirmed")</x:f>
        <x:v>0</x:v>
      </x:c>
    </x:row>
    <x:row r="57" ht="22" customHeight="1">
      <x:c r="A57" s="2" t="str">
        <x:v>Chas</x:v>
      </x:c>
      <x:c r="B57" s="2" t="str">
        <x:v>Josh</x:v>
      </x:c>
      <x:c r="C57" s="2" t="n">
        <x:f>COUNTIFS('2015'!$L$24:$L$96,A57&amp;" / "&amp;B57)+COUNTIFS('2016'!$L$24:$L$96,A57&amp;" / "&amp;B57)+COUNTIFS('2017'!$L$24:$L$106,A57&amp;" / "&amp;B57)+COUNTIFS('2018'!$L$24:$L$106,A57&amp;" / "&amp;B57)+COUNTIFS('2019'!$L$24:$L$106,A57&amp;" / "&amp;B57)+COUNTIFS('2020'!$L$24:$L$106,A57&amp;" / "&amp;B57)+COUNTIFS('2021'!$L$24:$L$112,A57&amp;" / "&amp;B57)+COUNTIFS('2022'!$L$24:$L$112,A57&amp;" / "&amp;B57)+COUNTIFS('2023'!$L$24:$L$112,A57&amp;" / "&amp;B57)+COUNTIFS('2024'!$L$24:$L$112,A57&amp;" / "&amp;B57)+COUNTIFS('2025'!$L$24:$L$112,A57&amp;" / "&amp;B57)</x:f>
        <x:v>2</x:v>
      </x:c>
      <x:c r="D57" s="2" t="n">
        <x:f>COUNTIFS('2015'!$L$24:$L$96,A57&amp;" / "&amp;B57,'2015'!$I$24:$I$96,A57)+COUNTIFS('2016'!$L$24:$L$96,A57&amp;" / "&amp;B57,'2016'!$I$24:$I$96,A57)+COUNTIFS('2017'!$L$24:$L$106,A57&amp;" / "&amp;B57,'2017'!$I$24:$I$106,A57)+COUNTIFS('2018'!$L$24:$L$106,A57&amp;" / "&amp;B57,'2018'!$I$24:$I$106,A57)+COUNTIFS('2019'!$L$24:$L$106,A57&amp;" / "&amp;B57,'2019'!$I$24:$I$106,A57)+COUNTIFS('2020'!$L$24:$L$106,A57&amp;" / "&amp;B57,'2020'!$I$24:$I$106,A57)+COUNTIFS('2021'!$L$24:$L$112,A57&amp;" / "&amp;B57,'2021'!$I$24:$I$112,A57)+COUNTIFS('2022'!$L$24:$L$112,A57&amp;" / "&amp;B57,'2022'!$I$24:$I$112,A57)+COUNTIFS('2023'!$L$24:$L$112,A57&amp;" / "&amp;B57,'2023'!$I$24:$I$112,A57)+COUNTIFS('2024'!$L$24:$L$112,A57&amp;" / "&amp;B57,'2024'!$I$24:$I$112,A57)+COUNTIFS('2025'!$L$24:$L$112,A57&amp;" / "&amp;B57,'2025'!$I$24:$I$112,A57)</x:f>
        <x:v>0</x:v>
      </x:c>
      <x:c r="E57" s="2" t="n">
        <x:f>COUNTIFS('2015'!$L$24:$L$96,A57&amp;" / "&amp;B57,'2015'!$I$24:$I$96,B57)+COUNTIFS('2016'!$L$24:$L$96,A57&amp;" / "&amp;B57,'2016'!$I$24:$I$96,B57)+COUNTIFS('2017'!$L$24:$L$106,A57&amp;" / "&amp;B57,'2017'!$I$24:$I$106,B57)+COUNTIFS('2018'!$L$24:$L$106,A57&amp;" / "&amp;B57,'2018'!$I$24:$I$106,B57)+COUNTIFS('2019'!$L$24:$L$106,A57&amp;" / "&amp;B57,'2019'!$I$24:$I$106,B57)+COUNTIFS('2020'!$L$24:$L$106,A57&amp;" / "&amp;B57,'2020'!$I$24:$I$106,B57)+COUNTIFS('2021'!$L$24:$L$112,A57&amp;" / "&amp;B57,'2021'!$I$24:$I$112,B57)+COUNTIFS('2022'!$L$24:$L$112,A57&amp;" / "&amp;B57,'2022'!$I$24:$I$112,B57)+COUNTIFS('2023'!$L$24:$L$112,A57&amp;" / "&amp;B57,'2023'!$I$24:$I$112,B57)+COUNTIFS('2024'!$L$24:$L$112,A57&amp;" / "&amp;B57,'2024'!$I$24:$I$112,B57)+COUNTIFS('2025'!$L$24:$L$112,A57&amp;" / "&amp;B57,'2025'!$I$24:$I$112,B57)</x:f>
        <x:v>2</x:v>
      </x:c>
      <x:c r="F57" s="2" t="n">
        <x:f>COUNTIFS('2015'!$L$24:$L$96,A57&amp;" / "&amp;B57,'2015'!$K$24:$K$96,1)+COUNTIFS('2016'!$L$24:$L$96,A57&amp;" / "&amp;B57,'2016'!$K$24:$K$96,1)+COUNTIFS('2017'!$L$24:$L$106,A57&amp;" / "&amp;B57,'2017'!$K$24:$K$106,1)+COUNTIFS('2018'!$L$24:$L$106,A57&amp;" / "&amp;B57,'2018'!$K$24:$K$106,1)+COUNTIFS('2019'!$L$24:$L$106,A57&amp;" / "&amp;B57,'2019'!$K$24:$K$106,1)+COUNTIFS('2020'!$L$24:$L$106,A57&amp;" / "&amp;B57,'2020'!$K$24:$K$106,1)+COUNTIFS('2021'!$L$24:$L$112,A57&amp;" / "&amp;B57,'2021'!$K$24:$K$112,1)+COUNTIFS('2022'!$L$24:$L$112,A57&amp;" / "&amp;B57,'2022'!$K$24:$K$112,1)+COUNTIFS('2023'!$L$24:$L$112,A57&amp;" / "&amp;B57,'2023'!$K$24:$K$112,1)+COUNTIFS('2024'!$L$24:$L$112,A57&amp;" / "&amp;B57,'2024'!$K$24:$K$112,1)+COUNTIFS('2025'!$L$24:$L$112,A57&amp;" / "&amp;B57,'2025'!$K$24:$K$112,1)</x:f>
        <x:v>0</x:v>
      </x:c>
      <x:c r="G57" s="25" t="n">
        <x:f>SUMIFS('2015'!$E$24:$E$96,'2015'!$L$24:$L$96,A57&amp;" / "&amp;B57,'2015'!$C$24:$C$96,A57)+SUMIFS('2015'!$H$24:$H$96,'2015'!$L$24:$L$96,A57&amp;" / "&amp;B57,'2015'!$F$24:$F$96,A57)+SUMIFS('2016'!$E$24:$E$96,'2016'!$L$24:$L$96,A57&amp;" / "&amp;B57,'2016'!$C$24:$C$96,A57)+SUMIFS('2016'!$H$24:$H$96,'2016'!$L$24:$L$96,A57&amp;" / "&amp;B57,'2016'!$F$24:$F$96,A57)+SUMIFS('2017'!$E$24:$E$106,'2017'!$L$24:$L$106,A57&amp;" / "&amp;B57,'2017'!$C$24:$C$106,A57)+SUMIFS('2017'!$H$24:$H$106,'2017'!$L$24:$L$106,A57&amp;" / "&amp;B57,'2017'!$F$24:$F$106,A57)+SUMIFS('2018'!$E$24:$E$106,'2018'!$L$24:$L$106,A57&amp;" / "&amp;B57,'2018'!$C$24:$C$106,A57)+SUMIFS('2018'!$H$24:$H$106,'2018'!$L$24:$L$106,A57&amp;" / "&amp;B57,'2018'!$F$24:$F$106,A57)+SUMIFS('2019'!$E$24:$E$106,'2019'!$L$24:$L$106,A57&amp;" / "&amp;B57,'2019'!$C$24:$C$106,A57)+SUMIFS('2019'!$H$24:$H$106,'2019'!$L$24:$L$106,A57&amp;" / "&amp;B57,'2019'!$F$24:$F$106,A57)+SUMIFS('2020'!$E$24:$E$106,'2020'!$L$24:$L$106,A57&amp;" / "&amp;B57,'2020'!$C$24:$C$106,A57)+SUMIFS('2020'!$H$24:$H$106,'2020'!$L$24:$L$106,A57&amp;" / "&amp;B57,'2020'!$F$24:$F$106,A57)+SUMIFS('2021'!$E$24:$E$112,'2021'!$L$24:$L$112,A57&amp;" / "&amp;B57,'2021'!$C$24:$C$112,A57)+SUMIFS('2021'!$H$24:$H$112,'2021'!$L$24:$L$112,A57&amp;" / "&amp;B57,'2021'!$F$24:$F$112,A57)+SUMIFS('2022'!$E$24:$E$112,'2022'!$L$24:$L$112,A57&amp;" / "&amp;B57,'2022'!$C$24:$C$112,A57)+SUMIFS('2022'!$H$24:$H$112,'2022'!$L$24:$L$112,A57&amp;" / "&amp;B57,'2022'!$F$24:$F$112,A57)+SUMIFS('2023'!$E$24:$E$112,'2023'!$L$24:$L$112,A57&amp;" / "&amp;B57,'2023'!$C$24:$C$112,A57)+SUMIFS('2023'!$H$24:$H$112,'2023'!$L$24:$L$112,A57&amp;" / "&amp;B57,'2023'!$F$24:$F$112,A57)+SUMIFS('2024'!$E$24:$E$112,'2024'!$L$24:$L$112,A57&amp;" / "&amp;B57,'2024'!$C$24:$C$112,A57)+SUMIFS('2024'!$H$24:$H$112,'2024'!$L$24:$L$112,A57&amp;" / "&amp;B57,'2024'!$F$24:$F$112,A57)+SUMIFS('2025'!$E$24:$E$112,'2025'!$L$24:$L$112,A57&amp;" / "&amp;B57,'2025'!$C$24:$C$112,A57)+SUMIFS('2025'!$H$24:$H$112,'2025'!$L$24:$L$112,A57&amp;" / "&amp;B57,'2025'!$F$24:$F$112,A57)</x:f>
        <x:v>161</x:v>
      </x:c>
      <x:c r="H57" s="25" t="n">
        <x:f>SUMIFS('2015'!$E$24:$E$96,'2015'!$L$24:$L$96,A57&amp;" / "&amp;B57,'2015'!$C$24:$C$96,B57)+SUMIFS('2015'!$H$24:$H$96,'2015'!$L$24:$L$96,A57&amp;" / "&amp;B57,'2015'!$F$24:$F$96,B57)+SUMIFS('2016'!$E$24:$E$96,'2016'!$L$24:$L$96,A57&amp;" / "&amp;B57,'2016'!$C$24:$C$96,B57)+SUMIFS('2016'!$H$24:$H$96,'2016'!$L$24:$L$96,A57&amp;" / "&amp;B57,'2016'!$F$24:$F$96,B57)+SUMIFS('2017'!$E$24:$E$106,'2017'!$L$24:$L$106,A57&amp;" / "&amp;B57,'2017'!$C$24:$C$106,B57)+SUMIFS('2017'!$H$24:$H$106,'2017'!$L$24:$L$106,A57&amp;" / "&amp;B57,'2017'!$F$24:$F$106,B57)+SUMIFS('2018'!$E$24:$E$106,'2018'!$L$24:$L$106,A57&amp;" / "&amp;B57,'2018'!$C$24:$C$106,B57)+SUMIFS('2018'!$H$24:$H$106,'2018'!$L$24:$L$106,A57&amp;" / "&amp;B57,'2018'!$F$24:$F$106,B57)+SUMIFS('2019'!$E$24:$E$106,'2019'!$L$24:$L$106,A57&amp;" / "&amp;B57,'2019'!$C$24:$C$106,B57)+SUMIFS('2019'!$H$24:$H$106,'2019'!$L$24:$L$106,A57&amp;" / "&amp;B57,'2019'!$F$24:$F$106,B57)+SUMIFS('2020'!$E$24:$E$106,'2020'!$L$24:$L$106,A57&amp;" / "&amp;B57,'2020'!$C$24:$C$106,B57)+SUMIFS('2020'!$H$24:$H$106,'2020'!$L$24:$L$106,A57&amp;" / "&amp;B57,'2020'!$F$24:$F$106,B57)+SUMIFS('2021'!$E$24:$E$112,'2021'!$L$24:$L$112,A57&amp;" / "&amp;B57,'2021'!$C$24:$C$112,B57)+SUMIFS('2021'!$H$24:$H$112,'2021'!$L$24:$L$112,A57&amp;" / "&amp;B57,'2021'!$F$24:$F$112,B57)+SUMIFS('2022'!$E$24:$E$112,'2022'!$L$24:$L$112,A57&amp;" / "&amp;B57,'2022'!$C$24:$C$112,B57)+SUMIFS('2022'!$H$24:$H$112,'2022'!$L$24:$L$112,A57&amp;" / "&amp;B57,'2022'!$F$24:$F$112,B57)+SUMIFS('2023'!$E$24:$E$112,'2023'!$L$24:$L$112,A57&amp;" / "&amp;B57,'2023'!$C$24:$C$112,B57)+SUMIFS('2023'!$H$24:$H$112,'2023'!$L$24:$L$112,A57&amp;" / "&amp;B57,'2023'!$F$24:$F$112,B57)+SUMIFS('2024'!$E$24:$E$112,'2024'!$L$24:$L$112,A57&amp;" / "&amp;B57,'2024'!$C$24:$C$112,B57)+SUMIFS('2024'!$H$24:$H$112,'2024'!$L$24:$L$112,A57&amp;" / "&amp;B57,'2024'!$F$24:$F$112,B57)+SUMIFS('2025'!$E$24:$E$112,'2025'!$L$24:$L$112,A57&amp;" / "&amp;B57,'2025'!$C$24:$C$112,B57)+SUMIFS('2025'!$H$24:$H$112,'2025'!$L$24:$L$112,A57&amp;" / "&amp;B57,'2025'!$F$24:$F$112,B57)</x:f>
        <x:v>220</x:v>
      </x:c>
      <x:c r="I57" s="11" t="n">
        <x:f>IF(C57=0,0,(D57+0.5*F57)/C57)</x:f>
        <x:v>0</x:v>
      </x:c>
      <x:c r="J57" s="2" t="n">
        <x:f>COUNTIFS('2015'!$L$24:$L$96,A57&amp;" / "&amp;B57,'2015'!$B$24:$B$96,"Regular")+COUNTIFS('2016'!$L$24:$L$96,A57&amp;" / "&amp;B57,'2016'!$B$24:$B$96,"Regular")+COUNTIFS('2017'!$L$24:$L$106,A57&amp;" / "&amp;B57,'2017'!$B$24:$B$106,"Regular")+COUNTIFS('2018'!$L$24:$L$106,A57&amp;" / "&amp;B57,'2018'!$B$24:$B$106,"Regular")+COUNTIFS('2019'!$L$24:$L$106,A57&amp;" / "&amp;B57,'2019'!$B$24:$B$106,"Regular")+COUNTIFS('2020'!$L$24:$L$106,A57&amp;" / "&amp;B57,'2020'!$B$24:$B$106,"Regular")+COUNTIFS('2021'!$L$24:$L$112,A57&amp;" / "&amp;B57,'2021'!$B$24:$B$112,"Regular")+COUNTIFS('2022'!$L$24:$L$112,A57&amp;" / "&amp;B57,'2022'!$B$24:$B$112,"Regular")+COUNTIFS('2023'!$L$24:$L$112,A57&amp;" / "&amp;B57,'2023'!$B$24:$B$112,"Regular")+COUNTIFS('2024'!$L$24:$L$112,A57&amp;" / "&amp;B57,'2024'!$B$24:$B$112,"Regular")+COUNTIFS('2025'!$L$24:$L$112,A57&amp;" / "&amp;B57,'2025'!$B$24:$B$112,"Regular")</x:f>
        <x:v>2</x:v>
      </x:c>
      <x:c r="K57" s="2" t="n">
        <x:f>COUNTIFS('2015'!$L$24:$L$96,A57&amp;" / "&amp;B57,'2015'!$B$24:$B$96,"Playoffs")+COUNTIFS('2016'!$L$24:$L$96,A57&amp;" / "&amp;B57,'2016'!$B$24:$B$96,"Playoffs")+COUNTIFS('2017'!$L$24:$L$106,A57&amp;" / "&amp;B57,'2017'!$B$24:$B$106,"Playoffs")+COUNTIFS('2018'!$L$24:$L$106,A57&amp;" / "&amp;B57,'2018'!$B$24:$B$106,"Playoffs")+COUNTIFS('2019'!$L$24:$L$106,A57&amp;" / "&amp;B57,'2019'!$B$24:$B$106,"Playoffs")+COUNTIFS('2020'!$L$24:$L$106,A57&amp;" / "&amp;B57,'2020'!$B$24:$B$106,"Playoffs")+COUNTIFS('2021'!$L$24:$L$112,A57&amp;" / "&amp;B57,'2021'!$B$24:$B$112,"Playoffs")+COUNTIFS('2022'!$L$24:$L$112,A57&amp;" / "&amp;B57,'2022'!$B$24:$B$112,"Playoffs")+COUNTIFS('2023'!$L$24:$L$112,A57&amp;" / "&amp;B57,'2023'!$B$24:$B$112,"Playoffs")+COUNTIFS('2024'!$L$24:$L$112,A57&amp;" / "&amp;B57,'2024'!$B$24:$B$112,"Playoffs")+COUNTIFS('2025'!$L$24:$L$112,A57&amp;" / "&amp;B57,'2025'!$B$24:$B$112,"Playoffs")</x:f>
        <x:v>0</x:v>
      </x:c>
      <x:c r="L57" s="2" t="n">
        <x:f>COUNTIFS('2015'!$L$24:$L$96,A57&amp;" / "&amp;B57,'2015'!$B$24:$B$96,"Unconfirmed")+COUNTIFS('2016'!$L$24:$L$96,A57&amp;" / "&amp;B57,'2016'!$B$24:$B$96,"Unconfirmed")+COUNTIFS('2017'!$L$24:$L$106,A57&amp;" / "&amp;B57,'2017'!$B$24:$B$106,"Unconfirmed")+COUNTIFS('2018'!$L$24:$L$106,A57&amp;" / "&amp;B57,'2018'!$B$24:$B$106,"Unconfirmed")+COUNTIFS('2019'!$L$24:$L$106,A57&amp;" / "&amp;B57,'2019'!$B$24:$B$106,"Unconfirmed")+COUNTIFS('2020'!$L$24:$L$106,A57&amp;" / "&amp;B57,'2020'!$B$24:$B$106,"Unconfirmed")+COUNTIFS('2021'!$L$24:$L$112,A57&amp;" / "&amp;B57,'2021'!$B$24:$B$112,"Unconfirmed")+COUNTIFS('2022'!$L$24:$L$112,A57&amp;" / "&amp;B57,'2022'!$B$24:$B$112,"Unconfirmed")+COUNTIFS('2023'!$L$24:$L$112,A57&amp;" / "&amp;B57,'2023'!$B$24:$B$112,"Unconfirmed")+COUNTIFS('2024'!$L$24:$L$112,A57&amp;" / "&amp;B57,'2024'!$B$24:$B$112,"Unconfirmed")+COUNTIFS('2025'!$L$24:$L$112,A57&amp;" / "&amp;B57,'2025'!$B$24:$B$112,"Unconfirmed")</x:f>
        <x:v>0</x:v>
      </x:c>
    </x:row>
    <x:row r="58" ht="22" customHeight="1">
      <x:c r="A58" s="2" t="str">
        <x:v>Chas</x:v>
      </x:c>
      <x:c r="B58" s="2" t="str">
        <x:v>Mark</x:v>
      </x:c>
      <x:c r="C58" s="2" t="n">
        <x:f>COUNTIFS('2015'!$L$24:$L$96,A58&amp;" / "&amp;B58)+COUNTIFS('2016'!$L$24:$L$96,A58&amp;" / "&amp;B58)+COUNTIFS('2017'!$L$24:$L$106,A58&amp;" / "&amp;B58)+COUNTIFS('2018'!$L$24:$L$106,A58&amp;" / "&amp;B58)+COUNTIFS('2019'!$L$24:$L$106,A58&amp;" / "&amp;B58)+COUNTIFS('2020'!$L$24:$L$106,A58&amp;" / "&amp;B58)+COUNTIFS('2021'!$L$24:$L$112,A58&amp;" / "&amp;B58)+COUNTIFS('2022'!$L$24:$L$112,A58&amp;" / "&amp;B58)+COUNTIFS('2023'!$L$24:$L$112,A58&amp;" / "&amp;B58)+COUNTIFS('2024'!$L$24:$L$112,A58&amp;" / "&amp;B58)+COUNTIFS('2025'!$L$24:$L$112,A58&amp;" / "&amp;B58)</x:f>
        <x:v>3</x:v>
      </x:c>
      <x:c r="D58" s="2" t="n">
        <x:f>COUNTIFS('2015'!$L$24:$L$96,A58&amp;" / "&amp;B58,'2015'!$I$24:$I$96,A58)+COUNTIFS('2016'!$L$24:$L$96,A58&amp;" / "&amp;B58,'2016'!$I$24:$I$96,A58)+COUNTIFS('2017'!$L$24:$L$106,A58&amp;" / "&amp;B58,'2017'!$I$24:$I$106,A58)+COUNTIFS('2018'!$L$24:$L$106,A58&amp;" / "&amp;B58,'2018'!$I$24:$I$106,A58)+COUNTIFS('2019'!$L$24:$L$106,A58&amp;" / "&amp;B58,'2019'!$I$24:$I$106,A58)+COUNTIFS('2020'!$L$24:$L$106,A58&amp;" / "&amp;B58,'2020'!$I$24:$I$106,A58)+COUNTIFS('2021'!$L$24:$L$112,A58&amp;" / "&amp;B58,'2021'!$I$24:$I$112,A58)+COUNTIFS('2022'!$L$24:$L$112,A58&amp;" / "&amp;B58,'2022'!$I$24:$I$112,A58)+COUNTIFS('2023'!$L$24:$L$112,A58&amp;" / "&amp;B58,'2023'!$I$24:$I$112,A58)+COUNTIFS('2024'!$L$24:$L$112,A58&amp;" / "&amp;B58,'2024'!$I$24:$I$112,A58)+COUNTIFS('2025'!$L$24:$L$112,A58&amp;" / "&amp;B58,'2025'!$I$24:$I$112,A58)</x:f>
        <x:v>1</x:v>
      </x:c>
      <x:c r="E58" s="2" t="n">
        <x:f>COUNTIFS('2015'!$L$24:$L$96,A58&amp;" / "&amp;B58,'2015'!$I$24:$I$96,B58)+COUNTIFS('2016'!$L$24:$L$96,A58&amp;" / "&amp;B58,'2016'!$I$24:$I$96,B58)+COUNTIFS('2017'!$L$24:$L$106,A58&amp;" / "&amp;B58,'2017'!$I$24:$I$106,B58)+COUNTIFS('2018'!$L$24:$L$106,A58&amp;" / "&amp;B58,'2018'!$I$24:$I$106,B58)+COUNTIFS('2019'!$L$24:$L$106,A58&amp;" / "&amp;B58,'2019'!$I$24:$I$106,B58)+COUNTIFS('2020'!$L$24:$L$106,A58&amp;" / "&amp;B58,'2020'!$I$24:$I$106,B58)+COUNTIFS('2021'!$L$24:$L$112,A58&amp;" / "&amp;B58,'2021'!$I$24:$I$112,B58)+COUNTIFS('2022'!$L$24:$L$112,A58&amp;" / "&amp;B58,'2022'!$I$24:$I$112,B58)+COUNTIFS('2023'!$L$24:$L$112,A58&amp;" / "&amp;B58,'2023'!$I$24:$I$112,B58)+COUNTIFS('2024'!$L$24:$L$112,A58&amp;" / "&amp;B58,'2024'!$I$24:$I$112,B58)+COUNTIFS('2025'!$L$24:$L$112,A58&amp;" / "&amp;B58,'2025'!$I$24:$I$112,B58)</x:f>
        <x:v>2</x:v>
      </x:c>
      <x:c r="F58" s="2" t="n">
        <x:f>COUNTIFS('2015'!$L$24:$L$96,A58&amp;" / "&amp;B58,'2015'!$K$24:$K$96,1)+COUNTIFS('2016'!$L$24:$L$96,A58&amp;" / "&amp;B58,'2016'!$K$24:$K$96,1)+COUNTIFS('2017'!$L$24:$L$106,A58&amp;" / "&amp;B58,'2017'!$K$24:$K$106,1)+COUNTIFS('2018'!$L$24:$L$106,A58&amp;" / "&amp;B58,'2018'!$K$24:$K$106,1)+COUNTIFS('2019'!$L$24:$L$106,A58&amp;" / "&amp;B58,'2019'!$K$24:$K$106,1)+COUNTIFS('2020'!$L$24:$L$106,A58&amp;" / "&amp;B58,'2020'!$K$24:$K$106,1)+COUNTIFS('2021'!$L$24:$L$112,A58&amp;" / "&amp;B58,'2021'!$K$24:$K$112,1)+COUNTIFS('2022'!$L$24:$L$112,A58&amp;" / "&amp;B58,'2022'!$K$24:$K$112,1)+COUNTIFS('2023'!$L$24:$L$112,A58&amp;" / "&amp;B58,'2023'!$K$24:$K$112,1)+COUNTIFS('2024'!$L$24:$L$112,A58&amp;" / "&amp;B58,'2024'!$K$24:$K$112,1)+COUNTIFS('2025'!$L$24:$L$112,A58&amp;" / "&amp;B58,'2025'!$K$24:$K$112,1)</x:f>
        <x:v>0</x:v>
      </x:c>
      <x:c r="G58" s="25" t="n">
        <x:f>SUMIFS('2015'!$E$24:$E$96,'2015'!$L$24:$L$96,A58&amp;" / "&amp;B58,'2015'!$C$24:$C$96,A58)+SUMIFS('2015'!$H$24:$H$96,'2015'!$L$24:$L$96,A58&amp;" / "&amp;B58,'2015'!$F$24:$F$96,A58)+SUMIFS('2016'!$E$24:$E$96,'2016'!$L$24:$L$96,A58&amp;" / "&amp;B58,'2016'!$C$24:$C$96,A58)+SUMIFS('2016'!$H$24:$H$96,'2016'!$L$24:$L$96,A58&amp;" / "&amp;B58,'2016'!$F$24:$F$96,A58)+SUMIFS('2017'!$E$24:$E$106,'2017'!$L$24:$L$106,A58&amp;" / "&amp;B58,'2017'!$C$24:$C$106,A58)+SUMIFS('2017'!$H$24:$H$106,'2017'!$L$24:$L$106,A58&amp;" / "&amp;B58,'2017'!$F$24:$F$106,A58)+SUMIFS('2018'!$E$24:$E$106,'2018'!$L$24:$L$106,A58&amp;" / "&amp;B58,'2018'!$C$24:$C$106,A58)+SUMIFS('2018'!$H$24:$H$106,'2018'!$L$24:$L$106,A58&amp;" / "&amp;B58,'2018'!$F$24:$F$106,A58)+SUMIFS('2019'!$E$24:$E$106,'2019'!$L$24:$L$106,A58&amp;" / "&amp;B58,'2019'!$C$24:$C$106,A58)+SUMIFS('2019'!$H$24:$H$106,'2019'!$L$24:$L$106,A58&amp;" / "&amp;B58,'2019'!$F$24:$F$106,A58)+SUMIFS('2020'!$E$24:$E$106,'2020'!$L$24:$L$106,A58&amp;" / "&amp;B58,'2020'!$C$24:$C$106,A58)+SUMIFS('2020'!$H$24:$H$106,'2020'!$L$24:$L$106,A58&amp;" / "&amp;B58,'2020'!$F$24:$F$106,A58)+SUMIFS('2021'!$E$24:$E$112,'2021'!$L$24:$L$112,A58&amp;" / "&amp;B58,'2021'!$C$24:$C$112,A58)+SUMIFS('2021'!$H$24:$H$112,'2021'!$L$24:$L$112,A58&amp;" / "&amp;B58,'2021'!$F$24:$F$112,A58)+SUMIFS('2022'!$E$24:$E$112,'2022'!$L$24:$L$112,A58&amp;" / "&amp;B58,'2022'!$C$24:$C$112,A58)+SUMIFS('2022'!$H$24:$H$112,'2022'!$L$24:$L$112,A58&amp;" / "&amp;B58,'2022'!$F$24:$F$112,A58)+SUMIFS('2023'!$E$24:$E$112,'2023'!$L$24:$L$112,A58&amp;" / "&amp;B58,'2023'!$C$24:$C$112,A58)+SUMIFS('2023'!$H$24:$H$112,'2023'!$L$24:$L$112,A58&amp;" / "&amp;B58,'2023'!$F$24:$F$112,A58)+SUMIFS('2024'!$E$24:$E$112,'2024'!$L$24:$L$112,A58&amp;" / "&amp;B58,'2024'!$C$24:$C$112,A58)+SUMIFS('2024'!$H$24:$H$112,'2024'!$L$24:$L$112,A58&amp;" / "&amp;B58,'2024'!$F$24:$F$112,A58)+SUMIFS('2025'!$E$24:$E$112,'2025'!$L$24:$L$112,A58&amp;" / "&amp;B58,'2025'!$C$24:$C$112,A58)+SUMIFS('2025'!$H$24:$H$112,'2025'!$L$24:$L$112,A58&amp;" / "&amp;B58,'2025'!$F$24:$F$112,A58)</x:f>
        <x:v>194</x:v>
      </x:c>
      <x:c r="H58" s="25" t="n">
        <x:f>SUMIFS('2015'!$E$24:$E$96,'2015'!$L$24:$L$96,A58&amp;" / "&amp;B58,'2015'!$C$24:$C$96,B58)+SUMIFS('2015'!$H$24:$H$96,'2015'!$L$24:$L$96,A58&amp;" / "&amp;B58,'2015'!$F$24:$F$96,B58)+SUMIFS('2016'!$E$24:$E$96,'2016'!$L$24:$L$96,A58&amp;" / "&amp;B58,'2016'!$C$24:$C$96,B58)+SUMIFS('2016'!$H$24:$H$96,'2016'!$L$24:$L$96,A58&amp;" / "&amp;B58,'2016'!$F$24:$F$96,B58)+SUMIFS('2017'!$E$24:$E$106,'2017'!$L$24:$L$106,A58&amp;" / "&amp;B58,'2017'!$C$24:$C$106,B58)+SUMIFS('2017'!$H$24:$H$106,'2017'!$L$24:$L$106,A58&amp;" / "&amp;B58,'2017'!$F$24:$F$106,B58)+SUMIFS('2018'!$E$24:$E$106,'2018'!$L$24:$L$106,A58&amp;" / "&amp;B58,'2018'!$C$24:$C$106,B58)+SUMIFS('2018'!$H$24:$H$106,'2018'!$L$24:$L$106,A58&amp;" / "&amp;B58,'2018'!$F$24:$F$106,B58)+SUMIFS('2019'!$E$24:$E$106,'2019'!$L$24:$L$106,A58&amp;" / "&amp;B58,'2019'!$C$24:$C$106,B58)+SUMIFS('2019'!$H$24:$H$106,'2019'!$L$24:$L$106,A58&amp;" / "&amp;B58,'2019'!$F$24:$F$106,B58)+SUMIFS('2020'!$E$24:$E$106,'2020'!$L$24:$L$106,A58&amp;" / "&amp;B58,'2020'!$C$24:$C$106,B58)+SUMIFS('2020'!$H$24:$H$106,'2020'!$L$24:$L$106,A58&amp;" / "&amp;B58,'2020'!$F$24:$F$106,B58)+SUMIFS('2021'!$E$24:$E$112,'2021'!$L$24:$L$112,A58&amp;" / "&amp;B58,'2021'!$C$24:$C$112,B58)+SUMIFS('2021'!$H$24:$H$112,'2021'!$L$24:$L$112,A58&amp;" / "&amp;B58,'2021'!$F$24:$F$112,B58)+SUMIFS('2022'!$E$24:$E$112,'2022'!$L$24:$L$112,A58&amp;" / "&amp;B58,'2022'!$C$24:$C$112,B58)+SUMIFS('2022'!$H$24:$H$112,'2022'!$L$24:$L$112,A58&amp;" / "&amp;B58,'2022'!$F$24:$F$112,B58)+SUMIFS('2023'!$E$24:$E$112,'2023'!$L$24:$L$112,A58&amp;" / "&amp;B58,'2023'!$C$24:$C$112,B58)+SUMIFS('2023'!$H$24:$H$112,'2023'!$L$24:$L$112,A58&amp;" / "&amp;B58,'2023'!$F$24:$F$112,B58)+SUMIFS('2024'!$E$24:$E$112,'2024'!$L$24:$L$112,A58&amp;" / "&amp;B58,'2024'!$C$24:$C$112,B58)+SUMIFS('2024'!$H$24:$H$112,'2024'!$L$24:$L$112,A58&amp;" / "&amp;B58,'2024'!$F$24:$F$112,B58)+SUMIFS('2025'!$E$24:$E$112,'2025'!$L$24:$L$112,A58&amp;" / "&amp;B58,'2025'!$C$24:$C$112,B58)+SUMIFS('2025'!$H$24:$H$112,'2025'!$L$24:$L$112,A58&amp;" / "&amp;B58,'2025'!$F$24:$F$112,B58)</x:f>
        <x:v>306</x:v>
      </x:c>
      <x:c r="I58" s="11" t="n">
        <x:f>IF(C58=0,0,(D58+0.5*F58)/C58)</x:f>
        <x:v>0.3333333333333333</x:v>
      </x:c>
      <x:c r="J58" s="2" t="n">
        <x:f>COUNTIFS('2015'!$L$24:$L$96,A58&amp;" / "&amp;B58,'2015'!$B$24:$B$96,"Regular")+COUNTIFS('2016'!$L$24:$L$96,A58&amp;" / "&amp;B58,'2016'!$B$24:$B$96,"Regular")+COUNTIFS('2017'!$L$24:$L$106,A58&amp;" / "&amp;B58,'2017'!$B$24:$B$106,"Regular")+COUNTIFS('2018'!$L$24:$L$106,A58&amp;" / "&amp;B58,'2018'!$B$24:$B$106,"Regular")+COUNTIFS('2019'!$L$24:$L$106,A58&amp;" / "&amp;B58,'2019'!$B$24:$B$106,"Regular")+COUNTIFS('2020'!$L$24:$L$106,A58&amp;" / "&amp;B58,'2020'!$B$24:$B$106,"Regular")+COUNTIFS('2021'!$L$24:$L$112,A58&amp;" / "&amp;B58,'2021'!$B$24:$B$112,"Regular")+COUNTIFS('2022'!$L$24:$L$112,A58&amp;" / "&amp;B58,'2022'!$B$24:$B$112,"Regular")+COUNTIFS('2023'!$L$24:$L$112,A58&amp;" / "&amp;B58,'2023'!$B$24:$B$112,"Regular")+COUNTIFS('2024'!$L$24:$L$112,A58&amp;" / "&amp;B58,'2024'!$B$24:$B$112,"Regular")+COUNTIFS('2025'!$L$24:$L$112,A58&amp;" / "&amp;B58,'2025'!$B$24:$B$112,"Regular")</x:f>
        <x:v>3</x:v>
      </x:c>
      <x:c r="K58" s="2" t="n">
        <x:f>COUNTIFS('2015'!$L$24:$L$96,A58&amp;" / "&amp;B58,'2015'!$B$24:$B$96,"Playoffs")+COUNTIFS('2016'!$L$24:$L$96,A58&amp;" / "&amp;B58,'2016'!$B$24:$B$96,"Playoffs")+COUNTIFS('2017'!$L$24:$L$106,A58&amp;" / "&amp;B58,'2017'!$B$24:$B$106,"Playoffs")+COUNTIFS('2018'!$L$24:$L$106,A58&amp;" / "&amp;B58,'2018'!$B$24:$B$106,"Playoffs")+COUNTIFS('2019'!$L$24:$L$106,A58&amp;" / "&amp;B58,'2019'!$B$24:$B$106,"Playoffs")+COUNTIFS('2020'!$L$24:$L$106,A58&amp;" / "&amp;B58,'2020'!$B$24:$B$106,"Playoffs")+COUNTIFS('2021'!$L$24:$L$112,A58&amp;" / "&amp;B58,'2021'!$B$24:$B$112,"Playoffs")+COUNTIFS('2022'!$L$24:$L$112,A58&amp;" / "&amp;B58,'2022'!$B$24:$B$112,"Playoffs")+COUNTIFS('2023'!$L$24:$L$112,A58&amp;" / "&amp;B58,'2023'!$B$24:$B$112,"Playoffs")+COUNTIFS('2024'!$L$24:$L$112,A58&amp;" / "&amp;B58,'2024'!$B$24:$B$112,"Playoffs")+COUNTIFS('2025'!$L$24:$L$112,A58&amp;" / "&amp;B58,'2025'!$B$24:$B$112,"Playoffs")</x:f>
        <x:v>0</x:v>
      </x:c>
      <x:c r="L58" s="2" t="n">
        <x:f>COUNTIFS('2015'!$L$24:$L$96,A58&amp;" / "&amp;B58,'2015'!$B$24:$B$96,"Unconfirmed")+COUNTIFS('2016'!$L$24:$L$96,A58&amp;" / "&amp;B58,'2016'!$B$24:$B$96,"Unconfirmed")+COUNTIFS('2017'!$L$24:$L$106,A58&amp;" / "&amp;B58,'2017'!$B$24:$B$106,"Unconfirmed")+COUNTIFS('2018'!$L$24:$L$106,A58&amp;" / "&amp;B58,'2018'!$B$24:$B$106,"Unconfirmed")+COUNTIFS('2019'!$L$24:$L$106,A58&amp;" / "&amp;B58,'2019'!$B$24:$B$106,"Unconfirmed")+COUNTIFS('2020'!$L$24:$L$106,A58&amp;" / "&amp;B58,'2020'!$B$24:$B$106,"Unconfirmed")+COUNTIFS('2021'!$L$24:$L$112,A58&amp;" / "&amp;B58,'2021'!$B$24:$B$112,"Unconfirmed")+COUNTIFS('2022'!$L$24:$L$112,A58&amp;" / "&amp;B58,'2022'!$B$24:$B$112,"Unconfirmed")+COUNTIFS('2023'!$L$24:$L$112,A58&amp;" / "&amp;B58,'2023'!$B$24:$B$112,"Unconfirmed")+COUNTIFS('2024'!$L$24:$L$112,A58&amp;" / "&amp;B58,'2024'!$B$24:$B$112,"Unconfirmed")+COUNTIFS('2025'!$L$24:$L$112,A58&amp;" / "&amp;B58,'2025'!$B$24:$B$112,"Unconfirmed")</x:f>
        <x:v>0</x:v>
      </x:c>
    </x:row>
    <x:row r="59" ht="22" customHeight="1">
      <x:c r="A59" s="2" t="str">
        <x:v>Chas</x:v>
      </x:c>
      <x:c r="B59" s="2" t="str">
        <x:v>Matt</x:v>
      </x:c>
      <x:c r="C59" s="2" t="n">
        <x:f>COUNTIFS('2015'!$L$24:$L$96,A59&amp;" / "&amp;B59)+COUNTIFS('2016'!$L$24:$L$96,A59&amp;" / "&amp;B59)+COUNTIFS('2017'!$L$24:$L$106,A59&amp;" / "&amp;B59)+COUNTIFS('2018'!$L$24:$L$106,A59&amp;" / "&amp;B59)+COUNTIFS('2019'!$L$24:$L$106,A59&amp;" / "&amp;B59)+COUNTIFS('2020'!$L$24:$L$106,A59&amp;" / "&amp;B59)+COUNTIFS('2021'!$L$24:$L$112,A59&amp;" / "&amp;B59)+COUNTIFS('2022'!$L$24:$L$112,A59&amp;" / "&amp;B59)+COUNTIFS('2023'!$L$24:$L$112,A59&amp;" / "&amp;B59)+COUNTIFS('2024'!$L$24:$L$112,A59&amp;" / "&amp;B59)+COUNTIFS('2025'!$L$24:$L$112,A59&amp;" / "&amp;B59)</x:f>
        <x:v>1</x:v>
      </x:c>
      <x:c r="D59" s="2" t="n">
        <x:f>COUNTIFS('2015'!$L$24:$L$96,A59&amp;" / "&amp;B59,'2015'!$I$24:$I$96,A59)+COUNTIFS('2016'!$L$24:$L$96,A59&amp;" / "&amp;B59,'2016'!$I$24:$I$96,A59)+COUNTIFS('2017'!$L$24:$L$106,A59&amp;" / "&amp;B59,'2017'!$I$24:$I$106,A59)+COUNTIFS('2018'!$L$24:$L$106,A59&amp;" / "&amp;B59,'2018'!$I$24:$I$106,A59)+COUNTIFS('2019'!$L$24:$L$106,A59&amp;" / "&amp;B59,'2019'!$I$24:$I$106,A59)+COUNTIFS('2020'!$L$24:$L$106,A59&amp;" / "&amp;B59,'2020'!$I$24:$I$106,A59)+COUNTIFS('2021'!$L$24:$L$112,A59&amp;" / "&amp;B59,'2021'!$I$24:$I$112,A59)+COUNTIFS('2022'!$L$24:$L$112,A59&amp;" / "&amp;B59,'2022'!$I$24:$I$112,A59)+COUNTIFS('2023'!$L$24:$L$112,A59&amp;" / "&amp;B59,'2023'!$I$24:$I$112,A59)+COUNTIFS('2024'!$L$24:$L$112,A59&amp;" / "&amp;B59,'2024'!$I$24:$I$112,A59)+COUNTIFS('2025'!$L$24:$L$112,A59&amp;" / "&amp;B59,'2025'!$I$24:$I$112,A59)</x:f>
        <x:v>1</x:v>
      </x:c>
      <x:c r="E59" s="2" t="n">
        <x:f>COUNTIFS('2015'!$L$24:$L$96,A59&amp;" / "&amp;B59,'2015'!$I$24:$I$96,B59)+COUNTIFS('2016'!$L$24:$L$96,A59&amp;" / "&amp;B59,'2016'!$I$24:$I$96,B59)+COUNTIFS('2017'!$L$24:$L$106,A59&amp;" / "&amp;B59,'2017'!$I$24:$I$106,B59)+COUNTIFS('2018'!$L$24:$L$106,A59&amp;" / "&amp;B59,'2018'!$I$24:$I$106,B59)+COUNTIFS('2019'!$L$24:$L$106,A59&amp;" / "&amp;B59,'2019'!$I$24:$I$106,B59)+COUNTIFS('2020'!$L$24:$L$106,A59&amp;" / "&amp;B59,'2020'!$I$24:$I$106,B59)+COUNTIFS('2021'!$L$24:$L$112,A59&amp;" / "&amp;B59,'2021'!$I$24:$I$112,B59)+COUNTIFS('2022'!$L$24:$L$112,A59&amp;" / "&amp;B59,'2022'!$I$24:$I$112,B59)+COUNTIFS('2023'!$L$24:$L$112,A59&amp;" / "&amp;B59,'2023'!$I$24:$I$112,B59)+COUNTIFS('2024'!$L$24:$L$112,A59&amp;" / "&amp;B59,'2024'!$I$24:$I$112,B59)+COUNTIFS('2025'!$L$24:$L$112,A59&amp;" / "&amp;B59,'2025'!$I$24:$I$112,B59)</x:f>
        <x:v>0</x:v>
      </x:c>
      <x:c r="F59" s="2" t="n">
        <x:f>COUNTIFS('2015'!$L$24:$L$96,A59&amp;" / "&amp;B59,'2015'!$K$24:$K$96,1)+COUNTIFS('2016'!$L$24:$L$96,A59&amp;" / "&amp;B59,'2016'!$K$24:$K$96,1)+COUNTIFS('2017'!$L$24:$L$106,A59&amp;" / "&amp;B59,'2017'!$K$24:$K$106,1)+COUNTIFS('2018'!$L$24:$L$106,A59&amp;" / "&amp;B59,'2018'!$K$24:$K$106,1)+COUNTIFS('2019'!$L$24:$L$106,A59&amp;" / "&amp;B59,'2019'!$K$24:$K$106,1)+COUNTIFS('2020'!$L$24:$L$106,A59&amp;" / "&amp;B59,'2020'!$K$24:$K$106,1)+COUNTIFS('2021'!$L$24:$L$112,A59&amp;" / "&amp;B59,'2021'!$K$24:$K$112,1)+COUNTIFS('2022'!$L$24:$L$112,A59&amp;" / "&amp;B59,'2022'!$K$24:$K$112,1)+COUNTIFS('2023'!$L$24:$L$112,A59&amp;" / "&amp;B59,'2023'!$K$24:$K$112,1)+COUNTIFS('2024'!$L$24:$L$112,A59&amp;" / "&amp;B59,'2024'!$K$24:$K$112,1)+COUNTIFS('2025'!$L$24:$L$112,A59&amp;" / "&amp;B59,'2025'!$K$24:$K$112,1)</x:f>
        <x:v>0</x:v>
      </x:c>
      <x:c r="G59" s="25" t="n">
        <x:f>SUMIFS('2015'!$E$24:$E$96,'2015'!$L$24:$L$96,A59&amp;" / "&amp;B59,'2015'!$C$24:$C$96,A59)+SUMIFS('2015'!$H$24:$H$96,'2015'!$L$24:$L$96,A59&amp;" / "&amp;B59,'2015'!$F$24:$F$96,A59)+SUMIFS('2016'!$E$24:$E$96,'2016'!$L$24:$L$96,A59&amp;" / "&amp;B59,'2016'!$C$24:$C$96,A59)+SUMIFS('2016'!$H$24:$H$96,'2016'!$L$24:$L$96,A59&amp;" / "&amp;B59,'2016'!$F$24:$F$96,A59)+SUMIFS('2017'!$E$24:$E$106,'2017'!$L$24:$L$106,A59&amp;" / "&amp;B59,'2017'!$C$24:$C$106,A59)+SUMIFS('2017'!$H$24:$H$106,'2017'!$L$24:$L$106,A59&amp;" / "&amp;B59,'2017'!$F$24:$F$106,A59)+SUMIFS('2018'!$E$24:$E$106,'2018'!$L$24:$L$106,A59&amp;" / "&amp;B59,'2018'!$C$24:$C$106,A59)+SUMIFS('2018'!$H$24:$H$106,'2018'!$L$24:$L$106,A59&amp;" / "&amp;B59,'2018'!$F$24:$F$106,A59)+SUMIFS('2019'!$E$24:$E$106,'2019'!$L$24:$L$106,A59&amp;" / "&amp;B59,'2019'!$C$24:$C$106,A59)+SUMIFS('2019'!$H$24:$H$106,'2019'!$L$24:$L$106,A59&amp;" / "&amp;B59,'2019'!$F$24:$F$106,A59)+SUMIFS('2020'!$E$24:$E$106,'2020'!$L$24:$L$106,A59&amp;" / "&amp;B59,'2020'!$C$24:$C$106,A59)+SUMIFS('2020'!$H$24:$H$106,'2020'!$L$24:$L$106,A59&amp;" / "&amp;B59,'2020'!$F$24:$F$106,A59)+SUMIFS('2021'!$E$24:$E$112,'2021'!$L$24:$L$112,A59&amp;" / "&amp;B59,'2021'!$C$24:$C$112,A59)+SUMIFS('2021'!$H$24:$H$112,'2021'!$L$24:$L$112,A59&amp;" / "&amp;B59,'2021'!$F$24:$F$112,A59)+SUMIFS('2022'!$E$24:$E$112,'2022'!$L$24:$L$112,A59&amp;" / "&amp;B59,'2022'!$C$24:$C$112,A59)+SUMIFS('2022'!$H$24:$H$112,'2022'!$L$24:$L$112,A59&amp;" / "&amp;B59,'2022'!$F$24:$F$112,A59)+SUMIFS('2023'!$E$24:$E$112,'2023'!$L$24:$L$112,A59&amp;" / "&amp;B59,'2023'!$C$24:$C$112,A59)+SUMIFS('2023'!$H$24:$H$112,'2023'!$L$24:$L$112,A59&amp;" / "&amp;B59,'2023'!$F$24:$F$112,A59)+SUMIFS('2024'!$E$24:$E$112,'2024'!$L$24:$L$112,A59&amp;" / "&amp;B59,'2024'!$C$24:$C$112,A59)+SUMIFS('2024'!$H$24:$H$112,'2024'!$L$24:$L$112,A59&amp;" / "&amp;B59,'2024'!$F$24:$F$112,A59)+SUMIFS('2025'!$E$24:$E$112,'2025'!$L$24:$L$112,A59&amp;" / "&amp;B59,'2025'!$C$24:$C$112,A59)+SUMIFS('2025'!$H$24:$H$112,'2025'!$L$24:$L$112,A59&amp;" / "&amp;B59,'2025'!$F$24:$F$112,A59)</x:f>
        <x:v>127</x:v>
      </x:c>
      <x:c r="H59" s="25" t="n">
        <x:f>SUMIFS('2015'!$E$24:$E$96,'2015'!$L$24:$L$96,A59&amp;" / "&amp;B59,'2015'!$C$24:$C$96,B59)+SUMIFS('2015'!$H$24:$H$96,'2015'!$L$24:$L$96,A59&amp;" / "&amp;B59,'2015'!$F$24:$F$96,B59)+SUMIFS('2016'!$E$24:$E$96,'2016'!$L$24:$L$96,A59&amp;" / "&amp;B59,'2016'!$C$24:$C$96,B59)+SUMIFS('2016'!$H$24:$H$96,'2016'!$L$24:$L$96,A59&amp;" / "&amp;B59,'2016'!$F$24:$F$96,B59)+SUMIFS('2017'!$E$24:$E$106,'2017'!$L$24:$L$106,A59&amp;" / "&amp;B59,'2017'!$C$24:$C$106,B59)+SUMIFS('2017'!$H$24:$H$106,'2017'!$L$24:$L$106,A59&amp;" / "&amp;B59,'2017'!$F$24:$F$106,B59)+SUMIFS('2018'!$E$24:$E$106,'2018'!$L$24:$L$106,A59&amp;" / "&amp;B59,'2018'!$C$24:$C$106,B59)+SUMIFS('2018'!$H$24:$H$106,'2018'!$L$24:$L$106,A59&amp;" / "&amp;B59,'2018'!$F$24:$F$106,B59)+SUMIFS('2019'!$E$24:$E$106,'2019'!$L$24:$L$106,A59&amp;" / "&amp;B59,'2019'!$C$24:$C$106,B59)+SUMIFS('2019'!$H$24:$H$106,'2019'!$L$24:$L$106,A59&amp;" / "&amp;B59,'2019'!$F$24:$F$106,B59)+SUMIFS('2020'!$E$24:$E$106,'2020'!$L$24:$L$106,A59&amp;" / "&amp;B59,'2020'!$C$24:$C$106,B59)+SUMIFS('2020'!$H$24:$H$106,'2020'!$L$24:$L$106,A59&amp;" / "&amp;B59,'2020'!$F$24:$F$106,B59)+SUMIFS('2021'!$E$24:$E$112,'2021'!$L$24:$L$112,A59&amp;" / "&amp;B59,'2021'!$C$24:$C$112,B59)+SUMIFS('2021'!$H$24:$H$112,'2021'!$L$24:$L$112,A59&amp;" / "&amp;B59,'2021'!$F$24:$F$112,B59)+SUMIFS('2022'!$E$24:$E$112,'2022'!$L$24:$L$112,A59&amp;" / "&amp;B59,'2022'!$C$24:$C$112,B59)+SUMIFS('2022'!$H$24:$H$112,'2022'!$L$24:$L$112,A59&amp;" / "&amp;B59,'2022'!$F$24:$F$112,B59)+SUMIFS('2023'!$E$24:$E$112,'2023'!$L$24:$L$112,A59&amp;" / "&amp;B59,'2023'!$C$24:$C$112,B59)+SUMIFS('2023'!$H$24:$H$112,'2023'!$L$24:$L$112,A59&amp;" / "&amp;B59,'2023'!$F$24:$F$112,B59)+SUMIFS('2024'!$E$24:$E$112,'2024'!$L$24:$L$112,A59&amp;" / "&amp;B59,'2024'!$C$24:$C$112,B59)+SUMIFS('2024'!$H$24:$H$112,'2024'!$L$24:$L$112,A59&amp;" / "&amp;B59,'2024'!$F$24:$F$112,B59)+SUMIFS('2025'!$E$24:$E$112,'2025'!$L$24:$L$112,A59&amp;" / "&amp;B59,'2025'!$C$24:$C$112,B59)+SUMIFS('2025'!$H$24:$H$112,'2025'!$L$24:$L$112,A59&amp;" / "&amp;B59,'2025'!$F$24:$F$112,B59)</x:f>
        <x:v>103</x:v>
      </x:c>
      <x:c r="I59" s="11" t="n">
        <x:f>IF(C59=0,0,(D59+0.5*F59)/C59)</x:f>
        <x:v>1</x:v>
      </x:c>
      <x:c r="J59" s="2" t="n">
        <x:f>COUNTIFS('2015'!$L$24:$L$96,A59&amp;" / "&amp;B59,'2015'!$B$24:$B$96,"Regular")+COUNTIFS('2016'!$L$24:$L$96,A59&amp;" / "&amp;B59,'2016'!$B$24:$B$96,"Regular")+COUNTIFS('2017'!$L$24:$L$106,A59&amp;" / "&amp;B59,'2017'!$B$24:$B$106,"Regular")+COUNTIFS('2018'!$L$24:$L$106,A59&amp;" / "&amp;B59,'2018'!$B$24:$B$106,"Regular")+COUNTIFS('2019'!$L$24:$L$106,A59&amp;" / "&amp;B59,'2019'!$B$24:$B$106,"Regular")+COUNTIFS('2020'!$L$24:$L$106,A59&amp;" / "&amp;B59,'2020'!$B$24:$B$106,"Regular")+COUNTIFS('2021'!$L$24:$L$112,A59&amp;" / "&amp;B59,'2021'!$B$24:$B$112,"Regular")+COUNTIFS('2022'!$L$24:$L$112,A59&amp;" / "&amp;B59,'2022'!$B$24:$B$112,"Regular")+COUNTIFS('2023'!$L$24:$L$112,A59&amp;" / "&amp;B59,'2023'!$B$24:$B$112,"Regular")+COUNTIFS('2024'!$L$24:$L$112,A59&amp;" / "&amp;B59,'2024'!$B$24:$B$112,"Regular")+COUNTIFS('2025'!$L$24:$L$112,A59&amp;" / "&amp;B59,'2025'!$B$24:$B$112,"Regular")</x:f>
        <x:v>1</x:v>
      </x:c>
      <x:c r="K59" s="2" t="n">
        <x:f>COUNTIFS('2015'!$L$24:$L$96,A59&amp;" / "&amp;B59,'2015'!$B$24:$B$96,"Playoffs")+COUNTIFS('2016'!$L$24:$L$96,A59&amp;" / "&amp;B59,'2016'!$B$24:$B$96,"Playoffs")+COUNTIFS('2017'!$L$24:$L$106,A59&amp;" / "&amp;B59,'2017'!$B$24:$B$106,"Playoffs")+COUNTIFS('2018'!$L$24:$L$106,A59&amp;" / "&amp;B59,'2018'!$B$24:$B$106,"Playoffs")+COUNTIFS('2019'!$L$24:$L$106,A59&amp;" / "&amp;B59,'2019'!$B$24:$B$106,"Playoffs")+COUNTIFS('2020'!$L$24:$L$106,A59&amp;" / "&amp;B59,'2020'!$B$24:$B$106,"Playoffs")+COUNTIFS('2021'!$L$24:$L$112,A59&amp;" / "&amp;B59,'2021'!$B$24:$B$112,"Playoffs")+COUNTIFS('2022'!$L$24:$L$112,A59&amp;" / "&amp;B59,'2022'!$B$24:$B$112,"Playoffs")+COUNTIFS('2023'!$L$24:$L$112,A59&amp;" / "&amp;B59,'2023'!$B$24:$B$112,"Playoffs")+COUNTIFS('2024'!$L$24:$L$112,A59&amp;" / "&amp;B59,'2024'!$B$24:$B$112,"Playoffs")+COUNTIFS('2025'!$L$24:$L$112,A59&amp;" / "&amp;B59,'2025'!$B$24:$B$112,"Playoffs")</x:f>
        <x:v>0</x:v>
      </x:c>
      <x:c r="L59" s="2" t="n">
        <x:f>COUNTIFS('2015'!$L$24:$L$96,A59&amp;" / "&amp;B59,'2015'!$B$24:$B$96,"Unconfirmed")+COUNTIFS('2016'!$L$24:$L$96,A59&amp;" / "&amp;B59,'2016'!$B$24:$B$96,"Unconfirmed")+COUNTIFS('2017'!$L$24:$L$106,A59&amp;" / "&amp;B59,'2017'!$B$24:$B$106,"Unconfirmed")+COUNTIFS('2018'!$L$24:$L$106,A59&amp;" / "&amp;B59,'2018'!$B$24:$B$106,"Unconfirmed")+COUNTIFS('2019'!$L$24:$L$106,A59&amp;" / "&amp;B59,'2019'!$B$24:$B$106,"Unconfirmed")+COUNTIFS('2020'!$L$24:$L$106,A59&amp;" / "&amp;B59,'2020'!$B$24:$B$106,"Unconfirmed")+COUNTIFS('2021'!$L$24:$L$112,A59&amp;" / "&amp;B59,'2021'!$B$24:$B$112,"Unconfirmed")+COUNTIFS('2022'!$L$24:$L$112,A59&amp;" / "&amp;B59,'2022'!$B$24:$B$112,"Unconfirmed")+COUNTIFS('2023'!$L$24:$L$112,A59&amp;" / "&amp;B59,'2023'!$B$24:$B$112,"Unconfirmed")+COUNTIFS('2024'!$L$24:$L$112,A59&amp;" / "&amp;B59,'2024'!$B$24:$B$112,"Unconfirmed")+COUNTIFS('2025'!$L$24:$L$112,A59&amp;" / "&amp;B59,'2025'!$B$24:$B$112,"Unconfirmed")</x:f>
        <x:v>0</x:v>
      </x:c>
    </x:row>
    <x:row r="60" ht="22" customHeight="1">
      <x:c r="A60" s="2" t="str">
        <x:v>Chas</x:v>
      </x:c>
      <x:c r="B60" s="2" t="str">
        <x:v>Mike</x:v>
      </x:c>
      <x:c r="C60" s="2" t="n">
        <x:f>COUNTIFS('2015'!$L$24:$L$96,A60&amp;" / "&amp;B60)+COUNTIFS('2016'!$L$24:$L$96,A60&amp;" / "&amp;B60)+COUNTIFS('2017'!$L$24:$L$106,A60&amp;" / "&amp;B60)+COUNTIFS('2018'!$L$24:$L$106,A60&amp;" / "&amp;B60)+COUNTIFS('2019'!$L$24:$L$106,A60&amp;" / "&amp;B60)+COUNTIFS('2020'!$L$24:$L$106,A60&amp;" / "&amp;B60)+COUNTIFS('2021'!$L$24:$L$112,A60&amp;" / "&amp;B60)+COUNTIFS('2022'!$L$24:$L$112,A60&amp;" / "&amp;B60)+COUNTIFS('2023'!$L$24:$L$112,A60&amp;" / "&amp;B60)+COUNTIFS('2024'!$L$24:$L$112,A60&amp;" / "&amp;B60)+COUNTIFS('2025'!$L$24:$L$112,A60&amp;" / "&amp;B60)</x:f>
        <x:v>3</x:v>
      </x:c>
      <x:c r="D60" s="2" t="n">
        <x:f>COUNTIFS('2015'!$L$24:$L$96,A60&amp;" / "&amp;B60,'2015'!$I$24:$I$96,A60)+COUNTIFS('2016'!$L$24:$L$96,A60&amp;" / "&amp;B60,'2016'!$I$24:$I$96,A60)+COUNTIFS('2017'!$L$24:$L$106,A60&amp;" / "&amp;B60,'2017'!$I$24:$I$106,A60)+COUNTIFS('2018'!$L$24:$L$106,A60&amp;" / "&amp;B60,'2018'!$I$24:$I$106,A60)+COUNTIFS('2019'!$L$24:$L$106,A60&amp;" / "&amp;B60,'2019'!$I$24:$I$106,A60)+COUNTIFS('2020'!$L$24:$L$106,A60&amp;" / "&amp;B60,'2020'!$I$24:$I$106,A60)+COUNTIFS('2021'!$L$24:$L$112,A60&amp;" / "&amp;B60,'2021'!$I$24:$I$112,A60)+COUNTIFS('2022'!$L$24:$L$112,A60&amp;" / "&amp;B60,'2022'!$I$24:$I$112,A60)+COUNTIFS('2023'!$L$24:$L$112,A60&amp;" / "&amp;B60,'2023'!$I$24:$I$112,A60)+COUNTIFS('2024'!$L$24:$L$112,A60&amp;" / "&amp;B60,'2024'!$I$24:$I$112,A60)+COUNTIFS('2025'!$L$24:$L$112,A60&amp;" / "&amp;B60,'2025'!$I$24:$I$112,A60)</x:f>
        <x:v>1</x:v>
      </x:c>
      <x:c r="E60" s="2" t="n">
        <x:f>COUNTIFS('2015'!$L$24:$L$96,A60&amp;" / "&amp;B60,'2015'!$I$24:$I$96,B60)+COUNTIFS('2016'!$L$24:$L$96,A60&amp;" / "&amp;B60,'2016'!$I$24:$I$96,B60)+COUNTIFS('2017'!$L$24:$L$106,A60&amp;" / "&amp;B60,'2017'!$I$24:$I$106,B60)+COUNTIFS('2018'!$L$24:$L$106,A60&amp;" / "&amp;B60,'2018'!$I$24:$I$106,B60)+COUNTIFS('2019'!$L$24:$L$106,A60&amp;" / "&amp;B60,'2019'!$I$24:$I$106,B60)+COUNTIFS('2020'!$L$24:$L$106,A60&amp;" / "&amp;B60,'2020'!$I$24:$I$106,B60)+COUNTIFS('2021'!$L$24:$L$112,A60&amp;" / "&amp;B60,'2021'!$I$24:$I$112,B60)+COUNTIFS('2022'!$L$24:$L$112,A60&amp;" / "&amp;B60,'2022'!$I$24:$I$112,B60)+COUNTIFS('2023'!$L$24:$L$112,A60&amp;" / "&amp;B60,'2023'!$I$24:$I$112,B60)+COUNTIFS('2024'!$L$24:$L$112,A60&amp;" / "&amp;B60,'2024'!$I$24:$I$112,B60)+COUNTIFS('2025'!$L$24:$L$112,A60&amp;" / "&amp;B60,'2025'!$I$24:$I$112,B60)</x:f>
        <x:v>2</x:v>
      </x:c>
      <x:c r="F60" s="2" t="n">
        <x:f>COUNTIFS('2015'!$L$24:$L$96,A60&amp;" / "&amp;B60,'2015'!$K$24:$K$96,1)+COUNTIFS('2016'!$L$24:$L$96,A60&amp;" / "&amp;B60,'2016'!$K$24:$K$96,1)+COUNTIFS('2017'!$L$24:$L$106,A60&amp;" / "&amp;B60,'2017'!$K$24:$K$106,1)+COUNTIFS('2018'!$L$24:$L$106,A60&amp;" / "&amp;B60,'2018'!$K$24:$K$106,1)+COUNTIFS('2019'!$L$24:$L$106,A60&amp;" / "&amp;B60,'2019'!$K$24:$K$106,1)+COUNTIFS('2020'!$L$24:$L$106,A60&amp;" / "&amp;B60,'2020'!$K$24:$K$106,1)+COUNTIFS('2021'!$L$24:$L$112,A60&amp;" / "&amp;B60,'2021'!$K$24:$K$112,1)+COUNTIFS('2022'!$L$24:$L$112,A60&amp;" / "&amp;B60,'2022'!$K$24:$K$112,1)+COUNTIFS('2023'!$L$24:$L$112,A60&amp;" / "&amp;B60,'2023'!$K$24:$K$112,1)+COUNTIFS('2024'!$L$24:$L$112,A60&amp;" / "&amp;B60,'2024'!$K$24:$K$112,1)+COUNTIFS('2025'!$L$24:$L$112,A60&amp;" / "&amp;B60,'2025'!$K$24:$K$112,1)</x:f>
        <x:v>0</x:v>
      </x:c>
      <x:c r="G60" s="25" t="n">
        <x:f>SUMIFS('2015'!$E$24:$E$96,'2015'!$L$24:$L$96,A60&amp;" / "&amp;B60,'2015'!$C$24:$C$96,A60)+SUMIFS('2015'!$H$24:$H$96,'2015'!$L$24:$L$96,A60&amp;" / "&amp;B60,'2015'!$F$24:$F$96,A60)+SUMIFS('2016'!$E$24:$E$96,'2016'!$L$24:$L$96,A60&amp;" / "&amp;B60,'2016'!$C$24:$C$96,A60)+SUMIFS('2016'!$H$24:$H$96,'2016'!$L$24:$L$96,A60&amp;" / "&amp;B60,'2016'!$F$24:$F$96,A60)+SUMIFS('2017'!$E$24:$E$106,'2017'!$L$24:$L$106,A60&amp;" / "&amp;B60,'2017'!$C$24:$C$106,A60)+SUMIFS('2017'!$H$24:$H$106,'2017'!$L$24:$L$106,A60&amp;" / "&amp;B60,'2017'!$F$24:$F$106,A60)+SUMIFS('2018'!$E$24:$E$106,'2018'!$L$24:$L$106,A60&amp;" / "&amp;B60,'2018'!$C$24:$C$106,A60)+SUMIFS('2018'!$H$24:$H$106,'2018'!$L$24:$L$106,A60&amp;" / "&amp;B60,'2018'!$F$24:$F$106,A60)+SUMIFS('2019'!$E$24:$E$106,'2019'!$L$24:$L$106,A60&amp;" / "&amp;B60,'2019'!$C$24:$C$106,A60)+SUMIFS('2019'!$H$24:$H$106,'2019'!$L$24:$L$106,A60&amp;" / "&amp;B60,'2019'!$F$24:$F$106,A60)+SUMIFS('2020'!$E$24:$E$106,'2020'!$L$24:$L$106,A60&amp;" / "&amp;B60,'2020'!$C$24:$C$106,A60)+SUMIFS('2020'!$H$24:$H$106,'2020'!$L$24:$L$106,A60&amp;" / "&amp;B60,'2020'!$F$24:$F$106,A60)+SUMIFS('2021'!$E$24:$E$112,'2021'!$L$24:$L$112,A60&amp;" / "&amp;B60,'2021'!$C$24:$C$112,A60)+SUMIFS('2021'!$H$24:$H$112,'2021'!$L$24:$L$112,A60&amp;" / "&amp;B60,'2021'!$F$24:$F$112,A60)+SUMIFS('2022'!$E$24:$E$112,'2022'!$L$24:$L$112,A60&amp;" / "&amp;B60,'2022'!$C$24:$C$112,A60)+SUMIFS('2022'!$H$24:$H$112,'2022'!$L$24:$L$112,A60&amp;" / "&amp;B60,'2022'!$F$24:$F$112,A60)+SUMIFS('2023'!$E$24:$E$112,'2023'!$L$24:$L$112,A60&amp;" / "&amp;B60,'2023'!$C$24:$C$112,A60)+SUMIFS('2023'!$H$24:$H$112,'2023'!$L$24:$L$112,A60&amp;" / "&amp;B60,'2023'!$F$24:$F$112,A60)+SUMIFS('2024'!$E$24:$E$112,'2024'!$L$24:$L$112,A60&amp;" / "&amp;B60,'2024'!$C$24:$C$112,A60)+SUMIFS('2024'!$H$24:$H$112,'2024'!$L$24:$L$112,A60&amp;" / "&amp;B60,'2024'!$F$24:$F$112,A60)+SUMIFS('2025'!$E$24:$E$112,'2025'!$L$24:$L$112,A60&amp;" / "&amp;B60,'2025'!$C$24:$C$112,A60)+SUMIFS('2025'!$H$24:$H$112,'2025'!$L$24:$L$112,A60&amp;" / "&amp;B60,'2025'!$F$24:$F$112,A60)</x:f>
        <x:v>214</x:v>
      </x:c>
      <x:c r="H60" s="25" t="n">
        <x:f>SUMIFS('2015'!$E$24:$E$96,'2015'!$L$24:$L$96,A60&amp;" / "&amp;B60,'2015'!$C$24:$C$96,B60)+SUMIFS('2015'!$H$24:$H$96,'2015'!$L$24:$L$96,A60&amp;" / "&amp;B60,'2015'!$F$24:$F$96,B60)+SUMIFS('2016'!$E$24:$E$96,'2016'!$L$24:$L$96,A60&amp;" / "&amp;B60,'2016'!$C$24:$C$96,B60)+SUMIFS('2016'!$H$24:$H$96,'2016'!$L$24:$L$96,A60&amp;" / "&amp;B60,'2016'!$F$24:$F$96,B60)+SUMIFS('2017'!$E$24:$E$106,'2017'!$L$24:$L$106,A60&amp;" / "&amp;B60,'2017'!$C$24:$C$106,B60)+SUMIFS('2017'!$H$24:$H$106,'2017'!$L$24:$L$106,A60&amp;" / "&amp;B60,'2017'!$F$24:$F$106,B60)+SUMIFS('2018'!$E$24:$E$106,'2018'!$L$24:$L$106,A60&amp;" / "&amp;B60,'2018'!$C$24:$C$106,B60)+SUMIFS('2018'!$H$24:$H$106,'2018'!$L$24:$L$106,A60&amp;" / "&amp;B60,'2018'!$F$24:$F$106,B60)+SUMIFS('2019'!$E$24:$E$106,'2019'!$L$24:$L$106,A60&amp;" / "&amp;B60,'2019'!$C$24:$C$106,B60)+SUMIFS('2019'!$H$24:$H$106,'2019'!$L$24:$L$106,A60&amp;" / "&amp;B60,'2019'!$F$24:$F$106,B60)+SUMIFS('2020'!$E$24:$E$106,'2020'!$L$24:$L$106,A60&amp;" / "&amp;B60,'2020'!$C$24:$C$106,B60)+SUMIFS('2020'!$H$24:$H$106,'2020'!$L$24:$L$106,A60&amp;" / "&amp;B60,'2020'!$F$24:$F$106,B60)+SUMIFS('2021'!$E$24:$E$112,'2021'!$L$24:$L$112,A60&amp;" / "&amp;B60,'2021'!$C$24:$C$112,B60)+SUMIFS('2021'!$H$24:$H$112,'2021'!$L$24:$L$112,A60&amp;" / "&amp;B60,'2021'!$F$24:$F$112,B60)+SUMIFS('2022'!$E$24:$E$112,'2022'!$L$24:$L$112,A60&amp;" / "&amp;B60,'2022'!$C$24:$C$112,B60)+SUMIFS('2022'!$H$24:$H$112,'2022'!$L$24:$L$112,A60&amp;" / "&amp;B60,'2022'!$F$24:$F$112,B60)+SUMIFS('2023'!$E$24:$E$112,'2023'!$L$24:$L$112,A60&amp;" / "&amp;B60,'2023'!$C$24:$C$112,B60)+SUMIFS('2023'!$H$24:$H$112,'2023'!$L$24:$L$112,A60&amp;" / "&amp;B60,'2023'!$F$24:$F$112,B60)+SUMIFS('2024'!$E$24:$E$112,'2024'!$L$24:$L$112,A60&amp;" / "&amp;B60,'2024'!$C$24:$C$112,B60)+SUMIFS('2024'!$H$24:$H$112,'2024'!$L$24:$L$112,A60&amp;" / "&amp;B60,'2024'!$F$24:$F$112,B60)+SUMIFS('2025'!$E$24:$E$112,'2025'!$L$24:$L$112,A60&amp;" / "&amp;B60,'2025'!$C$24:$C$112,B60)+SUMIFS('2025'!$H$24:$H$112,'2025'!$L$24:$L$112,A60&amp;" / "&amp;B60,'2025'!$F$24:$F$112,B60)</x:f>
        <x:v>270</x:v>
      </x:c>
      <x:c r="I60" s="11" t="n">
        <x:f>IF(C60=0,0,(D60+0.5*F60)/C60)</x:f>
        <x:v>0.3333333333333333</x:v>
      </x:c>
      <x:c r="J60" s="2" t="n">
        <x:f>COUNTIFS('2015'!$L$24:$L$96,A60&amp;" / "&amp;B60,'2015'!$B$24:$B$96,"Regular")+COUNTIFS('2016'!$L$24:$L$96,A60&amp;" / "&amp;B60,'2016'!$B$24:$B$96,"Regular")+COUNTIFS('2017'!$L$24:$L$106,A60&amp;" / "&amp;B60,'2017'!$B$24:$B$106,"Regular")+COUNTIFS('2018'!$L$24:$L$106,A60&amp;" / "&amp;B60,'2018'!$B$24:$B$106,"Regular")+COUNTIFS('2019'!$L$24:$L$106,A60&amp;" / "&amp;B60,'2019'!$B$24:$B$106,"Regular")+COUNTIFS('2020'!$L$24:$L$106,A60&amp;" / "&amp;B60,'2020'!$B$24:$B$106,"Regular")+COUNTIFS('2021'!$L$24:$L$112,A60&amp;" / "&amp;B60,'2021'!$B$24:$B$112,"Regular")+COUNTIFS('2022'!$L$24:$L$112,A60&amp;" / "&amp;B60,'2022'!$B$24:$B$112,"Regular")+COUNTIFS('2023'!$L$24:$L$112,A60&amp;" / "&amp;B60,'2023'!$B$24:$B$112,"Regular")+COUNTIFS('2024'!$L$24:$L$112,A60&amp;" / "&amp;B60,'2024'!$B$24:$B$112,"Regular")+COUNTIFS('2025'!$L$24:$L$112,A60&amp;" / "&amp;B60,'2025'!$B$24:$B$112,"Regular")</x:f>
        <x:v>3</x:v>
      </x:c>
      <x:c r="K60" s="2" t="n">
        <x:f>COUNTIFS('2015'!$L$24:$L$96,A60&amp;" / "&amp;B60,'2015'!$B$24:$B$96,"Playoffs")+COUNTIFS('2016'!$L$24:$L$96,A60&amp;" / "&amp;B60,'2016'!$B$24:$B$96,"Playoffs")+COUNTIFS('2017'!$L$24:$L$106,A60&amp;" / "&amp;B60,'2017'!$B$24:$B$106,"Playoffs")+COUNTIFS('2018'!$L$24:$L$106,A60&amp;" / "&amp;B60,'2018'!$B$24:$B$106,"Playoffs")+COUNTIFS('2019'!$L$24:$L$106,A60&amp;" / "&amp;B60,'2019'!$B$24:$B$106,"Playoffs")+COUNTIFS('2020'!$L$24:$L$106,A60&amp;" / "&amp;B60,'2020'!$B$24:$B$106,"Playoffs")+COUNTIFS('2021'!$L$24:$L$112,A60&amp;" / "&amp;B60,'2021'!$B$24:$B$112,"Playoffs")+COUNTIFS('2022'!$L$24:$L$112,A60&amp;" / "&amp;B60,'2022'!$B$24:$B$112,"Playoffs")+COUNTIFS('2023'!$L$24:$L$112,A60&amp;" / "&amp;B60,'2023'!$B$24:$B$112,"Playoffs")+COUNTIFS('2024'!$L$24:$L$112,A60&amp;" / "&amp;B60,'2024'!$B$24:$B$112,"Playoffs")+COUNTIFS('2025'!$L$24:$L$112,A60&amp;" / "&amp;B60,'2025'!$B$24:$B$112,"Playoffs")</x:f>
        <x:v>0</x:v>
      </x:c>
      <x:c r="L60" s="2" t="n">
        <x:f>COUNTIFS('2015'!$L$24:$L$96,A60&amp;" / "&amp;B60,'2015'!$B$24:$B$96,"Unconfirmed")+COUNTIFS('2016'!$L$24:$L$96,A60&amp;" / "&amp;B60,'2016'!$B$24:$B$96,"Unconfirmed")+COUNTIFS('2017'!$L$24:$L$106,A60&amp;" / "&amp;B60,'2017'!$B$24:$B$106,"Unconfirmed")+COUNTIFS('2018'!$L$24:$L$106,A60&amp;" / "&amp;B60,'2018'!$B$24:$B$106,"Unconfirmed")+COUNTIFS('2019'!$L$24:$L$106,A60&amp;" / "&amp;B60,'2019'!$B$24:$B$106,"Unconfirmed")+COUNTIFS('2020'!$L$24:$L$106,A60&amp;" / "&amp;B60,'2020'!$B$24:$B$106,"Unconfirmed")+COUNTIFS('2021'!$L$24:$L$112,A60&amp;" / "&amp;B60,'2021'!$B$24:$B$112,"Unconfirmed")+COUNTIFS('2022'!$L$24:$L$112,A60&amp;" / "&amp;B60,'2022'!$B$24:$B$112,"Unconfirmed")+COUNTIFS('2023'!$L$24:$L$112,A60&amp;" / "&amp;B60,'2023'!$B$24:$B$112,"Unconfirmed")+COUNTIFS('2024'!$L$24:$L$112,A60&amp;" / "&amp;B60,'2024'!$B$24:$B$112,"Unconfirmed")+COUNTIFS('2025'!$L$24:$L$112,A60&amp;" / "&amp;B60,'2025'!$B$24:$B$112,"Unconfirmed")</x:f>
        <x:v>0</x:v>
      </x:c>
    </x:row>
    <x:row r="61" ht="22" customHeight="1">
      <x:c r="A61" s="2" t="str">
        <x:v>Chas</x:v>
      </x:c>
      <x:c r="B61" s="2" t="str">
        <x:v>Paul</x:v>
      </x:c>
      <x:c r="C61" s="2" t="n">
        <x:f>COUNTIFS('2015'!$L$24:$L$96,A61&amp;" / "&amp;B61)+COUNTIFS('2016'!$L$24:$L$96,A61&amp;" / "&amp;B61)+COUNTIFS('2017'!$L$24:$L$106,A61&amp;" / "&amp;B61)+COUNTIFS('2018'!$L$24:$L$106,A61&amp;" / "&amp;B61)+COUNTIFS('2019'!$L$24:$L$106,A61&amp;" / "&amp;B61)+COUNTIFS('2020'!$L$24:$L$106,A61&amp;" / "&amp;B61)+COUNTIFS('2021'!$L$24:$L$112,A61&amp;" / "&amp;B61)+COUNTIFS('2022'!$L$24:$L$112,A61&amp;" / "&amp;B61)+COUNTIFS('2023'!$L$24:$L$112,A61&amp;" / "&amp;B61)+COUNTIFS('2024'!$L$24:$L$112,A61&amp;" / "&amp;B61)+COUNTIFS('2025'!$L$24:$L$112,A61&amp;" / "&amp;B61)</x:f>
        <x:v>3</x:v>
      </x:c>
      <x:c r="D61" s="2" t="n">
        <x:f>COUNTIFS('2015'!$L$24:$L$96,A61&amp;" / "&amp;B61,'2015'!$I$24:$I$96,A61)+COUNTIFS('2016'!$L$24:$L$96,A61&amp;" / "&amp;B61,'2016'!$I$24:$I$96,A61)+COUNTIFS('2017'!$L$24:$L$106,A61&amp;" / "&amp;B61,'2017'!$I$24:$I$106,A61)+COUNTIFS('2018'!$L$24:$L$106,A61&amp;" / "&amp;B61,'2018'!$I$24:$I$106,A61)+COUNTIFS('2019'!$L$24:$L$106,A61&amp;" / "&amp;B61,'2019'!$I$24:$I$106,A61)+COUNTIFS('2020'!$L$24:$L$106,A61&amp;" / "&amp;B61,'2020'!$I$24:$I$106,A61)+COUNTIFS('2021'!$L$24:$L$112,A61&amp;" / "&amp;B61,'2021'!$I$24:$I$112,A61)+COUNTIFS('2022'!$L$24:$L$112,A61&amp;" / "&amp;B61,'2022'!$I$24:$I$112,A61)+COUNTIFS('2023'!$L$24:$L$112,A61&amp;" / "&amp;B61,'2023'!$I$24:$I$112,A61)+COUNTIFS('2024'!$L$24:$L$112,A61&amp;" / "&amp;B61,'2024'!$I$24:$I$112,A61)+COUNTIFS('2025'!$L$24:$L$112,A61&amp;" / "&amp;B61,'2025'!$I$24:$I$112,A61)</x:f>
        <x:v>0</x:v>
      </x:c>
      <x:c r="E61" s="2" t="n">
        <x:f>COUNTIFS('2015'!$L$24:$L$96,A61&amp;" / "&amp;B61,'2015'!$I$24:$I$96,B61)+COUNTIFS('2016'!$L$24:$L$96,A61&amp;" / "&amp;B61,'2016'!$I$24:$I$96,B61)+COUNTIFS('2017'!$L$24:$L$106,A61&amp;" / "&amp;B61,'2017'!$I$24:$I$106,B61)+COUNTIFS('2018'!$L$24:$L$106,A61&amp;" / "&amp;B61,'2018'!$I$24:$I$106,B61)+COUNTIFS('2019'!$L$24:$L$106,A61&amp;" / "&amp;B61,'2019'!$I$24:$I$106,B61)+COUNTIFS('2020'!$L$24:$L$106,A61&amp;" / "&amp;B61,'2020'!$I$24:$I$106,B61)+COUNTIFS('2021'!$L$24:$L$112,A61&amp;" / "&amp;B61,'2021'!$I$24:$I$112,B61)+COUNTIFS('2022'!$L$24:$L$112,A61&amp;" / "&amp;B61,'2022'!$I$24:$I$112,B61)+COUNTIFS('2023'!$L$24:$L$112,A61&amp;" / "&amp;B61,'2023'!$I$24:$I$112,B61)+COUNTIFS('2024'!$L$24:$L$112,A61&amp;" / "&amp;B61,'2024'!$I$24:$I$112,B61)+COUNTIFS('2025'!$L$24:$L$112,A61&amp;" / "&amp;B61,'2025'!$I$24:$I$112,B61)</x:f>
        <x:v>3</x:v>
      </x:c>
      <x:c r="F61" s="2" t="n">
        <x:f>COUNTIFS('2015'!$L$24:$L$96,A61&amp;" / "&amp;B61,'2015'!$K$24:$K$96,1)+COUNTIFS('2016'!$L$24:$L$96,A61&amp;" / "&amp;B61,'2016'!$K$24:$K$96,1)+COUNTIFS('2017'!$L$24:$L$106,A61&amp;" / "&amp;B61,'2017'!$K$24:$K$106,1)+COUNTIFS('2018'!$L$24:$L$106,A61&amp;" / "&amp;B61,'2018'!$K$24:$K$106,1)+COUNTIFS('2019'!$L$24:$L$106,A61&amp;" / "&amp;B61,'2019'!$K$24:$K$106,1)+COUNTIFS('2020'!$L$24:$L$106,A61&amp;" / "&amp;B61,'2020'!$K$24:$K$106,1)+COUNTIFS('2021'!$L$24:$L$112,A61&amp;" / "&amp;B61,'2021'!$K$24:$K$112,1)+COUNTIFS('2022'!$L$24:$L$112,A61&amp;" / "&amp;B61,'2022'!$K$24:$K$112,1)+COUNTIFS('2023'!$L$24:$L$112,A61&amp;" / "&amp;B61,'2023'!$K$24:$K$112,1)+COUNTIFS('2024'!$L$24:$L$112,A61&amp;" / "&amp;B61,'2024'!$K$24:$K$112,1)+COUNTIFS('2025'!$L$24:$L$112,A61&amp;" / "&amp;B61,'2025'!$K$24:$K$112,1)</x:f>
        <x:v>0</x:v>
      </x:c>
      <x:c r="G61" s="25" t="n">
        <x:f>SUMIFS('2015'!$E$24:$E$96,'2015'!$L$24:$L$96,A61&amp;" / "&amp;B61,'2015'!$C$24:$C$96,A61)+SUMIFS('2015'!$H$24:$H$96,'2015'!$L$24:$L$96,A61&amp;" / "&amp;B61,'2015'!$F$24:$F$96,A61)+SUMIFS('2016'!$E$24:$E$96,'2016'!$L$24:$L$96,A61&amp;" / "&amp;B61,'2016'!$C$24:$C$96,A61)+SUMIFS('2016'!$H$24:$H$96,'2016'!$L$24:$L$96,A61&amp;" / "&amp;B61,'2016'!$F$24:$F$96,A61)+SUMIFS('2017'!$E$24:$E$106,'2017'!$L$24:$L$106,A61&amp;" / "&amp;B61,'2017'!$C$24:$C$106,A61)+SUMIFS('2017'!$H$24:$H$106,'2017'!$L$24:$L$106,A61&amp;" / "&amp;B61,'2017'!$F$24:$F$106,A61)+SUMIFS('2018'!$E$24:$E$106,'2018'!$L$24:$L$106,A61&amp;" / "&amp;B61,'2018'!$C$24:$C$106,A61)+SUMIFS('2018'!$H$24:$H$106,'2018'!$L$24:$L$106,A61&amp;" / "&amp;B61,'2018'!$F$24:$F$106,A61)+SUMIFS('2019'!$E$24:$E$106,'2019'!$L$24:$L$106,A61&amp;" / "&amp;B61,'2019'!$C$24:$C$106,A61)+SUMIFS('2019'!$H$24:$H$106,'2019'!$L$24:$L$106,A61&amp;" / "&amp;B61,'2019'!$F$24:$F$106,A61)+SUMIFS('2020'!$E$24:$E$106,'2020'!$L$24:$L$106,A61&amp;" / "&amp;B61,'2020'!$C$24:$C$106,A61)+SUMIFS('2020'!$H$24:$H$106,'2020'!$L$24:$L$106,A61&amp;" / "&amp;B61,'2020'!$F$24:$F$106,A61)+SUMIFS('2021'!$E$24:$E$112,'2021'!$L$24:$L$112,A61&amp;" / "&amp;B61,'2021'!$C$24:$C$112,A61)+SUMIFS('2021'!$H$24:$H$112,'2021'!$L$24:$L$112,A61&amp;" / "&amp;B61,'2021'!$F$24:$F$112,A61)+SUMIFS('2022'!$E$24:$E$112,'2022'!$L$24:$L$112,A61&amp;" / "&amp;B61,'2022'!$C$24:$C$112,A61)+SUMIFS('2022'!$H$24:$H$112,'2022'!$L$24:$L$112,A61&amp;" / "&amp;B61,'2022'!$F$24:$F$112,A61)+SUMIFS('2023'!$E$24:$E$112,'2023'!$L$24:$L$112,A61&amp;" / "&amp;B61,'2023'!$C$24:$C$112,A61)+SUMIFS('2023'!$H$24:$H$112,'2023'!$L$24:$L$112,A61&amp;" / "&amp;B61,'2023'!$F$24:$F$112,A61)+SUMIFS('2024'!$E$24:$E$112,'2024'!$L$24:$L$112,A61&amp;" / "&amp;B61,'2024'!$C$24:$C$112,A61)+SUMIFS('2024'!$H$24:$H$112,'2024'!$L$24:$L$112,A61&amp;" / "&amp;B61,'2024'!$F$24:$F$112,A61)+SUMIFS('2025'!$E$24:$E$112,'2025'!$L$24:$L$112,A61&amp;" / "&amp;B61,'2025'!$C$24:$C$112,A61)+SUMIFS('2025'!$H$24:$H$112,'2025'!$L$24:$L$112,A61&amp;" / "&amp;B61,'2025'!$F$24:$F$112,A61)</x:f>
        <x:v>282</x:v>
      </x:c>
      <x:c r="H61" s="25" t="n">
        <x:f>SUMIFS('2015'!$E$24:$E$96,'2015'!$L$24:$L$96,A61&amp;" / "&amp;B61,'2015'!$C$24:$C$96,B61)+SUMIFS('2015'!$H$24:$H$96,'2015'!$L$24:$L$96,A61&amp;" / "&amp;B61,'2015'!$F$24:$F$96,B61)+SUMIFS('2016'!$E$24:$E$96,'2016'!$L$24:$L$96,A61&amp;" / "&amp;B61,'2016'!$C$24:$C$96,B61)+SUMIFS('2016'!$H$24:$H$96,'2016'!$L$24:$L$96,A61&amp;" / "&amp;B61,'2016'!$F$24:$F$96,B61)+SUMIFS('2017'!$E$24:$E$106,'2017'!$L$24:$L$106,A61&amp;" / "&amp;B61,'2017'!$C$24:$C$106,B61)+SUMIFS('2017'!$H$24:$H$106,'2017'!$L$24:$L$106,A61&amp;" / "&amp;B61,'2017'!$F$24:$F$106,B61)+SUMIFS('2018'!$E$24:$E$106,'2018'!$L$24:$L$106,A61&amp;" / "&amp;B61,'2018'!$C$24:$C$106,B61)+SUMIFS('2018'!$H$24:$H$106,'2018'!$L$24:$L$106,A61&amp;" / "&amp;B61,'2018'!$F$24:$F$106,B61)+SUMIFS('2019'!$E$24:$E$106,'2019'!$L$24:$L$106,A61&amp;" / "&amp;B61,'2019'!$C$24:$C$106,B61)+SUMIFS('2019'!$H$24:$H$106,'2019'!$L$24:$L$106,A61&amp;" / "&amp;B61,'2019'!$F$24:$F$106,B61)+SUMIFS('2020'!$E$24:$E$106,'2020'!$L$24:$L$106,A61&amp;" / "&amp;B61,'2020'!$C$24:$C$106,B61)+SUMIFS('2020'!$H$24:$H$106,'2020'!$L$24:$L$106,A61&amp;" / "&amp;B61,'2020'!$F$24:$F$106,B61)+SUMIFS('2021'!$E$24:$E$112,'2021'!$L$24:$L$112,A61&amp;" / "&amp;B61,'2021'!$C$24:$C$112,B61)+SUMIFS('2021'!$H$24:$H$112,'2021'!$L$24:$L$112,A61&amp;" / "&amp;B61,'2021'!$F$24:$F$112,B61)+SUMIFS('2022'!$E$24:$E$112,'2022'!$L$24:$L$112,A61&amp;" / "&amp;B61,'2022'!$C$24:$C$112,B61)+SUMIFS('2022'!$H$24:$H$112,'2022'!$L$24:$L$112,A61&amp;" / "&amp;B61,'2022'!$F$24:$F$112,B61)+SUMIFS('2023'!$E$24:$E$112,'2023'!$L$24:$L$112,A61&amp;" / "&amp;B61,'2023'!$C$24:$C$112,B61)+SUMIFS('2023'!$H$24:$H$112,'2023'!$L$24:$L$112,A61&amp;" / "&amp;B61,'2023'!$F$24:$F$112,B61)+SUMIFS('2024'!$E$24:$E$112,'2024'!$L$24:$L$112,A61&amp;" / "&amp;B61,'2024'!$C$24:$C$112,B61)+SUMIFS('2024'!$H$24:$H$112,'2024'!$L$24:$L$112,A61&amp;" / "&amp;B61,'2024'!$F$24:$F$112,B61)+SUMIFS('2025'!$E$24:$E$112,'2025'!$L$24:$L$112,A61&amp;" / "&amp;B61,'2025'!$C$24:$C$112,B61)+SUMIFS('2025'!$H$24:$H$112,'2025'!$L$24:$L$112,A61&amp;" / "&amp;B61,'2025'!$F$24:$F$112,B61)</x:f>
        <x:v>481</x:v>
      </x:c>
      <x:c r="I61" s="11" t="n">
        <x:f>IF(C61=0,0,(D61+0.5*F61)/C61)</x:f>
        <x:v>0</x:v>
      </x:c>
      <x:c r="J61" s="2" t="n">
        <x:f>COUNTIFS('2015'!$L$24:$L$96,A61&amp;" / "&amp;B61,'2015'!$B$24:$B$96,"Regular")+COUNTIFS('2016'!$L$24:$L$96,A61&amp;" / "&amp;B61,'2016'!$B$24:$B$96,"Regular")+COUNTIFS('2017'!$L$24:$L$106,A61&amp;" / "&amp;B61,'2017'!$B$24:$B$106,"Regular")+COUNTIFS('2018'!$L$24:$L$106,A61&amp;" / "&amp;B61,'2018'!$B$24:$B$106,"Regular")+COUNTIFS('2019'!$L$24:$L$106,A61&amp;" / "&amp;B61,'2019'!$B$24:$B$106,"Regular")+COUNTIFS('2020'!$L$24:$L$106,A61&amp;" / "&amp;B61,'2020'!$B$24:$B$106,"Regular")+COUNTIFS('2021'!$L$24:$L$112,A61&amp;" / "&amp;B61,'2021'!$B$24:$B$112,"Regular")+COUNTIFS('2022'!$L$24:$L$112,A61&amp;" / "&amp;B61,'2022'!$B$24:$B$112,"Regular")+COUNTIFS('2023'!$L$24:$L$112,A61&amp;" / "&amp;B61,'2023'!$B$24:$B$112,"Regular")+COUNTIFS('2024'!$L$24:$L$112,A61&amp;" / "&amp;B61,'2024'!$B$24:$B$112,"Regular")+COUNTIFS('2025'!$L$24:$L$112,A61&amp;" / "&amp;B61,'2025'!$B$24:$B$112,"Regular")</x:f>
        <x:v>3</x:v>
      </x:c>
      <x:c r="K61" s="2" t="n">
        <x:f>COUNTIFS('2015'!$L$24:$L$96,A61&amp;" / "&amp;B61,'2015'!$B$24:$B$96,"Playoffs")+COUNTIFS('2016'!$L$24:$L$96,A61&amp;" / "&amp;B61,'2016'!$B$24:$B$96,"Playoffs")+COUNTIFS('2017'!$L$24:$L$106,A61&amp;" / "&amp;B61,'2017'!$B$24:$B$106,"Playoffs")+COUNTIFS('2018'!$L$24:$L$106,A61&amp;" / "&amp;B61,'2018'!$B$24:$B$106,"Playoffs")+COUNTIFS('2019'!$L$24:$L$106,A61&amp;" / "&amp;B61,'2019'!$B$24:$B$106,"Playoffs")+COUNTIFS('2020'!$L$24:$L$106,A61&amp;" / "&amp;B61,'2020'!$B$24:$B$106,"Playoffs")+COUNTIFS('2021'!$L$24:$L$112,A61&amp;" / "&amp;B61,'2021'!$B$24:$B$112,"Playoffs")+COUNTIFS('2022'!$L$24:$L$112,A61&amp;" / "&amp;B61,'2022'!$B$24:$B$112,"Playoffs")+COUNTIFS('2023'!$L$24:$L$112,A61&amp;" / "&amp;B61,'2023'!$B$24:$B$112,"Playoffs")+COUNTIFS('2024'!$L$24:$L$112,A61&amp;" / "&amp;B61,'2024'!$B$24:$B$112,"Playoffs")+COUNTIFS('2025'!$L$24:$L$112,A61&amp;" / "&amp;B61,'2025'!$B$24:$B$112,"Playoffs")</x:f>
        <x:v>0</x:v>
      </x:c>
      <x:c r="L61" s="2" t="n">
        <x:f>COUNTIFS('2015'!$L$24:$L$96,A61&amp;" / "&amp;B61,'2015'!$B$24:$B$96,"Unconfirmed")+COUNTIFS('2016'!$L$24:$L$96,A61&amp;" / "&amp;B61,'2016'!$B$24:$B$96,"Unconfirmed")+COUNTIFS('2017'!$L$24:$L$106,A61&amp;" / "&amp;B61,'2017'!$B$24:$B$106,"Unconfirmed")+COUNTIFS('2018'!$L$24:$L$106,A61&amp;" / "&amp;B61,'2018'!$B$24:$B$106,"Unconfirmed")+COUNTIFS('2019'!$L$24:$L$106,A61&amp;" / "&amp;B61,'2019'!$B$24:$B$106,"Unconfirmed")+COUNTIFS('2020'!$L$24:$L$106,A61&amp;" / "&amp;B61,'2020'!$B$24:$B$106,"Unconfirmed")+COUNTIFS('2021'!$L$24:$L$112,A61&amp;" / "&amp;B61,'2021'!$B$24:$B$112,"Unconfirmed")+COUNTIFS('2022'!$L$24:$L$112,A61&amp;" / "&amp;B61,'2022'!$B$24:$B$112,"Unconfirmed")+COUNTIFS('2023'!$L$24:$L$112,A61&amp;" / "&amp;B61,'2023'!$B$24:$B$112,"Unconfirmed")+COUNTIFS('2024'!$L$24:$L$112,A61&amp;" / "&amp;B61,'2024'!$B$24:$B$112,"Unconfirmed")+COUNTIFS('2025'!$L$24:$L$112,A61&amp;" / "&amp;B61,'2025'!$B$24:$B$112,"Unconfirmed")</x:f>
        <x:v>0</x:v>
      </x:c>
    </x:row>
    <x:row r="62" ht="22" customHeight="1">
      <x:c r="A62" s="2" t="str">
        <x:v>Chas</x:v>
      </x:c>
      <x:c r="B62" s="2" t="str">
        <x:v>Taylor</x:v>
      </x:c>
      <x:c r="C62" s="2" t="n">
        <x:f>COUNTIFS('2015'!$L$24:$L$96,A62&amp;" / "&amp;B62)+COUNTIFS('2016'!$L$24:$L$96,A62&amp;" / "&amp;B62)+COUNTIFS('2017'!$L$24:$L$106,A62&amp;" / "&amp;B62)+COUNTIFS('2018'!$L$24:$L$106,A62&amp;" / "&amp;B62)+COUNTIFS('2019'!$L$24:$L$106,A62&amp;" / "&amp;B62)+COUNTIFS('2020'!$L$24:$L$106,A62&amp;" / "&amp;B62)+COUNTIFS('2021'!$L$24:$L$112,A62&amp;" / "&amp;B62)+COUNTIFS('2022'!$L$24:$L$112,A62&amp;" / "&amp;B62)+COUNTIFS('2023'!$L$24:$L$112,A62&amp;" / "&amp;B62)+COUNTIFS('2024'!$L$24:$L$112,A62&amp;" / "&amp;B62)+COUNTIFS('2025'!$L$24:$L$112,A62&amp;" / "&amp;B62)</x:f>
        <x:v>1</x:v>
      </x:c>
      <x:c r="D62" s="2" t="n">
        <x:f>COUNTIFS('2015'!$L$24:$L$96,A62&amp;" / "&amp;B62,'2015'!$I$24:$I$96,A62)+COUNTIFS('2016'!$L$24:$L$96,A62&amp;" / "&amp;B62,'2016'!$I$24:$I$96,A62)+COUNTIFS('2017'!$L$24:$L$106,A62&amp;" / "&amp;B62,'2017'!$I$24:$I$106,A62)+COUNTIFS('2018'!$L$24:$L$106,A62&amp;" / "&amp;B62,'2018'!$I$24:$I$106,A62)+COUNTIFS('2019'!$L$24:$L$106,A62&amp;" / "&amp;B62,'2019'!$I$24:$I$106,A62)+COUNTIFS('2020'!$L$24:$L$106,A62&amp;" / "&amp;B62,'2020'!$I$24:$I$106,A62)+COUNTIFS('2021'!$L$24:$L$112,A62&amp;" / "&amp;B62,'2021'!$I$24:$I$112,A62)+COUNTIFS('2022'!$L$24:$L$112,A62&amp;" / "&amp;B62,'2022'!$I$24:$I$112,A62)+COUNTIFS('2023'!$L$24:$L$112,A62&amp;" / "&amp;B62,'2023'!$I$24:$I$112,A62)+COUNTIFS('2024'!$L$24:$L$112,A62&amp;" / "&amp;B62,'2024'!$I$24:$I$112,A62)+COUNTIFS('2025'!$L$24:$L$112,A62&amp;" / "&amp;B62,'2025'!$I$24:$I$112,A62)</x:f>
        <x:v>0</x:v>
      </x:c>
      <x:c r="E62" s="2" t="n">
        <x:f>COUNTIFS('2015'!$L$24:$L$96,A62&amp;" / "&amp;B62,'2015'!$I$24:$I$96,B62)+COUNTIFS('2016'!$L$24:$L$96,A62&amp;" / "&amp;B62,'2016'!$I$24:$I$96,B62)+COUNTIFS('2017'!$L$24:$L$106,A62&amp;" / "&amp;B62,'2017'!$I$24:$I$106,B62)+COUNTIFS('2018'!$L$24:$L$106,A62&amp;" / "&amp;B62,'2018'!$I$24:$I$106,B62)+COUNTIFS('2019'!$L$24:$L$106,A62&amp;" / "&amp;B62,'2019'!$I$24:$I$106,B62)+COUNTIFS('2020'!$L$24:$L$106,A62&amp;" / "&amp;B62,'2020'!$I$24:$I$106,B62)+COUNTIFS('2021'!$L$24:$L$112,A62&amp;" / "&amp;B62,'2021'!$I$24:$I$112,B62)+COUNTIFS('2022'!$L$24:$L$112,A62&amp;" / "&amp;B62,'2022'!$I$24:$I$112,B62)+COUNTIFS('2023'!$L$24:$L$112,A62&amp;" / "&amp;B62,'2023'!$I$24:$I$112,B62)+COUNTIFS('2024'!$L$24:$L$112,A62&amp;" / "&amp;B62,'2024'!$I$24:$I$112,B62)+COUNTIFS('2025'!$L$24:$L$112,A62&amp;" / "&amp;B62,'2025'!$I$24:$I$112,B62)</x:f>
        <x:v>1</x:v>
      </x:c>
      <x:c r="F62" s="2" t="n">
        <x:f>COUNTIFS('2015'!$L$24:$L$96,A62&amp;" / "&amp;B62,'2015'!$K$24:$K$96,1)+COUNTIFS('2016'!$L$24:$L$96,A62&amp;" / "&amp;B62,'2016'!$K$24:$K$96,1)+COUNTIFS('2017'!$L$24:$L$106,A62&amp;" / "&amp;B62,'2017'!$K$24:$K$106,1)+COUNTIFS('2018'!$L$24:$L$106,A62&amp;" / "&amp;B62,'2018'!$K$24:$K$106,1)+COUNTIFS('2019'!$L$24:$L$106,A62&amp;" / "&amp;B62,'2019'!$K$24:$K$106,1)+COUNTIFS('2020'!$L$24:$L$106,A62&amp;" / "&amp;B62,'2020'!$K$24:$K$106,1)+COUNTIFS('2021'!$L$24:$L$112,A62&amp;" / "&amp;B62,'2021'!$K$24:$K$112,1)+COUNTIFS('2022'!$L$24:$L$112,A62&amp;" / "&amp;B62,'2022'!$K$24:$K$112,1)+COUNTIFS('2023'!$L$24:$L$112,A62&amp;" / "&amp;B62,'2023'!$K$24:$K$112,1)+COUNTIFS('2024'!$L$24:$L$112,A62&amp;" / "&amp;B62,'2024'!$K$24:$K$112,1)+COUNTIFS('2025'!$L$24:$L$112,A62&amp;" / "&amp;B62,'2025'!$K$24:$K$112,1)</x:f>
        <x:v>0</x:v>
      </x:c>
      <x:c r="G62" s="25" t="n">
        <x:f>SUMIFS('2015'!$E$24:$E$96,'2015'!$L$24:$L$96,A62&amp;" / "&amp;B62,'2015'!$C$24:$C$96,A62)+SUMIFS('2015'!$H$24:$H$96,'2015'!$L$24:$L$96,A62&amp;" / "&amp;B62,'2015'!$F$24:$F$96,A62)+SUMIFS('2016'!$E$24:$E$96,'2016'!$L$24:$L$96,A62&amp;" / "&amp;B62,'2016'!$C$24:$C$96,A62)+SUMIFS('2016'!$H$24:$H$96,'2016'!$L$24:$L$96,A62&amp;" / "&amp;B62,'2016'!$F$24:$F$96,A62)+SUMIFS('2017'!$E$24:$E$106,'2017'!$L$24:$L$106,A62&amp;" / "&amp;B62,'2017'!$C$24:$C$106,A62)+SUMIFS('2017'!$H$24:$H$106,'2017'!$L$24:$L$106,A62&amp;" / "&amp;B62,'2017'!$F$24:$F$106,A62)+SUMIFS('2018'!$E$24:$E$106,'2018'!$L$24:$L$106,A62&amp;" / "&amp;B62,'2018'!$C$24:$C$106,A62)+SUMIFS('2018'!$H$24:$H$106,'2018'!$L$24:$L$106,A62&amp;" / "&amp;B62,'2018'!$F$24:$F$106,A62)+SUMIFS('2019'!$E$24:$E$106,'2019'!$L$24:$L$106,A62&amp;" / "&amp;B62,'2019'!$C$24:$C$106,A62)+SUMIFS('2019'!$H$24:$H$106,'2019'!$L$24:$L$106,A62&amp;" / "&amp;B62,'2019'!$F$24:$F$106,A62)+SUMIFS('2020'!$E$24:$E$106,'2020'!$L$24:$L$106,A62&amp;" / "&amp;B62,'2020'!$C$24:$C$106,A62)+SUMIFS('2020'!$H$24:$H$106,'2020'!$L$24:$L$106,A62&amp;" / "&amp;B62,'2020'!$F$24:$F$106,A62)+SUMIFS('2021'!$E$24:$E$112,'2021'!$L$24:$L$112,A62&amp;" / "&amp;B62,'2021'!$C$24:$C$112,A62)+SUMIFS('2021'!$H$24:$H$112,'2021'!$L$24:$L$112,A62&amp;" / "&amp;B62,'2021'!$F$24:$F$112,A62)+SUMIFS('2022'!$E$24:$E$112,'2022'!$L$24:$L$112,A62&amp;" / "&amp;B62,'2022'!$C$24:$C$112,A62)+SUMIFS('2022'!$H$24:$H$112,'2022'!$L$24:$L$112,A62&amp;" / "&amp;B62,'2022'!$F$24:$F$112,A62)+SUMIFS('2023'!$E$24:$E$112,'2023'!$L$24:$L$112,A62&amp;" / "&amp;B62,'2023'!$C$24:$C$112,A62)+SUMIFS('2023'!$H$24:$H$112,'2023'!$L$24:$L$112,A62&amp;" / "&amp;B62,'2023'!$F$24:$F$112,A62)+SUMIFS('2024'!$E$24:$E$112,'2024'!$L$24:$L$112,A62&amp;" / "&amp;B62,'2024'!$C$24:$C$112,A62)+SUMIFS('2024'!$H$24:$H$112,'2024'!$L$24:$L$112,A62&amp;" / "&amp;B62,'2024'!$F$24:$F$112,A62)+SUMIFS('2025'!$E$24:$E$112,'2025'!$L$24:$L$112,A62&amp;" / "&amp;B62,'2025'!$C$24:$C$112,A62)+SUMIFS('2025'!$H$24:$H$112,'2025'!$L$24:$L$112,A62&amp;" / "&amp;B62,'2025'!$F$24:$F$112,A62)</x:f>
        <x:v>94</x:v>
      </x:c>
      <x:c r="H62" s="25" t="n">
        <x:f>SUMIFS('2015'!$E$24:$E$96,'2015'!$L$24:$L$96,A62&amp;" / "&amp;B62,'2015'!$C$24:$C$96,B62)+SUMIFS('2015'!$H$24:$H$96,'2015'!$L$24:$L$96,A62&amp;" / "&amp;B62,'2015'!$F$24:$F$96,B62)+SUMIFS('2016'!$E$24:$E$96,'2016'!$L$24:$L$96,A62&amp;" / "&amp;B62,'2016'!$C$24:$C$96,B62)+SUMIFS('2016'!$H$24:$H$96,'2016'!$L$24:$L$96,A62&amp;" / "&amp;B62,'2016'!$F$24:$F$96,B62)+SUMIFS('2017'!$E$24:$E$106,'2017'!$L$24:$L$106,A62&amp;" / "&amp;B62,'2017'!$C$24:$C$106,B62)+SUMIFS('2017'!$H$24:$H$106,'2017'!$L$24:$L$106,A62&amp;" / "&amp;B62,'2017'!$F$24:$F$106,B62)+SUMIFS('2018'!$E$24:$E$106,'2018'!$L$24:$L$106,A62&amp;" / "&amp;B62,'2018'!$C$24:$C$106,B62)+SUMIFS('2018'!$H$24:$H$106,'2018'!$L$24:$L$106,A62&amp;" / "&amp;B62,'2018'!$F$24:$F$106,B62)+SUMIFS('2019'!$E$24:$E$106,'2019'!$L$24:$L$106,A62&amp;" / "&amp;B62,'2019'!$C$24:$C$106,B62)+SUMIFS('2019'!$H$24:$H$106,'2019'!$L$24:$L$106,A62&amp;" / "&amp;B62,'2019'!$F$24:$F$106,B62)+SUMIFS('2020'!$E$24:$E$106,'2020'!$L$24:$L$106,A62&amp;" / "&amp;B62,'2020'!$C$24:$C$106,B62)+SUMIFS('2020'!$H$24:$H$106,'2020'!$L$24:$L$106,A62&amp;" / "&amp;B62,'2020'!$F$24:$F$106,B62)+SUMIFS('2021'!$E$24:$E$112,'2021'!$L$24:$L$112,A62&amp;" / "&amp;B62,'2021'!$C$24:$C$112,B62)+SUMIFS('2021'!$H$24:$H$112,'2021'!$L$24:$L$112,A62&amp;" / "&amp;B62,'2021'!$F$24:$F$112,B62)+SUMIFS('2022'!$E$24:$E$112,'2022'!$L$24:$L$112,A62&amp;" / "&amp;B62,'2022'!$C$24:$C$112,B62)+SUMIFS('2022'!$H$24:$H$112,'2022'!$L$24:$L$112,A62&amp;" / "&amp;B62,'2022'!$F$24:$F$112,B62)+SUMIFS('2023'!$E$24:$E$112,'2023'!$L$24:$L$112,A62&amp;" / "&amp;B62,'2023'!$C$24:$C$112,B62)+SUMIFS('2023'!$H$24:$H$112,'2023'!$L$24:$L$112,A62&amp;" / "&amp;B62,'2023'!$F$24:$F$112,B62)+SUMIFS('2024'!$E$24:$E$112,'2024'!$L$24:$L$112,A62&amp;" / "&amp;B62,'2024'!$C$24:$C$112,B62)+SUMIFS('2024'!$H$24:$H$112,'2024'!$L$24:$L$112,A62&amp;" / "&amp;B62,'2024'!$F$24:$F$112,B62)+SUMIFS('2025'!$E$24:$E$112,'2025'!$L$24:$L$112,A62&amp;" / "&amp;B62,'2025'!$C$24:$C$112,B62)+SUMIFS('2025'!$H$24:$H$112,'2025'!$L$24:$L$112,A62&amp;" / "&amp;B62,'2025'!$F$24:$F$112,B62)</x:f>
        <x:v>118</x:v>
      </x:c>
      <x:c r="I62" s="11" t="n">
        <x:f>IF(C62=0,0,(D62+0.5*F62)/C62)</x:f>
        <x:v>0</x:v>
      </x:c>
      <x:c r="J62" s="2" t="n">
        <x:f>COUNTIFS('2015'!$L$24:$L$96,A62&amp;" / "&amp;B62,'2015'!$B$24:$B$96,"Regular")+COUNTIFS('2016'!$L$24:$L$96,A62&amp;" / "&amp;B62,'2016'!$B$24:$B$96,"Regular")+COUNTIFS('2017'!$L$24:$L$106,A62&amp;" / "&amp;B62,'2017'!$B$24:$B$106,"Regular")+COUNTIFS('2018'!$L$24:$L$106,A62&amp;" / "&amp;B62,'2018'!$B$24:$B$106,"Regular")+COUNTIFS('2019'!$L$24:$L$106,A62&amp;" / "&amp;B62,'2019'!$B$24:$B$106,"Regular")+COUNTIFS('2020'!$L$24:$L$106,A62&amp;" / "&amp;B62,'2020'!$B$24:$B$106,"Regular")+COUNTIFS('2021'!$L$24:$L$112,A62&amp;" / "&amp;B62,'2021'!$B$24:$B$112,"Regular")+COUNTIFS('2022'!$L$24:$L$112,A62&amp;" / "&amp;B62,'2022'!$B$24:$B$112,"Regular")+COUNTIFS('2023'!$L$24:$L$112,A62&amp;" / "&amp;B62,'2023'!$B$24:$B$112,"Regular")+COUNTIFS('2024'!$L$24:$L$112,A62&amp;" / "&amp;B62,'2024'!$B$24:$B$112,"Regular")+COUNTIFS('2025'!$L$24:$L$112,A62&amp;" / "&amp;B62,'2025'!$B$24:$B$112,"Regular")</x:f>
        <x:v>1</x:v>
      </x:c>
      <x:c r="K62" s="2" t="n">
        <x:f>COUNTIFS('2015'!$L$24:$L$96,A62&amp;" / "&amp;B62,'2015'!$B$24:$B$96,"Playoffs")+COUNTIFS('2016'!$L$24:$L$96,A62&amp;" / "&amp;B62,'2016'!$B$24:$B$96,"Playoffs")+COUNTIFS('2017'!$L$24:$L$106,A62&amp;" / "&amp;B62,'2017'!$B$24:$B$106,"Playoffs")+COUNTIFS('2018'!$L$24:$L$106,A62&amp;" / "&amp;B62,'2018'!$B$24:$B$106,"Playoffs")+COUNTIFS('2019'!$L$24:$L$106,A62&amp;" / "&amp;B62,'2019'!$B$24:$B$106,"Playoffs")+COUNTIFS('2020'!$L$24:$L$106,A62&amp;" / "&amp;B62,'2020'!$B$24:$B$106,"Playoffs")+COUNTIFS('2021'!$L$24:$L$112,A62&amp;" / "&amp;B62,'2021'!$B$24:$B$112,"Playoffs")+COUNTIFS('2022'!$L$24:$L$112,A62&amp;" / "&amp;B62,'2022'!$B$24:$B$112,"Playoffs")+COUNTIFS('2023'!$L$24:$L$112,A62&amp;" / "&amp;B62,'2023'!$B$24:$B$112,"Playoffs")+COUNTIFS('2024'!$L$24:$L$112,A62&amp;" / "&amp;B62,'2024'!$B$24:$B$112,"Playoffs")+COUNTIFS('2025'!$L$24:$L$112,A62&amp;" / "&amp;B62,'2025'!$B$24:$B$112,"Playoffs")</x:f>
        <x:v>0</x:v>
      </x:c>
      <x:c r="L62" s="2" t="n">
        <x:f>COUNTIFS('2015'!$L$24:$L$96,A62&amp;" / "&amp;B62,'2015'!$B$24:$B$96,"Unconfirmed")+COUNTIFS('2016'!$L$24:$L$96,A62&amp;" / "&amp;B62,'2016'!$B$24:$B$96,"Unconfirmed")+COUNTIFS('2017'!$L$24:$L$106,A62&amp;" / "&amp;B62,'2017'!$B$24:$B$106,"Unconfirmed")+COUNTIFS('2018'!$L$24:$L$106,A62&amp;" / "&amp;B62,'2018'!$B$24:$B$106,"Unconfirmed")+COUNTIFS('2019'!$L$24:$L$106,A62&amp;" / "&amp;B62,'2019'!$B$24:$B$106,"Unconfirmed")+COUNTIFS('2020'!$L$24:$L$106,A62&amp;" / "&amp;B62,'2020'!$B$24:$B$106,"Unconfirmed")+COUNTIFS('2021'!$L$24:$L$112,A62&amp;" / "&amp;B62,'2021'!$B$24:$B$112,"Unconfirmed")+COUNTIFS('2022'!$L$24:$L$112,A62&amp;" / "&amp;B62,'2022'!$B$24:$B$112,"Unconfirmed")+COUNTIFS('2023'!$L$24:$L$112,A62&amp;" / "&amp;B62,'2023'!$B$24:$B$112,"Unconfirmed")+COUNTIFS('2024'!$L$24:$L$112,A62&amp;" / "&amp;B62,'2024'!$B$24:$B$112,"Unconfirmed")+COUNTIFS('2025'!$L$24:$L$112,A62&amp;" / "&amp;B62,'2025'!$B$24:$B$112,"Unconfirmed")</x:f>
        <x:v>0</x:v>
      </x:c>
    </x:row>
    <x:row r="63" ht="22" customHeight="1">
      <x:c r="A63" s="2" t="str">
        <x:v>Chas</x:v>
      </x:c>
      <x:c r="B63" s="2" t="str">
        <x:v>Troy</x:v>
      </x:c>
      <x:c r="C63" s="2" t="n">
        <x:f>COUNTIFS('2015'!$L$24:$L$96,A63&amp;" / "&amp;B63)+COUNTIFS('2016'!$L$24:$L$96,A63&amp;" / "&amp;B63)+COUNTIFS('2017'!$L$24:$L$106,A63&amp;" / "&amp;B63)+COUNTIFS('2018'!$L$24:$L$106,A63&amp;" / "&amp;B63)+COUNTIFS('2019'!$L$24:$L$106,A63&amp;" / "&amp;B63)+COUNTIFS('2020'!$L$24:$L$106,A63&amp;" / "&amp;B63)+COUNTIFS('2021'!$L$24:$L$112,A63&amp;" / "&amp;B63)+COUNTIFS('2022'!$L$24:$L$112,A63&amp;" / "&amp;B63)+COUNTIFS('2023'!$L$24:$L$112,A63&amp;" / "&amp;B63)+COUNTIFS('2024'!$L$24:$L$112,A63&amp;" / "&amp;B63)+COUNTIFS('2025'!$L$24:$L$112,A63&amp;" / "&amp;B63)</x:f>
        <x:v>1</x:v>
      </x:c>
      <x:c r="D63" s="2" t="n">
        <x:f>COUNTIFS('2015'!$L$24:$L$96,A63&amp;" / "&amp;B63,'2015'!$I$24:$I$96,A63)+COUNTIFS('2016'!$L$24:$L$96,A63&amp;" / "&amp;B63,'2016'!$I$24:$I$96,A63)+COUNTIFS('2017'!$L$24:$L$106,A63&amp;" / "&amp;B63,'2017'!$I$24:$I$106,A63)+COUNTIFS('2018'!$L$24:$L$106,A63&amp;" / "&amp;B63,'2018'!$I$24:$I$106,A63)+COUNTIFS('2019'!$L$24:$L$106,A63&amp;" / "&amp;B63,'2019'!$I$24:$I$106,A63)+COUNTIFS('2020'!$L$24:$L$106,A63&amp;" / "&amp;B63,'2020'!$I$24:$I$106,A63)+COUNTIFS('2021'!$L$24:$L$112,A63&amp;" / "&amp;B63,'2021'!$I$24:$I$112,A63)+COUNTIFS('2022'!$L$24:$L$112,A63&amp;" / "&amp;B63,'2022'!$I$24:$I$112,A63)+COUNTIFS('2023'!$L$24:$L$112,A63&amp;" / "&amp;B63,'2023'!$I$24:$I$112,A63)+COUNTIFS('2024'!$L$24:$L$112,A63&amp;" / "&amp;B63,'2024'!$I$24:$I$112,A63)+COUNTIFS('2025'!$L$24:$L$112,A63&amp;" / "&amp;B63,'2025'!$I$24:$I$112,A63)</x:f>
        <x:v>0</x:v>
      </x:c>
      <x:c r="E63" s="2" t="n">
        <x:f>COUNTIFS('2015'!$L$24:$L$96,A63&amp;" / "&amp;B63,'2015'!$I$24:$I$96,B63)+COUNTIFS('2016'!$L$24:$L$96,A63&amp;" / "&amp;B63,'2016'!$I$24:$I$96,B63)+COUNTIFS('2017'!$L$24:$L$106,A63&amp;" / "&amp;B63,'2017'!$I$24:$I$106,B63)+COUNTIFS('2018'!$L$24:$L$106,A63&amp;" / "&amp;B63,'2018'!$I$24:$I$106,B63)+COUNTIFS('2019'!$L$24:$L$106,A63&amp;" / "&amp;B63,'2019'!$I$24:$I$106,B63)+COUNTIFS('2020'!$L$24:$L$106,A63&amp;" / "&amp;B63,'2020'!$I$24:$I$106,B63)+COUNTIFS('2021'!$L$24:$L$112,A63&amp;" / "&amp;B63,'2021'!$I$24:$I$112,B63)+COUNTIFS('2022'!$L$24:$L$112,A63&amp;" / "&amp;B63,'2022'!$I$24:$I$112,B63)+COUNTIFS('2023'!$L$24:$L$112,A63&amp;" / "&amp;B63,'2023'!$I$24:$I$112,B63)+COUNTIFS('2024'!$L$24:$L$112,A63&amp;" / "&amp;B63,'2024'!$I$24:$I$112,B63)+COUNTIFS('2025'!$L$24:$L$112,A63&amp;" / "&amp;B63,'2025'!$I$24:$I$112,B63)</x:f>
        <x:v>1</x:v>
      </x:c>
      <x:c r="F63" s="2" t="n">
        <x:f>COUNTIFS('2015'!$L$24:$L$96,A63&amp;" / "&amp;B63,'2015'!$K$24:$K$96,1)+COUNTIFS('2016'!$L$24:$L$96,A63&amp;" / "&amp;B63,'2016'!$K$24:$K$96,1)+COUNTIFS('2017'!$L$24:$L$106,A63&amp;" / "&amp;B63,'2017'!$K$24:$K$106,1)+COUNTIFS('2018'!$L$24:$L$106,A63&amp;" / "&amp;B63,'2018'!$K$24:$K$106,1)+COUNTIFS('2019'!$L$24:$L$106,A63&amp;" / "&amp;B63,'2019'!$K$24:$K$106,1)+COUNTIFS('2020'!$L$24:$L$106,A63&amp;" / "&amp;B63,'2020'!$K$24:$K$106,1)+COUNTIFS('2021'!$L$24:$L$112,A63&amp;" / "&amp;B63,'2021'!$K$24:$K$112,1)+COUNTIFS('2022'!$L$24:$L$112,A63&amp;" / "&amp;B63,'2022'!$K$24:$K$112,1)+COUNTIFS('2023'!$L$24:$L$112,A63&amp;" / "&amp;B63,'2023'!$K$24:$K$112,1)+COUNTIFS('2024'!$L$24:$L$112,A63&amp;" / "&amp;B63,'2024'!$K$24:$K$112,1)+COUNTIFS('2025'!$L$24:$L$112,A63&amp;" / "&amp;B63,'2025'!$K$24:$K$112,1)</x:f>
        <x:v>0</x:v>
      </x:c>
      <x:c r="G63" s="25" t="n">
        <x:f>SUMIFS('2015'!$E$24:$E$96,'2015'!$L$24:$L$96,A63&amp;" / "&amp;B63,'2015'!$C$24:$C$96,A63)+SUMIFS('2015'!$H$24:$H$96,'2015'!$L$24:$L$96,A63&amp;" / "&amp;B63,'2015'!$F$24:$F$96,A63)+SUMIFS('2016'!$E$24:$E$96,'2016'!$L$24:$L$96,A63&amp;" / "&amp;B63,'2016'!$C$24:$C$96,A63)+SUMIFS('2016'!$H$24:$H$96,'2016'!$L$24:$L$96,A63&amp;" / "&amp;B63,'2016'!$F$24:$F$96,A63)+SUMIFS('2017'!$E$24:$E$106,'2017'!$L$24:$L$106,A63&amp;" / "&amp;B63,'2017'!$C$24:$C$106,A63)+SUMIFS('2017'!$H$24:$H$106,'2017'!$L$24:$L$106,A63&amp;" / "&amp;B63,'2017'!$F$24:$F$106,A63)+SUMIFS('2018'!$E$24:$E$106,'2018'!$L$24:$L$106,A63&amp;" / "&amp;B63,'2018'!$C$24:$C$106,A63)+SUMIFS('2018'!$H$24:$H$106,'2018'!$L$24:$L$106,A63&amp;" / "&amp;B63,'2018'!$F$24:$F$106,A63)+SUMIFS('2019'!$E$24:$E$106,'2019'!$L$24:$L$106,A63&amp;" / "&amp;B63,'2019'!$C$24:$C$106,A63)+SUMIFS('2019'!$H$24:$H$106,'2019'!$L$24:$L$106,A63&amp;" / "&amp;B63,'2019'!$F$24:$F$106,A63)+SUMIFS('2020'!$E$24:$E$106,'2020'!$L$24:$L$106,A63&amp;" / "&amp;B63,'2020'!$C$24:$C$106,A63)+SUMIFS('2020'!$H$24:$H$106,'2020'!$L$24:$L$106,A63&amp;" / "&amp;B63,'2020'!$F$24:$F$106,A63)+SUMIFS('2021'!$E$24:$E$112,'2021'!$L$24:$L$112,A63&amp;" / "&amp;B63,'2021'!$C$24:$C$112,A63)+SUMIFS('2021'!$H$24:$H$112,'2021'!$L$24:$L$112,A63&amp;" / "&amp;B63,'2021'!$F$24:$F$112,A63)+SUMIFS('2022'!$E$24:$E$112,'2022'!$L$24:$L$112,A63&amp;" / "&amp;B63,'2022'!$C$24:$C$112,A63)+SUMIFS('2022'!$H$24:$H$112,'2022'!$L$24:$L$112,A63&amp;" / "&amp;B63,'2022'!$F$24:$F$112,A63)+SUMIFS('2023'!$E$24:$E$112,'2023'!$L$24:$L$112,A63&amp;" / "&amp;B63,'2023'!$C$24:$C$112,A63)+SUMIFS('2023'!$H$24:$H$112,'2023'!$L$24:$L$112,A63&amp;" / "&amp;B63,'2023'!$F$24:$F$112,A63)+SUMIFS('2024'!$E$24:$E$112,'2024'!$L$24:$L$112,A63&amp;" / "&amp;B63,'2024'!$C$24:$C$112,A63)+SUMIFS('2024'!$H$24:$H$112,'2024'!$L$24:$L$112,A63&amp;" / "&amp;B63,'2024'!$F$24:$F$112,A63)+SUMIFS('2025'!$E$24:$E$112,'2025'!$L$24:$L$112,A63&amp;" / "&amp;B63,'2025'!$C$24:$C$112,A63)+SUMIFS('2025'!$H$24:$H$112,'2025'!$L$24:$L$112,A63&amp;" / "&amp;B63,'2025'!$F$24:$F$112,A63)</x:f>
        <x:v>63</x:v>
      </x:c>
      <x:c r="H63" s="25" t="n">
        <x:f>SUMIFS('2015'!$E$24:$E$96,'2015'!$L$24:$L$96,A63&amp;" / "&amp;B63,'2015'!$C$24:$C$96,B63)+SUMIFS('2015'!$H$24:$H$96,'2015'!$L$24:$L$96,A63&amp;" / "&amp;B63,'2015'!$F$24:$F$96,B63)+SUMIFS('2016'!$E$24:$E$96,'2016'!$L$24:$L$96,A63&amp;" / "&amp;B63,'2016'!$C$24:$C$96,B63)+SUMIFS('2016'!$H$24:$H$96,'2016'!$L$24:$L$96,A63&amp;" / "&amp;B63,'2016'!$F$24:$F$96,B63)+SUMIFS('2017'!$E$24:$E$106,'2017'!$L$24:$L$106,A63&amp;" / "&amp;B63,'2017'!$C$24:$C$106,B63)+SUMIFS('2017'!$H$24:$H$106,'2017'!$L$24:$L$106,A63&amp;" / "&amp;B63,'2017'!$F$24:$F$106,B63)+SUMIFS('2018'!$E$24:$E$106,'2018'!$L$24:$L$106,A63&amp;" / "&amp;B63,'2018'!$C$24:$C$106,B63)+SUMIFS('2018'!$H$24:$H$106,'2018'!$L$24:$L$106,A63&amp;" / "&amp;B63,'2018'!$F$24:$F$106,B63)+SUMIFS('2019'!$E$24:$E$106,'2019'!$L$24:$L$106,A63&amp;" / "&amp;B63,'2019'!$C$24:$C$106,B63)+SUMIFS('2019'!$H$24:$H$106,'2019'!$L$24:$L$106,A63&amp;" / "&amp;B63,'2019'!$F$24:$F$106,B63)+SUMIFS('2020'!$E$24:$E$106,'2020'!$L$24:$L$106,A63&amp;" / "&amp;B63,'2020'!$C$24:$C$106,B63)+SUMIFS('2020'!$H$24:$H$106,'2020'!$L$24:$L$106,A63&amp;" / "&amp;B63,'2020'!$F$24:$F$106,B63)+SUMIFS('2021'!$E$24:$E$112,'2021'!$L$24:$L$112,A63&amp;" / "&amp;B63,'2021'!$C$24:$C$112,B63)+SUMIFS('2021'!$H$24:$H$112,'2021'!$L$24:$L$112,A63&amp;" / "&amp;B63,'2021'!$F$24:$F$112,B63)+SUMIFS('2022'!$E$24:$E$112,'2022'!$L$24:$L$112,A63&amp;" / "&amp;B63,'2022'!$C$24:$C$112,B63)+SUMIFS('2022'!$H$24:$H$112,'2022'!$L$24:$L$112,A63&amp;" / "&amp;B63,'2022'!$F$24:$F$112,B63)+SUMIFS('2023'!$E$24:$E$112,'2023'!$L$24:$L$112,A63&amp;" / "&amp;B63,'2023'!$C$24:$C$112,B63)+SUMIFS('2023'!$H$24:$H$112,'2023'!$L$24:$L$112,A63&amp;" / "&amp;B63,'2023'!$F$24:$F$112,B63)+SUMIFS('2024'!$E$24:$E$112,'2024'!$L$24:$L$112,A63&amp;" / "&amp;B63,'2024'!$C$24:$C$112,B63)+SUMIFS('2024'!$H$24:$H$112,'2024'!$L$24:$L$112,A63&amp;" / "&amp;B63,'2024'!$F$24:$F$112,B63)+SUMIFS('2025'!$E$24:$E$112,'2025'!$L$24:$L$112,A63&amp;" / "&amp;B63,'2025'!$C$24:$C$112,B63)+SUMIFS('2025'!$H$24:$H$112,'2025'!$L$24:$L$112,A63&amp;" / "&amp;B63,'2025'!$F$24:$F$112,B63)</x:f>
        <x:v>114</x:v>
      </x:c>
      <x:c r="I63" s="11" t="n">
        <x:f>IF(C63=0,0,(D63+0.5*F63)/C63)</x:f>
        <x:v>0</x:v>
      </x:c>
      <x:c r="J63" s="2" t="n">
        <x:f>COUNTIFS('2015'!$L$24:$L$96,A63&amp;" / "&amp;B63,'2015'!$B$24:$B$96,"Regular")+COUNTIFS('2016'!$L$24:$L$96,A63&amp;" / "&amp;B63,'2016'!$B$24:$B$96,"Regular")+COUNTIFS('2017'!$L$24:$L$106,A63&amp;" / "&amp;B63,'2017'!$B$24:$B$106,"Regular")+COUNTIFS('2018'!$L$24:$L$106,A63&amp;" / "&amp;B63,'2018'!$B$24:$B$106,"Regular")+COUNTIFS('2019'!$L$24:$L$106,A63&amp;" / "&amp;B63,'2019'!$B$24:$B$106,"Regular")+COUNTIFS('2020'!$L$24:$L$106,A63&amp;" / "&amp;B63,'2020'!$B$24:$B$106,"Regular")+COUNTIFS('2021'!$L$24:$L$112,A63&amp;" / "&amp;B63,'2021'!$B$24:$B$112,"Regular")+COUNTIFS('2022'!$L$24:$L$112,A63&amp;" / "&amp;B63,'2022'!$B$24:$B$112,"Regular")+COUNTIFS('2023'!$L$24:$L$112,A63&amp;" / "&amp;B63,'2023'!$B$24:$B$112,"Regular")+COUNTIFS('2024'!$L$24:$L$112,A63&amp;" / "&amp;B63,'2024'!$B$24:$B$112,"Regular")+COUNTIFS('2025'!$L$24:$L$112,A63&amp;" / "&amp;B63,'2025'!$B$24:$B$112,"Regular")</x:f>
        <x:v>1</x:v>
      </x:c>
      <x:c r="K63" s="2" t="n">
        <x:f>COUNTIFS('2015'!$L$24:$L$96,A63&amp;" / "&amp;B63,'2015'!$B$24:$B$96,"Playoffs")+COUNTIFS('2016'!$L$24:$L$96,A63&amp;" / "&amp;B63,'2016'!$B$24:$B$96,"Playoffs")+COUNTIFS('2017'!$L$24:$L$106,A63&amp;" / "&amp;B63,'2017'!$B$24:$B$106,"Playoffs")+COUNTIFS('2018'!$L$24:$L$106,A63&amp;" / "&amp;B63,'2018'!$B$24:$B$106,"Playoffs")+COUNTIFS('2019'!$L$24:$L$106,A63&amp;" / "&amp;B63,'2019'!$B$24:$B$106,"Playoffs")+COUNTIFS('2020'!$L$24:$L$106,A63&amp;" / "&amp;B63,'2020'!$B$24:$B$106,"Playoffs")+COUNTIFS('2021'!$L$24:$L$112,A63&amp;" / "&amp;B63,'2021'!$B$24:$B$112,"Playoffs")+COUNTIFS('2022'!$L$24:$L$112,A63&amp;" / "&amp;B63,'2022'!$B$24:$B$112,"Playoffs")+COUNTIFS('2023'!$L$24:$L$112,A63&amp;" / "&amp;B63,'2023'!$B$24:$B$112,"Playoffs")+COUNTIFS('2024'!$L$24:$L$112,A63&amp;" / "&amp;B63,'2024'!$B$24:$B$112,"Playoffs")+COUNTIFS('2025'!$L$24:$L$112,A63&amp;" / "&amp;B63,'2025'!$B$24:$B$112,"Playoffs")</x:f>
        <x:v>0</x:v>
      </x:c>
      <x:c r="L63" s="2" t="n">
        <x:f>COUNTIFS('2015'!$L$24:$L$96,A63&amp;" / "&amp;B63,'2015'!$B$24:$B$96,"Unconfirmed")+COUNTIFS('2016'!$L$24:$L$96,A63&amp;" / "&amp;B63,'2016'!$B$24:$B$96,"Unconfirmed")+COUNTIFS('2017'!$L$24:$L$106,A63&amp;" / "&amp;B63,'2017'!$B$24:$B$106,"Unconfirmed")+COUNTIFS('2018'!$L$24:$L$106,A63&amp;" / "&amp;B63,'2018'!$B$24:$B$106,"Unconfirmed")+COUNTIFS('2019'!$L$24:$L$106,A63&amp;" / "&amp;B63,'2019'!$B$24:$B$106,"Unconfirmed")+COUNTIFS('2020'!$L$24:$L$106,A63&amp;" / "&amp;B63,'2020'!$B$24:$B$106,"Unconfirmed")+COUNTIFS('2021'!$L$24:$L$112,A63&amp;" / "&amp;B63,'2021'!$B$24:$B$112,"Unconfirmed")+COUNTIFS('2022'!$L$24:$L$112,A63&amp;" / "&amp;B63,'2022'!$B$24:$B$112,"Unconfirmed")+COUNTIFS('2023'!$L$24:$L$112,A63&amp;" / "&amp;B63,'2023'!$B$24:$B$112,"Unconfirmed")+COUNTIFS('2024'!$L$24:$L$112,A63&amp;" / "&amp;B63,'2024'!$B$24:$B$112,"Unconfirmed")+COUNTIFS('2025'!$L$24:$L$112,A63&amp;" / "&amp;B63,'2025'!$B$24:$B$112,"Unconfirmed")</x:f>
        <x:v>0</x:v>
      </x:c>
    </x:row>
    <x:row r="64" ht="22" customHeight="1">
      <x:c r="A64" s="2" t="str">
        <x:v>Craig</x:v>
      </x:c>
      <x:c r="B64" s="2" t="str">
        <x:v>Dave</x:v>
      </x:c>
      <x:c r="C64" s="2" t="n">
        <x:f>COUNTIFS('2015'!$L$24:$L$96,A64&amp;" / "&amp;B64)+COUNTIFS('2016'!$L$24:$L$96,A64&amp;" / "&amp;B64)+COUNTIFS('2017'!$L$24:$L$106,A64&amp;" / "&amp;B64)+COUNTIFS('2018'!$L$24:$L$106,A64&amp;" / "&amp;B64)+COUNTIFS('2019'!$L$24:$L$106,A64&amp;" / "&amp;B64)+COUNTIFS('2020'!$L$24:$L$106,A64&amp;" / "&amp;B64)+COUNTIFS('2021'!$L$24:$L$112,A64&amp;" / "&amp;B64)+COUNTIFS('2022'!$L$24:$L$112,A64&amp;" / "&amp;B64)+COUNTIFS('2023'!$L$24:$L$112,A64&amp;" / "&amp;B64)+COUNTIFS('2024'!$L$24:$L$112,A64&amp;" / "&amp;B64)+COUNTIFS('2025'!$L$24:$L$112,A64&amp;" / "&amp;B64)</x:f>
        <x:v>11</x:v>
      </x:c>
      <x:c r="D64" s="2" t="n">
        <x:f>COUNTIFS('2015'!$L$24:$L$96,A64&amp;" / "&amp;B64,'2015'!$I$24:$I$96,A64)+COUNTIFS('2016'!$L$24:$L$96,A64&amp;" / "&amp;B64,'2016'!$I$24:$I$96,A64)+COUNTIFS('2017'!$L$24:$L$106,A64&amp;" / "&amp;B64,'2017'!$I$24:$I$106,A64)+COUNTIFS('2018'!$L$24:$L$106,A64&amp;" / "&amp;B64,'2018'!$I$24:$I$106,A64)+COUNTIFS('2019'!$L$24:$L$106,A64&amp;" / "&amp;B64,'2019'!$I$24:$I$106,A64)+COUNTIFS('2020'!$L$24:$L$106,A64&amp;" / "&amp;B64,'2020'!$I$24:$I$106,A64)+COUNTIFS('2021'!$L$24:$L$112,A64&amp;" / "&amp;B64,'2021'!$I$24:$I$112,A64)+COUNTIFS('2022'!$L$24:$L$112,A64&amp;" / "&amp;B64,'2022'!$I$24:$I$112,A64)+COUNTIFS('2023'!$L$24:$L$112,A64&amp;" / "&amp;B64,'2023'!$I$24:$I$112,A64)+COUNTIFS('2024'!$L$24:$L$112,A64&amp;" / "&amp;B64,'2024'!$I$24:$I$112,A64)+COUNTIFS('2025'!$L$24:$L$112,A64&amp;" / "&amp;B64,'2025'!$I$24:$I$112,A64)</x:f>
        <x:v>7</x:v>
      </x:c>
      <x:c r="E64" s="2" t="n">
        <x:f>COUNTIFS('2015'!$L$24:$L$96,A64&amp;" / "&amp;B64,'2015'!$I$24:$I$96,B64)+COUNTIFS('2016'!$L$24:$L$96,A64&amp;" / "&amp;B64,'2016'!$I$24:$I$96,B64)+COUNTIFS('2017'!$L$24:$L$106,A64&amp;" / "&amp;B64,'2017'!$I$24:$I$106,B64)+COUNTIFS('2018'!$L$24:$L$106,A64&amp;" / "&amp;B64,'2018'!$I$24:$I$106,B64)+COUNTIFS('2019'!$L$24:$L$106,A64&amp;" / "&amp;B64,'2019'!$I$24:$I$106,B64)+COUNTIFS('2020'!$L$24:$L$106,A64&amp;" / "&amp;B64,'2020'!$I$24:$I$106,B64)+COUNTIFS('2021'!$L$24:$L$112,A64&amp;" / "&amp;B64,'2021'!$I$24:$I$112,B64)+COUNTIFS('2022'!$L$24:$L$112,A64&amp;" / "&amp;B64,'2022'!$I$24:$I$112,B64)+COUNTIFS('2023'!$L$24:$L$112,A64&amp;" / "&amp;B64,'2023'!$I$24:$I$112,B64)+COUNTIFS('2024'!$L$24:$L$112,A64&amp;" / "&amp;B64,'2024'!$I$24:$I$112,B64)+COUNTIFS('2025'!$L$24:$L$112,A64&amp;" / "&amp;B64,'2025'!$I$24:$I$112,B64)</x:f>
        <x:v>4</x:v>
      </x:c>
      <x:c r="F64" s="2" t="n">
        <x:f>COUNTIFS('2015'!$L$24:$L$96,A64&amp;" / "&amp;B64,'2015'!$K$24:$K$96,1)+COUNTIFS('2016'!$L$24:$L$96,A64&amp;" / "&amp;B64,'2016'!$K$24:$K$96,1)+COUNTIFS('2017'!$L$24:$L$106,A64&amp;" / "&amp;B64,'2017'!$K$24:$K$106,1)+COUNTIFS('2018'!$L$24:$L$106,A64&amp;" / "&amp;B64,'2018'!$K$24:$K$106,1)+COUNTIFS('2019'!$L$24:$L$106,A64&amp;" / "&amp;B64,'2019'!$K$24:$K$106,1)+COUNTIFS('2020'!$L$24:$L$106,A64&amp;" / "&amp;B64,'2020'!$K$24:$K$106,1)+COUNTIFS('2021'!$L$24:$L$112,A64&amp;" / "&amp;B64,'2021'!$K$24:$K$112,1)+COUNTIFS('2022'!$L$24:$L$112,A64&amp;" / "&amp;B64,'2022'!$K$24:$K$112,1)+COUNTIFS('2023'!$L$24:$L$112,A64&amp;" / "&amp;B64,'2023'!$K$24:$K$112,1)+COUNTIFS('2024'!$L$24:$L$112,A64&amp;" / "&amp;B64,'2024'!$K$24:$K$112,1)+COUNTIFS('2025'!$L$24:$L$112,A64&amp;" / "&amp;B64,'2025'!$K$24:$K$112,1)</x:f>
        <x:v>0</x:v>
      </x:c>
      <x:c r="G64" s="25" t="n">
        <x:f>SUMIFS('2015'!$E$24:$E$96,'2015'!$L$24:$L$96,A64&amp;" / "&amp;B64,'2015'!$C$24:$C$96,A64)+SUMIFS('2015'!$H$24:$H$96,'2015'!$L$24:$L$96,A64&amp;" / "&amp;B64,'2015'!$F$24:$F$96,A64)+SUMIFS('2016'!$E$24:$E$96,'2016'!$L$24:$L$96,A64&amp;" / "&amp;B64,'2016'!$C$24:$C$96,A64)+SUMIFS('2016'!$H$24:$H$96,'2016'!$L$24:$L$96,A64&amp;" / "&amp;B64,'2016'!$F$24:$F$96,A64)+SUMIFS('2017'!$E$24:$E$106,'2017'!$L$24:$L$106,A64&amp;" / "&amp;B64,'2017'!$C$24:$C$106,A64)+SUMIFS('2017'!$H$24:$H$106,'2017'!$L$24:$L$106,A64&amp;" / "&amp;B64,'2017'!$F$24:$F$106,A64)+SUMIFS('2018'!$E$24:$E$106,'2018'!$L$24:$L$106,A64&amp;" / "&amp;B64,'2018'!$C$24:$C$106,A64)+SUMIFS('2018'!$H$24:$H$106,'2018'!$L$24:$L$106,A64&amp;" / "&amp;B64,'2018'!$F$24:$F$106,A64)+SUMIFS('2019'!$E$24:$E$106,'2019'!$L$24:$L$106,A64&amp;" / "&amp;B64,'2019'!$C$24:$C$106,A64)+SUMIFS('2019'!$H$24:$H$106,'2019'!$L$24:$L$106,A64&amp;" / "&amp;B64,'2019'!$F$24:$F$106,A64)+SUMIFS('2020'!$E$24:$E$106,'2020'!$L$24:$L$106,A64&amp;" / "&amp;B64,'2020'!$C$24:$C$106,A64)+SUMIFS('2020'!$H$24:$H$106,'2020'!$L$24:$L$106,A64&amp;" / "&amp;B64,'2020'!$F$24:$F$106,A64)+SUMIFS('2021'!$E$24:$E$112,'2021'!$L$24:$L$112,A64&amp;" / "&amp;B64,'2021'!$C$24:$C$112,A64)+SUMIFS('2021'!$H$24:$H$112,'2021'!$L$24:$L$112,A64&amp;" / "&amp;B64,'2021'!$F$24:$F$112,A64)+SUMIFS('2022'!$E$24:$E$112,'2022'!$L$24:$L$112,A64&amp;" / "&amp;B64,'2022'!$C$24:$C$112,A64)+SUMIFS('2022'!$H$24:$H$112,'2022'!$L$24:$L$112,A64&amp;" / "&amp;B64,'2022'!$F$24:$F$112,A64)+SUMIFS('2023'!$E$24:$E$112,'2023'!$L$24:$L$112,A64&amp;" / "&amp;B64,'2023'!$C$24:$C$112,A64)+SUMIFS('2023'!$H$24:$H$112,'2023'!$L$24:$L$112,A64&amp;" / "&amp;B64,'2023'!$F$24:$F$112,A64)+SUMIFS('2024'!$E$24:$E$112,'2024'!$L$24:$L$112,A64&amp;" / "&amp;B64,'2024'!$C$24:$C$112,A64)+SUMIFS('2024'!$H$24:$H$112,'2024'!$L$24:$L$112,A64&amp;" / "&amp;B64,'2024'!$F$24:$F$112,A64)+SUMIFS('2025'!$E$24:$E$112,'2025'!$L$24:$L$112,A64&amp;" / "&amp;B64,'2025'!$C$24:$C$112,A64)+SUMIFS('2025'!$H$24:$H$112,'2025'!$L$24:$L$112,A64&amp;" / "&amp;B64,'2025'!$F$24:$F$112,A64)</x:f>
        <x:v>1353.6</x:v>
      </x:c>
      <x:c r="H64" s="25" t="n">
        <x:f>SUMIFS('2015'!$E$24:$E$96,'2015'!$L$24:$L$96,A64&amp;" / "&amp;B64,'2015'!$C$24:$C$96,B64)+SUMIFS('2015'!$H$24:$H$96,'2015'!$L$24:$L$96,A64&amp;" / "&amp;B64,'2015'!$F$24:$F$96,B64)+SUMIFS('2016'!$E$24:$E$96,'2016'!$L$24:$L$96,A64&amp;" / "&amp;B64,'2016'!$C$24:$C$96,B64)+SUMIFS('2016'!$H$24:$H$96,'2016'!$L$24:$L$96,A64&amp;" / "&amp;B64,'2016'!$F$24:$F$96,B64)+SUMIFS('2017'!$E$24:$E$106,'2017'!$L$24:$L$106,A64&amp;" / "&amp;B64,'2017'!$C$24:$C$106,B64)+SUMIFS('2017'!$H$24:$H$106,'2017'!$L$24:$L$106,A64&amp;" / "&amp;B64,'2017'!$F$24:$F$106,B64)+SUMIFS('2018'!$E$24:$E$106,'2018'!$L$24:$L$106,A64&amp;" / "&amp;B64,'2018'!$C$24:$C$106,B64)+SUMIFS('2018'!$H$24:$H$106,'2018'!$L$24:$L$106,A64&amp;" / "&amp;B64,'2018'!$F$24:$F$106,B64)+SUMIFS('2019'!$E$24:$E$106,'2019'!$L$24:$L$106,A64&amp;" / "&amp;B64,'2019'!$C$24:$C$106,B64)+SUMIFS('2019'!$H$24:$H$106,'2019'!$L$24:$L$106,A64&amp;" / "&amp;B64,'2019'!$F$24:$F$106,B64)+SUMIFS('2020'!$E$24:$E$106,'2020'!$L$24:$L$106,A64&amp;" / "&amp;B64,'2020'!$C$24:$C$106,B64)+SUMIFS('2020'!$H$24:$H$106,'2020'!$L$24:$L$106,A64&amp;" / "&amp;B64,'2020'!$F$24:$F$106,B64)+SUMIFS('2021'!$E$24:$E$112,'2021'!$L$24:$L$112,A64&amp;" / "&amp;B64,'2021'!$C$24:$C$112,B64)+SUMIFS('2021'!$H$24:$H$112,'2021'!$L$24:$L$112,A64&amp;" / "&amp;B64,'2021'!$F$24:$F$112,B64)+SUMIFS('2022'!$E$24:$E$112,'2022'!$L$24:$L$112,A64&amp;" / "&amp;B64,'2022'!$C$24:$C$112,B64)+SUMIFS('2022'!$H$24:$H$112,'2022'!$L$24:$L$112,A64&amp;" / "&amp;B64,'2022'!$F$24:$F$112,B64)+SUMIFS('2023'!$E$24:$E$112,'2023'!$L$24:$L$112,A64&amp;" / "&amp;B64,'2023'!$C$24:$C$112,B64)+SUMIFS('2023'!$H$24:$H$112,'2023'!$L$24:$L$112,A64&amp;" / "&amp;B64,'2023'!$F$24:$F$112,B64)+SUMIFS('2024'!$E$24:$E$112,'2024'!$L$24:$L$112,A64&amp;" / "&amp;B64,'2024'!$C$24:$C$112,B64)+SUMIFS('2024'!$H$24:$H$112,'2024'!$L$24:$L$112,A64&amp;" / "&amp;B64,'2024'!$F$24:$F$112,B64)+SUMIFS('2025'!$E$24:$E$112,'2025'!$L$24:$L$112,A64&amp;" / "&amp;B64,'2025'!$C$24:$C$112,B64)+SUMIFS('2025'!$H$24:$H$112,'2025'!$L$24:$L$112,A64&amp;" / "&amp;B64,'2025'!$F$24:$F$112,B64)</x:f>
        <x:v>1277.9</x:v>
      </x:c>
      <x:c r="I64" s="11" t="n">
        <x:f>IF(C64=0,0,(D64+0.5*F64)/C64)</x:f>
        <x:v>0.6363636363636364</x:v>
      </x:c>
      <x:c r="J64" s="2" t="n">
        <x:f>COUNTIFS('2015'!$L$24:$L$96,A64&amp;" / "&amp;B64,'2015'!$B$24:$B$96,"Regular")+COUNTIFS('2016'!$L$24:$L$96,A64&amp;" / "&amp;B64,'2016'!$B$24:$B$96,"Regular")+COUNTIFS('2017'!$L$24:$L$106,A64&amp;" / "&amp;B64,'2017'!$B$24:$B$106,"Regular")+COUNTIFS('2018'!$L$24:$L$106,A64&amp;" / "&amp;B64,'2018'!$B$24:$B$106,"Regular")+COUNTIFS('2019'!$L$24:$L$106,A64&amp;" / "&amp;B64,'2019'!$B$24:$B$106,"Regular")+COUNTIFS('2020'!$L$24:$L$106,A64&amp;" / "&amp;B64,'2020'!$B$24:$B$106,"Regular")+COUNTIFS('2021'!$L$24:$L$112,A64&amp;" / "&amp;B64,'2021'!$B$24:$B$112,"Regular")+COUNTIFS('2022'!$L$24:$L$112,A64&amp;" / "&amp;B64,'2022'!$B$24:$B$112,"Regular")+COUNTIFS('2023'!$L$24:$L$112,A64&amp;" / "&amp;B64,'2023'!$B$24:$B$112,"Regular")+COUNTIFS('2024'!$L$24:$L$112,A64&amp;" / "&amp;B64,'2024'!$B$24:$B$112,"Regular")+COUNTIFS('2025'!$L$24:$L$112,A64&amp;" / "&amp;B64,'2025'!$B$24:$B$112,"Regular")</x:f>
        <x:v>11</x:v>
      </x:c>
      <x:c r="K64" s="2" t="n">
        <x:f>COUNTIFS('2015'!$L$24:$L$96,A64&amp;" / "&amp;B64,'2015'!$B$24:$B$96,"Playoffs")+COUNTIFS('2016'!$L$24:$L$96,A64&amp;" / "&amp;B64,'2016'!$B$24:$B$96,"Playoffs")+COUNTIFS('2017'!$L$24:$L$106,A64&amp;" / "&amp;B64,'2017'!$B$24:$B$106,"Playoffs")+COUNTIFS('2018'!$L$24:$L$106,A64&amp;" / "&amp;B64,'2018'!$B$24:$B$106,"Playoffs")+COUNTIFS('2019'!$L$24:$L$106,A64&amp;" / "&amp;B64,'2019'!$B$24:$B$106,"Playoffs")+COUNTIFS('2020'!$L$24:$L$106,A64&amp;" / "&amp;B64,'2020'!$B$24:$B$106,"Playoffs")+COUNTIFS('2021'!$L$24:$L$112,A64&amp;" / "&amp;B64,'2021'!$B$24:$B$112,"Playoffs")+COUNTIFS('2022'!$L$24:$L$112,A64&amp;" / "&amp;B64,'2022'!$B$24:$B$112,"Playoffs")+COUNTIFS('2023'!$L$24:$L$112,A64&amp;" / "&amp;B64,'2023'!$B$24:$B$112,"Playoffs")+COUNTIFS('2024'!$L$24:$L$112,A64&amp;" / "&amp;B64,'2024'!$B$24:$B$112,"Playoffs")+COUNTIFS('2025'!$L$24:$L$112,A64&amp;" / "&amp;B64,'2025'!$B$24:$B$112,"Playoffs")</x:f>
        <x:v>0</x:v>
      </x:c>
      <x:c r="L64" s="2" t="n">
        <x:f>COUNTIFS('2015'!$L$24:$L$96,A64&amp;" / "&amp;B64,'2015'!$B$24:$B$96,"Unconfirmed")+COUNTIFS('2016'!$L$24:$L$96,A64&amp;" / "&amp;B64,'2016'!$B$24:$B$96,"Unconfirmed")+COUNTIFS('2017'!$L$24:$L$106,A64&amp;" / "&amp;B64,'2017'!$B$24:$B$106,"Unconfirmed")+COUNTIFS('2018'!$L$24:$L$106,A64&amp;" / "&amp;B64,'2018'!$B$24:$B$106,"Unconfirmed")+COUNTIFS('2019'!$L$24:$L$106,A64&amp;" / "&amp;B64,'2019'!$B$24:$B$106,"Unconfirmed")+COUNTIFS('2020'!$L$24:$L$106,A64&amp;" / "&amp;B64,'2020'!$B$24:$B$106,"Unconfirmed")+COUNTIFS('2021'!$L$24:$L$112,A64&amp;" / "&amp;B64,'2021'!$B$24:$B$112,"Unconfirmed")+COUNTIFS('2022'!$L$24:$L$112,A64&amp;" / "&amp;B64,'2022'!$B$24:$B$112,"Unconfirmed")+COUNTIFS('2023'!$L$24:$L$112,A64&amp;" / "&amp;B64,'2023'!$B$24:$B$112,"Unconfirmed")+COUNTIFS('2024'!$L$24:$L$112,A64&amp;" / "&amp;B64,'2024'!$B$24:$B$112,"Unconfirmed")+COUNTIFS('2025'!$L$24:$L$112,A64&amp;" / "&amp;B64,'2025'!$B$24:$B$112,"Unconfirmed")</x:f>
        <x:v>0</x:v>
      </x:c>
    </x:row>
    <x:row r="65" ht="22" customHeight="1">
      <x:c r="A65" s="2" t="str">
        <x:v>Craig</x:v>
      </x:c>
      <x:c r="B65" s="2" t="str">
        <x:v>Ed</x:v>
      </x:c>
      <x:c r="C65" s="2" t="n">
        <x:f>COUNTIFS('2015'!$L$24:$L$96,A65&amp;" / "&amp;B65)+COUNTIFS('2016'!$L$24:$L$96,A65&amp;" / "&amp;B65)+COUNTIFS('2017'!$L$24:$L$106,A65&amp;" / "&amp;B65)+COUNTIFS('2018'!$L$24:$L$106,A65&amp;" / "&amp;B65)+COUNTIFS('2019'!$L$24:$L$106,A65&amp;" / "&amp;B65)+COUNTIFS('2020'!$L$24:$L$106,A65&amp;" / "&amp;B65)+COUNTIFS('2021'!$L$24:$L$112,A65&amp;" / "&amp;B65)+COUNTIFS('2022'!$L$24:$L$112,A65&amp;" / "&amp;B65)+COUNTIFS('2023'!$L$24:$L$112,A65&amp;" / "&amp;B65)+COUNTIFS('2024'!$L$24:$L$112,A65&amp;" / "&amp;B65)+COUNTIFS('2025'!$L$24:$L$112,A65&amp;" / "&amp;B65)</x:f>
        <x:v>15</x:v>
      </x:c>
      <x:c r="D65" s="2" t="n">
        <x:f>COUNTIFS('2015'!$L$24:$L$96,A65&amp;" / "&amp;B65,'2015'!$I$24:$I$96,A65)+COUNTIFS('2016'!$L$24:$L$96,A65&amp;" / "&amp;B65,'2016'!$I$24:$I$96,A65)+COUNTIFS('2017'!$L$24:$L$106,A65&amp;" / "&amp;B65,'2017'!$I$24:$I$106,A65)+COUNTIFS('2018'!$L$24:$L$106,A65&amp;" / "&amp;B65,'2018'!$I$24:$I$106,A65)+COUNTIFS('2019'!$L$24:$L$106,A65&amp;" / "&amp;B65,'2019'!$I$24:$I$106,A65)+COUNTIFS('2020'!$L$24:$L$106,A65&amp;" / "&amp;B65,'2020'!$I$24:$I$106,A65)+COUNTIFS('2021'!$L$24:$L$112,A65&amp;" / "&amp;B65,'2021'!$I$24:$I$112,A65)+COUNTIFS('2022'!$L$24:$L$112,A65&amp;" / "&amp;B65,'2022'!$I$24:$I$112,A65)+COUNTIFS('2023'!$L$24:$L$112,A65&amp;" / "&amp;B65,'2023'!$I$24:$I$112,A65)+COUNTIFS('2024'!$L$24:$L$112,A65&amp;" / "&amp;B65,'2024'!$I$24:$I$112,A65)+COUNTIFS('2025'!$L$24:$L$112,A65&amp;" / "&amp;B65,'2025'!$I$24:$I$112,A65)</x:f>
        <x:v>11</x:v>
      </x:c>
      <x:c r="E65" s="2" t="n">
        <x:f>COUNTIFS('2015'!$L$24:$L$96,A65&amp;" / "&amp;B65,'2015'!$I$24:$I$96,B65)+COUNTIFS('2016'!$L$24:$L$96,A65&amp;" / "&amp;B65,'2016'!$I$24:$I$96,B65)+COUNTIFS('2017'!$L$24:$L$106,A65&amp;" / "&amp;B65,'2017'!$I$24:$I$106,B65)+COUNTIFS('2018'!$L$24:$L$106,A65&amp;" / "&amp;B65,'2018'!$I$24:$I$106,B65)+COUNTIFS('2019'!$L$24:$L$106,A65&amp;" / "&amp;B65,'2019'!$I$24:$I$106,B65)+COUNTIFS('2020'!$L$24:$L$106,A65&amp;" / "&amp;B65,'2020'!$I$24:$I$106,B65)+COUNTIFS('2021'!$L$24:$L$112,A65&amp;" / "&amp;B65,'2021'!$I$24:$I$112,B65)+COUNTIFS('2022'!$L$24:$L$112,A65&amp;" / "&amp;B65,'2022'!$I$24:$I$112,B65)+COUNTIFS('2023'!$L$24:$L$112,A65&amp;" / "&amp;B65,'2023'!$I$24:$I$112,B65)+COUNTIFS('2024'!$L$24:$L$112,A65&amp;" / "&amp;B65,'2024'!$I$24:$I$112,B65)+COUNTIFS('2025'!$L$24:$L$112,A65&amp;" / "&amp;B65,'2025'!$I$24:$I$112,B65)</x:f>
        <x:v>4</x:v>
      </x:c>
      <x:c r="F65" s="2" t="n">
        <x:f>COUNTIFS('2015'!$L$24:$L$96,A65&amp;" / "&amp;B65,'2015'!$K$24:$K$96,1)+COUNTIFS('2016'!$L$24:$L$96,A65&amp;" / "&amp;B65,'2016'!$K$24:$K$96,1)+COUNTIFS('2017'!$L$24:$L$106,A65&amp;" / "&amp;B65,'2017'!$K$24:$K$106,1)+COUNTIFS('2018'!$L$24:$L$106,A65&amp;" / "&amp;B65,'2018'!$K$24:$K$106,1)+COUNTIFS('2019'!$L$24:$L$106,A65&amp;" / "&amp;B65,'2019'!$K$24:$K$106,1)+COUNTIFS('2020'!$L$24:$L$106,A65&amp;" / "&amp;B65,'2020'!$K$24:$K$106,1)+COUNTIFS('2021'!$L$24:$L$112,A65&amp;" / "&amp;B65,'2021'!$K$24:$K$112,1)+COUNTIFS('2022'!$L$24:$L$112,A65&amp;" / "&amp;B65,'2022'!$K$24:$K$112,1)+COUNTIFS('2023'!$L$24:$L$112,A65&amp;" / "&amp;B65,'2023'!$K$24:$K$112,1)+COUNTIFS('2024'!$L$24:$L$112,A65&amp;" / "&amp;B65,'2024'!$K$24:$K$112,1)+COUNTIFS('2025'!$L$24:$L$112,A65&amp;" / "&amp;B65,'2025'!$K$24:$K$112,1)</x:f>
        <x:v>0</x:v>
      </x:c>
      <x:c r="G65" s="25" t="n">
        <x:f>SUMIFS('2015'!$E$24:$E$96,'2015'!$L$24:$L$96,A65&amp;" / "&amp;B65,'2015'!$C$24:$C$96,A65)+SUMIFS('2015'!$H$24:$H$96,'2015'!$L$24:$L$96,A65&amp;" / "&amp;B65,'2015'!$F$24:$F$96,A65)+SUMIFS('2016'!$E$24:$E$96,'2016'!$L$24:$L$96,A65&amp;" / "&amp;B65,'2016'!$C$24:$C$96,A65)+SUMIFS('2016'!$H$24:$H$96,'2016'!$L$24:$L$96,A65&amp;" / "&amp;B65,'2016'!$F$24:$F$96,A65)+SUMIFS('2017'!$E$24:$E$106,'2017'!$L$24:$L$106,A65&amp;" / "&amp;B65,'2017'!$C$24:$C$106,A65)+SUMIFS('2017'!$H$24:$H$106,'2017'!$L$24:$L$106,A65&amp;" / "&amp;B65,'2017'!$F$24:$F$106,A65)+SUMIFS('2018'!$E$24:$E$106,'2018'!$L$24:$L$106,A65&amp;" / "&amp;B65,'2018'!$C$24:$C$106,A65)+SUMIFS('2018'!$H$24:$H$106,'2018'!$L$24:$L$106,A65&amp;" / "&amp;B65,'2018'!$F$24:$F$106,A65)+SUMIFS('2019'!$E$24:$E$106,'2019'!$L$24:$L$106,A65&amp;" / "&amp;B65,'2019'!$C$24:$C$106,A65)+SUMIFS('2019'!$H$24:$H$106,'2019'!$L$24:$L$106,A65&amp;" / "&amp;B65,'2019'!$F$24:$F$106,A65)+SUMIFS('2020'!$E$24:$E$106,'2020'!$L$24:$L$106,A65&amp;" / "&amp;B65,'2020'!$C$24:$C$106,A65)+SUMIFS('2020'!$H$24:$H$106,'2020'!$L$24:$L$106,A65&amp;" / "&amp;B65,'2020'!$F$24:$F$106,A65)+SUMIFS('2021'!$E$24:$E$112,'2021'!$L$24:$L$112,A65&amp;" / "&amp;B65,'2021'!$C$24:$C$112,A65)+SUMIFS('2021'!$H$24:$H$112,'2021'!$L$24:$L$112,A65&amp;" / "&amp;B65,'2021'!$F$24:$F$112,A65)+SUMIFS('2022'!$E$24:$E$112,'2022'!$L$24:$L$112,A65&amp;" / "&amp;B65,'2022'!$C$24:$C$112,A65)+SUMIFS('2022'!$H$24:$H$112,'2022'!$L$24:$L$112,A65&amp;" / "&amp;B65,'2022'!$F$24:$F$112,A65)+SUMIFS('2023'!$E$24:$E$112,'2023'!$L$24:$L$112,A65&amp;" / "&amp;B65,'2023'!$C$24:$C$112,A65)+SUMIFS('2023'!$H$24:$H$112,'2023'!$L$24:$L$112,A65&amp;" / "&amp;B65,'2023'!$F$24:$F$112,A65)+SUMIFS('2024'!$E$24:$E$112,'2024'!$L$24:$L$112,A65&amp;" / "&amp;B65,'2024'!$C$24:$C$112,A65)+SUMIFS('2024'!$H$24:$H$112,'2024'!$L$24:$L$112,A65&amp;" / "&amp;B65,'2024'!$F$24:$F$112,A65)+SUMIFS('2025'!$E$24:$E$112,'2025'!$L$24:$L$112,A65&amp;" / "&amp;B65,'2025'!$C$24:$C$112,A65)+SUMIFS('2025'!$H$24:$H$112,'2025'!$L$24:$L$112,A65&amp;" / "&amp;B65,'2025'!$F$24:$F$112,A65)</x:f>
        <x:v>1934.4499999999998</x:v>
      </x:c>
      <x:c r="H65" s="25" t="n">
        <x:f>SUMIFS('2015'!$E$24:$E$96,'2015'!$L$24:$L$96,A65&amp;" / "&amp;B65,'2015'!$C$24:$C$96,B65)+SUMIFS('2015'!$H$24:$H$96,'2015'!$L$24:$L$96,A65&amp;" / "&amp;B65,'2015'!$F$24:$F$96,B65)+SUMIFS('2016'!$E$24:$E$96,'2016'!$L$24:$L$96,A65&amp;" / "&amp;B65,'2016'!$C$24:$C$96,B65)+SUMIFS('2016'!$H$24:$H$96,'2016'!$L$24:$L$96,A65&amp;" / "&amp;B65,'2016'!$F$24:$F$96,B65)+SUMIFS('2017'!$E$24:$E$106,'2017'!$L$24:$L$106,A65&amp;" / "&amp;B65,'2017'!$C$24:$C$106,B65)+SUMIFS('2017'!$H$24:$H$106,'2017'!$L$24:$L$106,A65&amp;" / "&amp;B65,'2017'!$F$24:$F$106,B65)+SUMIFS('2018'!$E$24:$E$106,'2018'!$L$24:$L$106,A65&amp;" / "&amp;B65,'2018'!$C$24:$C$106,B65)+SUMIFS('2018'!$H$24:$H$106,'2018'!$L$24:$L$106,A65&amp;" / "&amp;B65,'2018'!$F$24:$F$106,B65)+SUMIFS('2019'!$E$24:$E$106,'2019'!$L$24:$L$106,A65&amp;" / "&amp;B65,'2019'!$C$24:$C$106,B65)+SUMIFS('2019'!$H$24:$H$106,'2019'!$L$24:$L$106,A65&amp;" / "&amp;B65,'2019'!$F$24:$F$106,B65)+SUMIFS('2020'!$E$24:$E$106,'2020'!$L$24:$L$106,A65&amp;" / "&amp;B65,'2020'!$C$24:$C$106,B65)+SUMIFS('2020'!$H$24:$H$106,'2020'!$L$24:$L$106,A65&amp;" / "&amp;B65,'2020'!$F$24:$F$106,B65)+SUMIFS('2021'!$E$24:$E$112,'2021'!$L$24:$L$112,A65&amp;" / "&amp;B65,'2021'!$C$24:$C$112,B65)+SUMIFS('2021'!$H$24:$H$112,'2021'!$L$24:$L$112,A65&amp;" / "&amp;B65,'2021'!$F$24:$F$112,B65)+SUMIFS('2022'!$E$24:$E$112,'2022'!$L$24:$L$112,A65&amp;" / "&amp;B65,'2022'!$C$24:$C$112,B65)+SUMIFS('2022'!$H$24:$H$112,'2022'!$L$24:$L$112,A65&amp;" / "&amp;B65,'2022'!$F$24:$F$112,B65)+SUMIFS('2023'!$E$24:$E$112,'2023'!$L$24:$L$112,A65&amp;" / "&amp;B65,'2023'!$C$24:$C$112,B65)+SUMIFS('2023'!$H$24:$H$112,'2023'!$L$24:$L$112,A65&amp;" / "&amp;B65,'2023'!$F$24:$F$112,B65)+SUMIFS('2024'!$E$24:$E$112,'2024'!$L$24:$L$112,A65&amp;" / "&amp;B65,'2024'!$C$24:$C$112,B65)+SUMIFS('2024'!$H$24:$H$112,'2024'!$L$24:$L$112,A65&amp;" / "&amp;B65,'2024'!$F$24:$F$112,B65)+SUMIFS('2025'!$E$24:$E$112,'2025'!$L$24:$L$112,A65&amp;" / "&amp;B65,'2025'!$C$24:$C$112,B65)+SUMIFS('2025'!$H$24:$H$112,'2025'!$L$24:$L$112,A65&amp;" / "&amp;B65,'2025'!$F$24:$F$112,B65)</x:f>
        <x:v>1704.1500000000003</x:v>
      </x:c>
      <x:c r="I65" s="11" t="n">
        <x:f>IF(C65=0,0,(D65+0.5*F65)/C65)</x:f>
        <x:v>0.7333333333333333</x:v>
      </x:c>
      <x:c r="J65" s="2" t="n">
        <x:f>COUNTIFS('2015'!$L$24:$L$96,A65&amp;" / "&amp;B65,'2015'!$B$24:$B$96,"Regular")+COUNTIFS('2016'!$L$24:$L$96,A65&amp;" / "&amp;B65,'2016'!$B$24:$B$96,"Regular")+COUNTIFS('2017'!$L$24:$L$106,A65&amp;" / "&amp;B65,'2017'!$B$24:$B$106,"Regular")+COUNTIFS('2018'!$L$24:$L$106,A65&amp;" / "&amp;B65,'2018'!$B$24:$B$106,"Regular")+COUNTIFS('2019'!$L$24:$L$106,A65&amp;" / "&amp;B65,'2019'!$B$24:$B$106,"Regular")+COUNTIFS('2020'!$L$24:$L$106,A65&amp;" / "&amp;B65,'2020'!$B$24:$B$106,"Regular")+COUNTIFS('2021'!$L$24:$L$112,A65&amp;" / "&amp;B65,'2021'!$B$24:$B$112,"Regular")+COUNTIFS('2022'!$L$24:$L$112,A65&amp;" / "&amp;B65,'2022'!$B$24:$B$112,"Regular")+COUNTIFS('2023'!$L$24:$L$112,A65&amp;" / "&amp;B65,'2023'!$B$24:$B$112,"Regular")+COUNTIFS('2024'!$L$24:$L$112,A65&amp;" / "&amp;B65,'2024'!$B$24:$B$112,"Regular")+COUNTIFS('2025'!$L$24:$L$112,A65&amp;" / "&amp;B65,'2025'!$B$24:$B$112,"Regular")</x:f>
        <x:v>14</x:v>
      </x:c>
      <x:c r="K65" s="2" t="n">
        <x:f>COUNTIFS('2015'!$L$24:$L$96,A65&amp;" / "&amp;B65,'2015'!$B$24:$B$96,"Playoffs")+COUNTIFS('2016'!$L$24:$L$96,A65&amp;" / "&amp;B65,'2016'!$B$24:$B$96,"Playoffs")+COUNTIFS('2017'!$L$24:$L$106,A65&amp;" / "&amp;B65,'2017'!$B$24:$B$106,"Playoffs")+COUNTIFS('2018'!$L$24:$L$106,A65&amp;" / "&amp;B65,'2018'!$B$24:$B$106,"Playoffs")+COUNTIFS('2019'!$L$24:$L$106,A65&amp;" / "&amp;B65,'2019'!$B$24:$B$106,"Playoffs")+COUNTIFS('2020'!$L$24:$L$106,A65&amp;" / "&amp;B65,'2020'!$B$24:$B$106,"Playoffs")+COUNTIFS('2021'!$L$24:$L$112,A65&amp;" / "&amp;B65,'2021'!$B$24:$B$112,"Playoffs")+COUNTIFS('2022'!$L$24:$L$112,A65&amp;" / "&amp;B65,'2022'!$B$24:$B$112,"Playoffs")+COUNTIFS('2023'!$L$24:$L$112,A65&amp;" / "&amp;B65,'2023'!$B$24:$B$112,"Playoffs")+COUNTIFS('2024'!$L$24:$L$112,A65&amp;" / "&amp;B65,'2024'!$B$24:$B$112,"Playoffs")+COUNTIFS('2025'!$L$24:$L$112,A65&amp;" / "&amp;B65,'2025'!$B$24:$B$112,"Playoffs")</x:f>
        <x:v>1</x:v>
      </x:c>
      <x:c r="L65" s="2" t="n">
        <x:f>COUNTIFS('2015'!$L$24:$L$96,A65&amp;" / "&amp;B65,'2015'!$B$24:$B$96,"Unconfirmed")+COUNTIFS('2016'!$L$24:$L$96,A65&amp;" / "&amp;B65,'2016'!$B$24:$B$96,"Unconfirmed")+COUNTIFS('2017'!$L$24:$L$106,A65&amp;" / "&amp;B65,'2017'!$B$24:$B$106,"Unconfirmed")+COUNTIFS('2018'!$L$24:$L$106,A65&amp;" / "&amp;B65,'2018'!$B$24:$B$106,"Unconfirmed")+COUNTIFS('2019'!$L$24:$L$106,A65&amp;" / "&amp;B65,'2019'!$B$24:$B$106,"Unconfirmed")+COUNTIFS('2020'!$L$24:$L$106,A65&amp;" / "&amp;B65,'2020'!$B$24:$B$106,"Unconfirmed")+COUNTIFS('2021'!$L$24:$L$112,A65&amp;" / "&amp;B65,'2021'!$B$24:$B$112,"Unconfirmed")+COUNTIFS('2022'!$L$24:$L$112,A65&amp;" / "&amp;B65,'2022'!$B$24:$B$112,"Unconfirmed")+COUNTIFS('2023'!$L$24:$L$112,A65&amp;" / "&amp;B65,'2023'!$B$24:$B$112,"Unconfirmed")+COUNTIFS('2024'!$L$24:$L$112,A65&amp;" / "&amp;B65,'2024'!$B$24:$B$112,"Unconfirmed")+COUNTIFS('2025'!$L$24:$L$112,A65&amp;" / "&amp;B65,'2025'!$B$24:$B$112,"Unconfirmed")</x:f>
        <x:v>0</x:v>
      </x:c>
    </x:row>
    <x:row r="66" ht="22" customHeight="1">
      <x:c r="A66" s="2" t="str">
        <x:v>Craig</x:v>
      </x:c>
      <x:c r="B66" s="2" t="str">
        <x:v>Frank</x:v>
      </x:c>
      <x:c r="C66" s="2" t="n">
        <x:f>COUNTIFS('2015'!$L$24:$L$96,A66&amp;" / "&amp;B66)+COUNTIFS('2016'!$L$24:$L$96,A66&amp;" / "&amp;B66)+COUNTIFS('2017'!$L$24:$L$106,A66&amp;" / "&amp;B66)+COUNTIFS('2018'!$L$24:$L$106,A66&amp;" / "&amp;B66)+COUNTIFS('2019'!$L$24:$L$106,A66&amp;" / "&amp;B66)+COUNTIFS('2020'!$L$24:$L$106,A66&amp;" / "&amp;B66)+COUNTIFS('2021'!$L$24:$L$112,A66&amp;" / "&amp;B66)+COUNTIFS('2022'!$L$24:$L$112,A66&amp;" / "&amp;B66)+COUNTIFS('2023'!$L$24:$L$112,A66&amp;" / "&amp;B66)+COUNTIFS('2024'!$L$24:$L$112,A66&amp;" / "&amp;B66)+COUNTIFS('2025'!$L$24:$L$112,A66&amp;" / "&amp;B66)</x:f>
        <x:v>11</x:v>
      </x:c>
      <x:c r="D66" s="2" t="n">
        <x:f>COUNTIFS('2015'!$L$24:$L$96,A66&amp;" / "&amp;B66,'2015'!$I$24:$I$96,A66)+COUNTIFS('2016'!$L$24:$L$96,A66&amp;" / "&amp;B66,'2016'!$I$24:$I$96,A66)+COUNTIFS('2017'!$L$24:$L$106,A66&amp;" / "&amp;B66,'2017'!$I$24:$I$106,A66)+COUNTIFS('2018'!$L$24:$L$106,A66&amp;" / "&amp;B66,'2018'!$I$24:$I$106,A66)+COUNTIFS('2019'!$L$24:$L$106,A66&amp;" / "&amp;B66,'2019'!$I$24:$I$106,A66)+COUNTIFS('2020'!$L$24:$L$106,A66&amp;" / "&amp;B66,'2020'!$I$24:$I$106,A66)+COUNTIFS('2021'!$L$24:$L$112,A66&amp;" / "&amp;B66,'2021'!$I$24:$I$112,A66)+COUNTIFS('2022'!$L$24:$L$112,A66&amp;" / "&amp;B66,'2022'!$I$24:$I$112,A66)+COUNTIFS('2023'!$L$24:$L$112,A66&amp;" / "&amp;B66,'2023'!$I$24:$I$112,A66)+COUNTIFS('2024'!$L$24:$L$112,A66&amp;" / "&amp;B66,'2024'!$I$24:$I$112,A66)+COUNTIFS('2025'!$L$24:$L$112,A66&amp;" / "&amp;B66,'2025'!$I$24:$I$112,A66)</x:f>
        <x:v>8</x:v>
      </x:c>
      <x:c r="E66" s="2" t="n">
        <x:f>COUNTIFS('2015'!$L$24:$L$96,A66&amp;" / "&amp;B66,'2015'!$I$24:$I$96,B66)+COUNTIFS('2016'!$L$24:$L$96,A66&amp;" / "&amp;B66,'2016'!$I$24:$I$96,B66)+COUNTIFS('2017'!$L$24:$L$106,A66&amp;" / "&amp;B66,'2017'!$I$24:$I$106,B66)+COUNTIFS('2018'!$L$24:$L$106,A66&amp;" / "&amp;B66,'2018'!$I$24:$I$106,B66)+COUNTIFS('2019'!$L$24:$L$106,A66&amp;" / "&amp;B66,'2019'!$I$24:$I$106,B66)+COUNTIFS('2020'!$L$24:$L$106,A66&amp;" / "&amp;B66,'2020'!$I$24:$I$106,B66)+COUNTIFS('2021'!$L$24:$L$112,A66&amp;" / "&amp;B66,'2021'!$I$24:$I$112,B66)+COUNTIFS('2022'!$L$24:$L$112,A66&amp;" / "&amp;B66,'2022'!$I$24:$I$112,B66)+COUNTIFS('2023'!$L$24:$L$112,A66&amp;" / "&amp;B66,'2023'!$I$24:$I$112,B66)+COUNTIFS('2024'!$L$24:$L$112,A66&amp;" / "&amp;B66,'2024'!$I$24:$I$112,B66)+COUNTIFS('2025'!$L$24:$L$112,A66&amp;" / "&amp;B66,'2025'!$I$24:$I$112,B66)</x:f>
        <x:v>3</x:v>
      </x:c>
      <x:c r="F66" s="2" t="n">
        <x:f>COUNTIFS('2015'!$L$24:$L$96,A66&amp;" / "&amp;B66,'2015'!$K$24:$K$96,1)+COUNTIFS('2016'!$L$24:$L$96,A66&amp;" / "&amp;B66,'2016'!$K$24:$K$96,1)+COUNTIFS('2017'!$L$24:$L$106,A66&amp;" / "&amp;B66,'2017'!$K$24:$K$106,1)+COUNTIFS('2018'!$L$24:$L$106,A66&amp;" / "&amp;B66,'2018'!$K$24:$K$106,1)+COUNTIFS('2019'!$L$24:$L$106,A66&amp;" / "&amp;B66,'2019'!$K$24:$K$106,1)+COUNTIFS('2020'!$L$24:$L$106,A66&amp;" / "&amp;B66,'2020'!$K$24:$K$106,1)+COUNTIFS('2021'!$L$24:$L$112,A66&amp;" / "&amp;B66,'2021'!$K$24:$K$112,1)+COUNTIFS('2022'!$L$24:$L$112,A66&amp;" / "&amp;B66,'2022'!$K$24:$K$112,1)+COUNTIFS('2023'!$L$24:$L$112,A66&amp;" / "&amp;B66,'2023'!$K$24:$K$112,1)+COUNTIFS('2024'!$L$24:$L$112,A66&amp;" / "&amp;B66,'2024'!$K$24:$K$112,1)+COUNTIFS('2025'!$L$24:$L$112,A66&amp;" / "&amp;B66,'2025'!$K$24:$K$112,1)</x:f>
        <x:v>0</x:v>
      </x:c>
      <x:c r="G66" s="25" t="n">
        <x:f>SUMIFS('2015'!$E$24:$E$96,'2015'!$L$24:$L$96,A66&amp;" / "&amp;B66,'2015'!$C$24:$C$96,A66)+SUMIFS('2015'!$H$24:$H$96,'2015'!$L$24:$L$96,A66&amp;" / "&amp;B66,'2015'!$F$24:$F$96,A66)+SUMIFS('2016'!$E$24:$E$96,'2016'!$L$24:$L$96,A66&amp;" / "&amp;B66,'2016'!$C$24:$C$96,A66)+SUMIFS('2016'!$H$24:$H$96,'2016'!$L$24:$L$96,A66&amp;" / "&amp;B66,'2016'!$F$24:$F$96,A66)+SUMIFS('2017'!$E$24:$E$106,'2017'!$L$24:$L$106,A66&amp;" / "&amp;B66,'2017'!$C$24:$C$106,A66)+SUMIFS('2017'!$H$24:$H$106,'2017'!$L$24:$L$106,A66&amp;" / "&amp;B66,'2017'!$F$24:$F$106,A66)+SUMIFS('2018'!$E$24:$E$106,'2018'!$L$24:$L$106,A66&amp;" / "&amp;B66,'2018'!$C$24:$C$106,A66)+SUMIFS('2018'!$H$24:$H$106,'2018'!$L$24:$L$106,A66&amp;" / "&amp;B66,'2018'!$F$24:$F$106,A66)+SUMIFS('2019'!$E$24:$E$106,'2019'!$L$24:$L$106,A66&amp;" / "&amp;B66,'2019'!$C$24:$C$106,A66)+SUMIFS('2019'!$H$24:$H$106,'2019'!$L$24:$L$106,A66&amp;" / "&amp;B66,'2019'!$F$24:$F$106,A66)+SUMIFS('2020'!$E$24:$E$106,'2020'!$L$24:$L$106,A66&amp;" / "&amp;B66,'2020'!$C$24:$C$106,A66)+SUMIFS('2020'!$H$24:$H$106,'2020'!$L$24:$L$106,A66&amp;" / "&amp;B66,'2020'!$F$24:$F$106,A66)+SUMIFS('2021'!$E$24:$E$112,'2021'!$L$24:$L$112,A66&amp;" / "&amp;B66,'2021'!$C$24:$C$112,A66)+SUMIFS('2021'!$H$24:$H$112,'2021'!$L$24:$L$112,A66&amp;" / "&amp;B66,'2021'!$F$24:$F$112,A66)+SUMIFS('2022'!$E$24:$E$112,'2022'!$L$24:$L$112,A66&amp;" / "&amp;B66,'2022'!$C$24:$C$112,A66)+SUMIFS('2022'!$H$24:$H$112,'2022'!$L$24:$L$112,A66&amp;" / "&amp;B66,'2022'!$F$24:$F$112,A66)+SUMIFS('2023'!$E$24:$E$112,'2023'!$L$24:$L$112,A66&amp;" / "&amp;B66,'2023'!$C$24:$C$112,A66)+SUMIFS('2023'!$H$24:$H$112,'2023'!$L$24:$L$112,A66&amp;" / "&amp;B66,'2023'!$F$24:$F$112,A66)+SUMIFS('2024'!$E$24:$E$112,'2024'!$L$24:$L$112,A66&amp;" / "&amp;B66,'2024'!$C$24:$C$112,A66)+SUMIFS('2024'!$H$24:$H$112,'2024'!$L$24:$L$112,A66&amp;" / "&amp;B66,'2024'!$F$24:$F$112,A66)+SUMIFS('2025'!$E$24:$E$112,'2025'!$L$24:$L$112,A66&amp;" / "&amp;B66,'2025'!$C$24:$C$112,A66)+SUMIFS('2025'!$H$24:$H$112,'2025'!$L$24:$L$112,A66&amp;" / "&amp;B66,'2025'!$F$24:$F$112,A66)</x:f>
        <x:v>1424.1999999999998</x:v>
      </x:c>
      <x:c r="H66" s="25" t="n">
        <x:f>SUMIFS('2015'!$E$24:$E$96,'2015'!$L$24:$L$96,A66&amp;" / "&amp;B66,'2015'!$C$24:$C$96,B66)+SUMIFS('2015'!$H$24:$H$96,'2015'!$L$24:$L$96,A66&amp;" / "&amp;B66,'2015'!$F$24:$F$96,B66)+SUMIFS('2016'!$E$24:$E$96,'2016'!$L$24:$L$96,A66&amp;" / "&amp;B66,'2016'!$C$24:$C$96,B66)+SUMIFS('2016'!$H$24:$H$96,'2016'!$L$24:$L$96,A66&amp;" / "&amp;B66,'2016'!$F$24:$F$96,B66)+SUMIFS('2017'!$E$24:$E$106,'2017'!$L$24:$L$106,A66&amp;" / "&amp;B66,'2017'!$C$24:$C$106,B66)+SUMIFS('2017'!$H$24:$H$106,'2017'!$L$24:$L$106,A66&amp;" / "&amp;B66,'2017'!$F$24:$F$106,B66)+SUMIFS('2018'!$E$24:$E$106,'2018'!$L$24:$L$106,A66&amp;" / "&amp;B66,'2018'!$C$24:$C$106,B66)+SUMIFS('2018'!$H$24:$H$106,'2018'!$L$24:$L$106,A66&amp;" / "&amp;B66,'2018'!$F$24:$F$106,B66)+SUMIFS('2019'!$E$24:$E$106,'2019'!$L$24:$L$106,A66&amp;" / "&amp;B66,'2019'!$C$24:$C$106,B66)+SUMIFS('2019'!$H$24:$H$106,'2019'!$L$24:$L$106,A66&amp;" / "&amp;B66,'2019'!$F$24:$F$106,B66)+SUMIFS('2020'!$E$24:$E$106,'2020'!$L$24:$L$106,A66&amp;" / "&amp;B66,'2020'!$C$24:$C$106,B66)+SUMIFS('2020'!$H$24:$H$106,'2020'!$L$24:$L$106,A66&amp;" / "&amp;B66,'2020'!$F$24:$F$106,B66)+SUMIFS('2021'!$E$24:$E$112,'2021'!$L$24:$L$112,A66&amp;" / "&amp;B66,'2021'!$C$24:$C$112,B66)+SUMIFS('2021'!$H$24:$H$112,'2021'!$L$24:$L$112,A66&amp;" / "&amp;B66,'2021'!$F$24:$F$112,B66)+SUMIFS('2022'!$E$24:$E$112,'2022'!$L$24:$L$112,A66&amp;" / "&amp;B66,'2022'!$C$24:$C$112,B66)+SUMIFS('2022'!$H$24:$H$112,'2022'!$L$24:$L$112,A66&amp;" / "&amp;B66,'2022'!$F$24:$F$112,B66)+SUMIFS('2023'!$E$24:$E$112,'2023'!$L$24:$L$112,A66&amp;" / "&amp;B66,'2023'!$C$24:$C$112,B66)+SUMIFS('2023'!$H$24:$H$112,'2023'!$L$24:$L$112,A66&amp;" / "&amp;B66,'2023'!$F$24:$F$112,B66)+SUMIFS('2024'!$E$24:$E$112,'2024'!$L$24:$L$112,A66&amp;" / "&amp;B66,'2024'!$C$24:$C$112,B66)+SUMIFS('2024'!$H$24:$H$112,'2024'!$L$24:$L$112,A66&amp;" / "&amp;B66,'2024'!$F$24:$F$112,B66)+SUMIFS('2025'!$E$24:$E$112,'2025'!$L$24:$L$112,A66&amp;" / "&amp;B66,'2025'!$C$24:$C$112,B66)+SUMIFS('2025'!$H$24:$H$112,'2025'!$L$24:$L$112,A66&amp;" / "&amp;B66,'2025'!$F$24:$F$112,B66)</x:f>
        <x:v>1150.9499999999998</x:v>
      </x:c>
      <x:c r="I66" s="11" t="n">
        <x:f>IF(C66=0,0,(D66+0.5*F66)/C66)</x:f>
        <x:v>0.7272727272727273</x:v>
      </x:c>
      <x:c r="J66" s="2" t="n">
        <x:f>COUNTIFS('2015'!$L$24:$L$96,A66&amp;" / "&amp;B66,'2015'!$B$24:$B$96,"Regular")+COUNTIFS('2016'!$L$24:$L$96,A66&amp;" / "&amp;B66,'2016'!$B$24:$B$96,"Regular")+COUNTIFS('2017'!$L$24:$L$106,A66&amp;" / "&amp;B66,'2017'!$B$24:$B$106,"Regular")+COUNTIFS('2018'!$L$24:$L$106,A66&amp;" / "&amp;B66,'2018'!$B$24:$B$106,"Regular")+COUNTIFS('2019'!$L$24:$L$106,A66&amp;" / "&amp;B66,'2019'!$B$24:$B$106,"Regular")+COUNTIFS('2020'!$L$24:$L$106,A66&amp;" / "&amp;B66,'2020'!$B$24:$B$106,"Regular")+COUNTIFS('2021'!$L$24:$L$112,A66&amp;" / "&amp;B66,'2021'!$B$24:$B$112,"Regular")+COUNTIFS('2022'!$L$24:$L$112,A66&amp;" / "&amp;B66,'2022'!$B$24:$B$112,"Regular")+COUNTIFS('2023'!$L$24:$L$112,A66&amp;" / "&amp;B66,'2023'!$B$24:$B$112,"Regular")+COUNTIFS('2024'!$L$24:$L$112,A66&amp;" / "&amp;B66,'2024'!$B$24:$B$112,"Regular")+COUNTIFS('2025'!$L$24:$L$112,A66&amp;" / "&amp;B66,'2025'!$B$24:$B$112,"Regular")</x:f>
        <x:v>10</x:v>
      </x:c>
      <x:c r="K66" s="2" t="n">
        <x:f>COUNTIFS('2015'!$L$24:$L$96,A66&amp;" / "&amp;B66,'2015'!$B$24:$B$96,"Playoffs")+COUNTIFS('2016'!$L$24:$L$96,A66&amp;" / "&amp;B66,'2016'!$B$24:$B$96,"Playoffs")+COUNTIFS('2017'!$L$24:$L$106,A66&amp;" / "&amp;B66,'2017'!$B$24:$B$106,"Playoffs")+COUNTIFS('2018'!$L$24:$L$106,A66&amp;" / "&amp;B66,'2018'!$B$24:$B$106,"Playoffs")+COUNTIFS('2019'!$L$24:$L$106,A66&amp;" / "&amp;B66,'2019'!$B$24:$B$106,"Playoffs")+COUNTIFS('2020'!$L$24:$L$106,A66&amp;" / "&amp;B66,'2020'!$B$24:$B$106,"Playoffs")+COUNTIFS('2021'!$L$24:$L$112,A66&amp;" / "&amp;B66,'2021'!$B$24:$B$112,"Playoffs")+COUNTIFS('2022'!$L$24:$L$112,A66&amp;" / "&amp;B66,'2022'!$B$24:$B$112,"Playoffs")+COUNTIFS('2023'!$L$24:$L$112,A66&amp;" / "&amp;B66,'2023'!$B$24:$B$112,"Playoffs")+COUNTIFS('2024'!$L$24:$L$112,A66&amp;" / "&amp;B66,'2024'!$B$24:$B$112,"Playoffs")+COUNTIFS('2025'!$L$24:$L$112,A66&amp;" / "&amp;B66,'2025'!$B$24:$B$112,"Playoffs")</x:f>
        <x:v>1</x:v>
      </x:c>
      <x:c r="L66" s="2" t="n">
        <x:f>COUNTIFS('2015'!$L$24:$L$96,A66&amp;" / "&amp;B66,'2015'!$B$24:$B$96,"Unconfirmed")+COUNTIFS('2016'!$L$24:$L$96,A66&amp;" / "&amp;B66,'2016'!$B$24:$B$96,"Unconfirmed")+COUNTIFS('2017'!$L$24:$L$106,A66&amp;" / "&amp;B66,'2017'!$B$24:$B$106,"Unconfirmed")+COUNTIFS('2018'!$L$24:$L$106,A66&amp;" / "&amp;B66,'2018'!$B$24:$B$106,"Unconfirmed")+COUNTIFS('2019'!$L$24:$L$106,A66&amp;" / "&amp;B66,'2019'!$B$24:$B$106,"Unconfirmed")+COUNTIFS('2020'!$L$24:$L$106,A66&amp;" / "&amp;B66,'2020'!$B$24:$B$106,"Unconfirmed")+COUNTIFS('2021'!$L$24:$L$112,A66&amp;" / "&amp;B66,'2021'!$B$24:$B$112,"Unconfirmed")+COUNTIFS('2022'!$L$24:$L$112,A66&amp;" / "&amp;B66,'2022'!$B$24:$B$112,"Unconfirmed")+COUNTIFS('2023'!$L$24:$L$112,A66&amp;" / "&amp;B66,'2023'!$B$24:$B$112,"Unconfirmed")+COUNTIFS('2024'!$L$24:$L$112,A66&amp;" / "&amp;B66,'2024'!$B$24:$B$112,"Unconfirmed")+COUNTIFS('2025'!$L$24:$L$112,A66&amp;" / "&amp;B66,'2025'!$B$24:$B$112,"Unconfirmed")</x:f>
        <x:v>0</x:v>
      </x:c>
    </x:row>
    <x:row r="67" ht="22" customHeight="1">
      <x:c r="A67" s="2" t="str">
        <x:v>Craig</x:v>
      </x:c>
      <x:c r="B67" s="2" t="str">
        <x:v>Grossi</x:v>
      </x:c>
      <x:c r="C67" s="2" t="n">
        <x:f>COUNTIFS('2015'!$L$24:$L$96,A67&amp;" / "&amp;B67)+COUNTIFS('2016'!$L$24:$L$96,A67&amp;" / "&amp;B67)+COUNTIFS('2017'!$L$24:$L$106,A67&amp;" / "&amp;B67)+COUNTIFS('2018'!$L$24:$L$106,A67&amp;" / "&amp;B67)+COUNTIFS('2019'!$L$24:$L$106,A67&amp;" / "&amp;B67)+COUNTIFS('2020'!$L$24:$L$106,A67&amp;" / "&amp;B67)+COUNTIFS('2021'!$L$24:$L$112,A67&amp;" / "&amp;B67)+COUNTIFS('2022'!$L$24:$L$112,A67&amp;" / "&amp;B67)+COUNTIFS('2023'!$L$24:$L$112,A67&amp;" / "&amp;B67)+COUNTIFS('2024'!$L$24:$L$112,A67&amp;" / "&amp;B67)+COUNTIFS('2025'!$L$24:$L$112,A67&amp;" / "&amp;B67)</x:f>
        <x:v>1</x:v>
      </x:c>
      <x:c r="D67" s="2" t="n">
        <x:f>COUNTIFS('2015'!$L$24:$L$96,A67&amp;" / "&amp;B67,'2015'!$I$24:$I$96,A67)+COUNTIFS('2016'!$L$24:$L$96,A67&amp;" / "&amp;B67,'2016'!$I$24:$I$96,A67)+COUNTIFS('2017'!$L$24:$L$106,A67&amp;" / "&amp;B67,'2017'!$I$24:$I$106,A67)+COUNTIFS('2018'!$L$24:$L$106,A67&amp;" / "&amp;B67,'2018'!$I$24:$I$106,A67)+COUNTIFS('2019'!$L$24:$L$106,A67&amp;" / "&amp;B67,'2019'!$I$24:$I$106,A67)+COUNTIFS('2020'!$L$24:$L$106,A67&amp;" / "&amp;B67,'2020'!$I$24:$I$106,A67)+COUNTIFS('2021'!$L$24:$L$112,A67&amp;" / "&amp;B67,'2021'!$I$24:$I$112,A67)+COUNTIFS('2022'!$L$24:$L$112,A67&amp;" / "&amp;B67,'2022'!$I$24:$I$112,A67)+COUNTIFS('2023'!$L$24:$L$112,A67&amp;" / "&amp;B67,'2023'!$I$24:$I$112,A67)+COUNTIFS('2024'!$L$24:$L$112,A67&amp;" / "&amp;B67,'2024'!$I$24:$I$112,A67)+COUNTIFS('2025'!$L$24:$L$112,A67&amp;" / "&amp;B67,'2025'!$I$24:$I$112,A67)</x:f>
        <x:v>0</x:v>
      </x:c>
      <x:c r="E67" s="2" t="n">
        <x:f>COUNTIFS('2015'!$L$24:$L$96,A67&amp;" / "&amp;B67,'2015'!$I$24:$I$96,B67)+COUNTIFS('2016'!$L$24:$L$96,A67&amp;" / "&amp;B67,'2016'!$I$24:$I$96,B67)+COUNTIFS('2017'!$L$24:$L$106,A67&amp;" / "&amp;B67,'2017'!$I$24:$I$106,B67)+COUNTIFS('2018'!$L$24:$L$106,A67&amp;" / "&amp;B67,'2018'!$I$24:$I$106,B67)+COUNTIFS('2019'!$L$24:$L$106,A67&amp;" / "&amp;B67,'2019'!$I$24:$I$106,B67)+COUNTIFS('2020'!$L$24:$L$106,A67&amp;" / "&amp;B67,'2020'!$I$24:$I$106,B67)+COUNTIFS('2021'!$L$24:$L$112,A67&amp;" / "&amp;B67,'2021'!$I$24:$I$112,B67)+COUNTIFS('2022'!$L$24:$L$112,A67&amp;" / "&amp;B67,'2022'!$I$24:$I$112,B67)+COUNTIFS('2023'!$L$24:$L$112,A67&amp;" / "&amp;B67,'2023'!$I$24:$I$112,B67)+COUNTIFS('2024'!$L$24:$L$112,A67&amp;" / "&amp;B67,'2024'!$I$24:$I$112,B67)+COUNTIFS('2025'!$L$24:$L$112,A67&amp;" / "&amp;B67,'2025'!$I$24:$I$112,B67)</x:f>
        <x:v>1</x:v>
      </x:c>
      <x:c r="F67" s="2" t="n">
        <x:f>COUNTIFS('2015'!$L$24:$L$96,A67&amp;" / "&amp;B67,'2015'!$K$24:$K$96,1)+COUNTIFS('2016'!$L$24:$L$96,A67&amp;" / "&amp;B67,'2016'!$K$24:$K$96,1)+COUNTIFS('2017'!$L$24:$L$106,A67&amp;" / "&amp;B67,'2017'!$K$24:$K$106,1)+COUNTIFS('2018'!$L$24:$L$106,A67&amp;" / "&amp;B67,'2018'!$K$24:$K$106,1)+COUNTIFS('2019'!$L$24:$L$106,A67&amp;" / "&amp;B67,'2019'!$K$24:$K$106,1)+COUNTIFS('2020'!$L$24:$L$106,A67&amp;" / "&amp;B67,'2020'!$K$24:$K$106,1)+COUNTIFS('2021'!$L$24:$L$112,A67&amp;" / "&amp;B67,'2021'!$K$24:$K$112,1)+COUNTIFS('2022'!$L$24:$L$112,A67&amp;" / "&amp;B67,'2022'!$K$24:$K$112,1)+COUNTIFS('2023'!$L$24:$L$112,A67&amp;" / "&amp;B67,'2023'!$K$24:$K$112,1)+COUNTIFS('2024'!$L$24:$L$112,A67&amp;" / "&amp;B67,'2024'!$K$24:$K$112,1)+COUNTIFS('2025'!$L$24:$L$112,A67&amp;" / "&amp;B67,'2025'!$K$24:$K$112,1)</x:f>
        <x:v>0</x:v>
      </x:c>
      <x:c r="G67" s="25" t="n">
        <x:f>SUMIFS('2015'!$E$24:$E$96,'2015'!$L$24:$L$96,A67&amp;" / "&amp;B67,'2015'!$C$24:$C$96,A67)+SUMIFS('2015'!$H$24:$H$96,'2015'!$L$24:$L$96,A67&amp;" / "&amp;B67,'2015'!$F$24:$F$96,A67)+SUMIFS('2016'!$E$24:$E$96,'2016'!$L$24:$L$96,A67&amp;" / "&amp;B67,'2016'!$C$24:$C$96,A67)+SUMIFS('2016'!$H$24:$H$96,'2016'!$L$24:$L$96,A67&amp;" / "&amp;B67,'2016'!$F$24:$F$96,A67)+SUMIFS('2017'!$E$24:$E$106,'2017'!$L$24:$L$106,A67&amp;" / "&amp;B67,'2017'!$C$24:$C$106,A67)+SUMIFS('2017'!$H$24:$H$106,'2017'!$L$24:$L$106,A67&amp;" / "&amp;B67,'2017'!$F$24:$F$106,A67)+SUMIFS('2018'!$E$24:$E$106,'2018'!$L$24:$L$106,A67&amp;" / "&amp;B67,'2018'!$C$24:$C$106,A67)+SUMIFS('2018'!$H$24:$H$106,'2018'!$L$24:$L$106,A67&amp;" / "&amp;B67,'2018'!$F$24:$F$106,A67)+SUMIFS('2019'!$E$24:$E$106,'2019'!$L$24:$L$106,A67&amp;" / "&amp;B67,'2019'!$C$24:$C$106,A67)+SUMIFS('2019'!$H$24:$H$106,'2019'!$L$24:$L$106,A67&amp;" / "&amp;B67,'2019'!$F$24:$F$106,A67)+SUMIFS('2020'!$E$24:$E$106,'2020'!$L$24:$L$106,A67&amp;" / "&amp;B67,'2020'!$C$24:$C$106,A67)+SUMIFS('2020'!$H$24:$H$106,'2020'!$L$24:$L$106,A67&amp;" / "&amp;B67,'2020'!$F$24:$F$106,A67)+SUMIFS('2021'!$E$24:$E$112,'2021'!$L$24:$L$112,A67&amp;" / "&amp;B67,'2021'!$C$24:$C$112,A67)+SUMIFS('2021'!$H$24:$H$112,'2021'!$L$24:$L$112,A67&amp;" / "&amp;B67,'2021'!$F$24:$F$112,A67)+SUMIFS('2022'!$E$24:$E$112,'2022'!$L$24:$L$112,A67&amp;" / "&amp;B67,'2022'!$C$24:$C$112,A67)+SUMIFS('2022'!$H$24:$H$112,'2022'!$L$24:$L$112,A67&amp;" / "&amp;B67,'2022'!$F$24:$F$112,A67)+SUMIFS('2023'!$E$24:$E$112,'2023'!$L$24:$L$112,A67&amp;" / "&amp;B67,'2023'!$C$24:$C$112,A67)+SUMIFS('2023'!$H$24:$H$112,'2023'!$L$24:$L$112,A67&amp;" / "&amp;B67,'2023'!$F$24:$F$112,A67)+SUMIFS('2024'!$E$24:$E$112,'2024'!$L$24:$L$112,A67&amp;" / "&amp;B67,'2024'!$C$24:$C$112,A67)+SUMIFS('2024'!$H$24:$H$112,'2024'!$L$24:$L$112,A67&amp;" / "&amp;B67,'2024'!$F$24:$F$112,A67)+SUMIFS('2025'!$E$24:$E$112,'2025'!$L$24:$L$112,A67&amp;" / "&amp;B67,'2025'!$C$24:$C$112,A67)+SUMIFS('2025'!$H$24:$H$112,'2025'!$L$24:$L$112,A67&amp;" / "&amp;B67,'2025'!$F$24:$F$112,A67)</x:f>
        <x:v>94</x:v>
      </x:c>
      <x:c r="H67" s="25" t="n">
        <x:f>SUMIFS('2015'!$E$24:$E$96,'2015'!$L$24:$L$96,A67&amp;" / "&amp;B67,'2015'!$C$24:$C$96,B67)+SUMIFS('2015'!$H$24:$H$96,'2015'!$L$24:$L$96,A67&amp;" / "&amp;B67,'2015'!$F$24:$F$96,B67)+SUMIFS('2016'!$E$24:$E$96,'2016'!$L$24:$L$96,A67&amp;" / "&amp;B67,'2016'!$C$24:$C$96,B67)+SUMIFS('2016'!$H$24:$H$96,'2016'!$L$24:$L$96,A67&amp;" / "&amp;B67,'2016'!$F$24:$F$96,B67)+SUMIFS('2017'!$E$24:$E$106,'2017'!$L$24:$L$106,A67&amp;" / "&amp;B67,'2017'!$C$24:$C$106,B67)+SUMIFS('2017'!$H$24:$H$106,'2017'!$L$24:$L$106,A67&amp;" / "&amp;B67,'2017'!$F$24:$F$106,B67)+SUMIFS('2018'!$E$24:$E$106,'2018'!$L$24:$L$106,A67&amp;" / "&amp;B67,'2018'!$C$24:$C$106,B67)+SUMIFS('2018'!$H$24:$H$106,'2018'!$L$24:$L$106,A67&amp;" / "&amp;B67,'2018'!$F$24:$F$106,B67)+SUMIFS('2019'!$E$24:$E$106,'2019'!$L$24:$L$106,A67&amp;" / "&amp;B67,'2019'!$C$24:$C$106,B67)+SUMIFS('2019'!$H$24:$H$106,'2019'!$L$24:$L$106,A67&amp;" / "&amp;B67,'2019'!$F$24:$F$106,B67)+SUMIFS('2020'!$E$24:$E$106,'2020'!$L$24:$L$106,A67&amp;" / "&amp;B67,'2020'!$C$24:$C$106,B67)+SUMIFS('2020'!$H$24:$H$106,'2020'!$L$24:$L$106,A67&amp;" / "&amp;B67,'2020'!$F$24:$F$106,B67)+SUMIFS('2021'!$E$24:$E$112,'2021'!$L$24:$L$112,A67&amp;" / "&amp;B67,'2021'!$C$24:$C$112,B67)+SUMIFS('2021'!$H$24:$H$112,'2021'!$L$24:$L$112,A67&amp;" / "&amp;B67,'2021'!$F$24:$F$112,B67)+SUMIFS('2022'!$E$24:$E$112,'2022'!$L$24:$L$112,A67&amp;" / "&amp;B67,'2022'!$C$24:$C$112,B67)+SUMIFS('2022'!$H$24:$H$112,'2022'!$L$24:$L$112,A67&amp;" / "&amp;B67,'2022'!$F$24:$F$112,B67)+SUMIFS('2023'!$E$24:$E$112,'2023'!$L$24:$L$112,A67&amp;" / "&amp;B67,'2023'!$C$24:$C$112,B67)+SUMIFS('2023'!$H$24:$H$112,'2023'!$L$24:$L$112,A67&amp;" / "&amp;B67,'2023'!$F$24:$F$112,B67)+SUMIFS('2024'!$E$24:$E$112,'2024'!$L$24:$L$112,A67&amp;" / "&amp;B67,'2024'!$C$24:$C$112,B67)+SUMIFS('2024'!$H$24:$H$112,'2024'!$L$24:$L$112,A67&amp;" / "&amp;B67,'2024'!$F$24:$F$112,B67)+SUMIFS('2025'!$E$24:$E$112,'2025'!$L$24:$L$112,A67&amp;" / "&amp;B67,'2025'!$C$24:$C$112,B67)+SUMIFS('2025'!$H$24:$H$112,'2025'!$L$24:$L$112,A67&amp;" / "&amp;B67,'2025'!$F$24:$F$112,B67)</x:f>
        <x:v>144</x:v>
      </x:c>
      <x:c r="I67" s="11" t="n">
        <x:f>IF(C67=0,0,(D67+0.5*F67)/C67)</x:f>
        <x:v>0</x:v>
      </x:c>
      <x:c r="J67" s="2" t="n">
        <x:f>COUNTIFS('2015'!$L$24:$L$96,A67&amp;" / "&amp;B67,'2015'!$B$24:$B$96,"Regular")+COUNTIFS('2016'!$L$24:$L$96,A67&amp;" / "&amp;B67,'2016'!$B$24:$B$96,"Regular")+COUNTIFS('2017'!$L$24:$L$106,A67&amp;" / "&amp;B67,'2017'!$B$24:$B$106,"Regular")+COUNTIFS('2018'!$L$24:$L$106,A67&amp;" / "&amp;B67,'2018'!$B$24:$B$106,"Regular")+COUNTIFS('2019'!$L$24:$L$106,A67&amp;" / "&amp;B67,'2019'!$B$24:$B$106,"Regular")+COUNTIFS('2020'!$L$24:$L$106,A67&amp;" / "&amp;B67,'2020'!$B$24:$B$106,"Regular")+COUNTIFS('2021'!$L$24:$L$112,A67&amp;" / "&amp;B67,'2021'!$B$24:$B$112,"Regular")+COUNTIFS('2022'!$L$24:$L$112,A67&amp;" / "&amp;B67,'2022'!$B$24:$B$112,"Regular")+COUNTIFS('2023'!$L$24:$L$112,A67&amp;" / "&amp;B67,'2023'!$B$24:$B$112,"Regular")+COUNTIFS('2024'!$L$24:$L$112,A67&amp;" / "&amp;B67,'2024'!$B$24:$B$112,"Regular")+COUNTIFS('2025'!$L$24:$L$112,A67&amp;" / "&amp;B67,'2025'!$B$24:$B$112,"Regular")</x:f>
        <x:v>1</x:v>
      </x:c>
      <x:c r="K67" s="2" t="n">
        <x:f>COUNTIFS('2015'!$L$24:$L$96,A67&amp;" / "&amp;B67,'2015'!$B$24:$B$96,"Playoffs")+COUNTIFS('2016'!$L$24:$L$96,A67&amp;" / "&amp;B67,'2016'!$B$24:$B$96,"Playoffs")+COUNTIFS('2017'!$L$24:$L$106,A67&amp;" / "&amp;B67,'2017'!$B$24:$B$106,"Playoffs")+COUNTIFS('2018'!$L$24:$L$106,A67&amp;" / "&amp;B67,'2018'!$B$24:$B$106,"Playoffs")+COUNTIFS('2019'!$L$24:$L$106,A67&amp;" / "&amp;B67,'2019'!$B$24:$B$106,"Playoffs")+COUNTIFS('2020'!$L$24:$L$106,A67&amp;" / "&amp;B67,'2020'!$B$24:$B$106,"Playoffs")+COUNTIFS('2021'!$L$24:$L$112,A67&amp;" / "&amp;B67,'2021'!$B$24:$B$112,"Playoffs")+COUNTIFS('2022'!$L$24:$L$112,A67&amp;" / "&amp;B67,'2022'!$B$24:$B$112,"Playoffs")+COUNTIFS('2023'!$L$24:$L$112,A67&amp;" / "&amp;B67,'2023'!$B$24:$B$112,"Playoffs")+COUNTIFS('2024'!$L$24:$L$112,A67&amp;" / "&amp;B67,'2024'!$B$24:$B$112,"Playoffs")+COUNTIFS('2025'!$L$24:$L$112,A67&amp;" / "&amp;B67,'2025'!$B$24:$B$112,"Playoffs")</x:f>
        <x:v>0</x:v>
      </x:c>
      <x:c r="L67" s="2" t="n">
        <x:f>COUNTIFS('2015'!$L$24:$L$96,A67&amp;" / "&amp;B67,'2015'!$B$24:$B$96,"Unconfirmed")+COUNTIFS('2016'!$L$24:$L$96,A67&amp;" / "&amp;B67,'2016'!$B$24:$B$96,"Unconfirmed")+COUNTIFS('2017'!$L$24:$L$106,A67&amp;" / "&amp;B67,'2017'!$B$24:$B$106,"Unconfirmed")+COUNTIFS('2018'!$L$24:$L$106,A67&amp;" / "&amp;B67,'2018'!$B$24:$B$106,"Unconfirmed")+COUNTIFS('2019'!$L$24:$L$106,A67&amp;" / "&amp;B67,'2019'!$B$24:$B$106,"Unconfirmed")+COUNTIFS('2020'!$L$24:$L$106,A67&amp;" / "&amp;B67,'2020'!$B$24:$B$106,"Unconfirmed")+COUNTIFS('2021'!$L$24:$L$112,A67&amp;" / "&amp;B67,'2021'!$B$24:$B$112,"Unconfirmed")+COUNTIFS('2022'!$L$24:$L$112,A67&amp;" / "&amp;B67,'2022'!$B$24:$B$112,"Unconfirmed")+COUNTIFS('2023'!$L$24:$L$112,A67&amp;" / "&amp;B67,'2023'!$B$24:$B$112,"Unconfirmed")+COUNTIFS('2024'!$L$24:$L$112,A67&amp;" / "&amp;B67,'2024'!$B$24:$B$112,"Unconfirmed")+COUNTIFS('2025'!$L$24:$L$112,A67&amp;" / "&amp;B67,'2025'!$B$24:$B$112,"Unconfirmed")</x:f>
        <x:v>0</x:v>
      </x:c>
    </x:row>
    <x:row r="68" ht="22" customHeight="1">
      <x:c r="A68" s="2" t="str">
        <x:v>Craig</x:v>
      </x:c>
      <x:c r="B68" s="2" t="str">
        <x:v>James B.</x:v>
      </x:c>
      <x:c r="C68" s="2" t="n">
        <x:f>COUNTIFS('2015'!$L$24:$L$96,A68&amp;" / "&amp;B68)+COUNTIFS('2016'!$L$24:$L$96,A68&amp;" / "&amp;B68)+COUNTIFS('2017'!$L$24:$L$106,A68&amp;" / "&amp;B68)+COUNTIFS('2018'!$L$24:$L$106,A68&amp;" / "&amp;B68)+COUNTIFS('2019'!$L$24:$L$106,A68&amp;" / "&amp;B68)+COUNTIFS('2020'!$L$24:$L$106,A68&amp;" / "&amp;B68)+COUNTIFS('2021'!$L$24:$L$112,A68&amp;" / "&amp;B68)+COUNTIFS('2022'!$L$24:$L$112,A68&amp;" / "&amp;B68)+COUNTIFS('2023'!$L$24:$L$112,A68&amp;" / "&amp;B68)+COUNTIFS('2024'!$L$24:$L$112,A68&amp;" / "&amp;B68)+COUNTIFS('2025'!$L$24:$L$112,A68&amp;" / "&amp;B68)</x:f>
        <x:v>5</x:v>
      </x:c>
      <x:c r="D68" s="2" t="n">
        <x:f>COUNTIFS('2015'!$L$24:$L$96,A68&amp;" / "&amp;B68,'2015'!$I$24:$I$96,A68)+COUNTIFS('2016'!$L$24:$L$96,A68&amp;" / "&amp;B68,'2016'!$I$24:$I$96,A68)+COUNTIFS('2017'!$L$24:$L$106,A68&amp;" / "&amp;B68,'2017'!$I$24:$I$106,A68)+COUNTIFS('2018'!$L$24:$L$106,A68&amp;" / "&amp;B68,'2018'!$I$24:$I$106,A68)+COUNTIFS('2019'!$L$24:$L$106,A68&amp;" / "&amp;B68,'2019'!$I$24:$I$106,A68)+COUNTIFS('2020'!$L$24:$L$106,A68&amp;" / "&amp;B68,'2020'!$I$24:$I$106,A68)+COUNTIFS('2021'!$L$24:$L$112,A68&amp;" / "&amp;B68,'2021'!$I$24:$I$112,A68)+COUNTIFS('2022'!$L$24:$L$112,A68&amp;" / "&amp;B68,'2022'!$I$24:$I$112,A68)+COUNTIFS('2023'!$L$24:$L$112,A68&amp;" / "&amp;B68,'2023'!$I$24:$I$112,A68)+COUNTIFS('2024'!$L$24:$L$112,A68&amp;" / "&amp;B68,'2024'!$I$24:$I$112,A68)+COUNTIFS('2025'!$L$24:$L$112,A68&amp;" / "&amp;B68,'2025'!$I$24:$I$112,A68)</x:f>
        <x:v>1</x:v>
      </x:c>
      <x:c r="E68" s="2" t="n">
        <x:f>COUNTIFS('2015'!$L$24:$L$96,A68&amp;" / "&amp;B68,'2015'!$I$24:$I$96,B68)+COUNTIFS('2016'!$L$24:$L$96,A68&amp;" / "&amp;B68,'2016'!$I$24:$I$96,B68)+COUNTIFS('2017'!$L$24:$L$106,A68&amp;" / "&amp;B68,'2017'!$I$24:$I$106,B68)+COUNTIFS('2018'!$L$24:$L$106,A68&amp;" / "&amp;B68,'2018'!$I$24:$I$106,B68)+COUNTIFS('2019'!$L$24:$L$106,A68&amp;" / "&amp;B68,'2019'!$I$24:$I$106,B68)+COUNTIFS('2020'!$L$24:$L$106,A68&amp;" / "&amp;B68,'2020'!$I$24:$I$106,B68)+COUNTIFS('2021'!$L$24:$L$112,A68&amp;" / "&amp;B68,'2021'!$I$24:$I$112,B68)+COUNTIFS('2022'!$L$24:$L$112,A68&amp;" / "&amp;B68,'2022'!$I$24:$I$112,B68)+COUNTIFS('2023'!$L$24:$L$112,A68&amp;" / "&amp;B68,'2023'!$I$24:$I$112,B68)+COUNTIFS('2024'!$L$24:$L$112,A68&amp;" / "&amp;B68,'2024'!$I$24:$I$112,B68)+COUNTIFS('2025'!$L$24:$L$112,A68&amp;" / "&amp;B68,'2025'!$I$24:$I$112,B68)</x:f>
        <x:v>4</x:v>
      </x:c>
      <x:c r="F68" s="2" t="n">
        <x:f>COUNTIFS('2015'!$L$24:$L$96,A68&amp;" / "&amp;B68,'2015'!$K$24:$K$96,1)+COUNTIFS('2016'!$L$24:$L$96,A68&amp;" / "&amp;B68,'2016'!$K$24:$K$96,1)+COUNTIFS('2017'!$L$24:$L$106,A68&amp;" / "&amp;B68,'2017'!$K$24:$K$106,1)+COUNTIFS('2018'!$L$24:$L$106,A68&amp;" / "&amp;B68,'2018'!$K$24:$K$106,1)+COUNTIFS('2019'!$L$24:$L$106,A68&amp;" / "&amp;B68,'2019'!$K$24:$K$106,1)+COUNTIFS('2020'!$L$24:$L$106,A68&amp;" / "&amp;B68,'2020'!$K$24:$K$106,1)+COUNTIFS('2021'!$L$24:$L$112,A68&amp;" / "&amp;B68,'2021'!$K$24:$K$112,1)+COUNTIFS('2022'!$L$24:$L$112,A68&amp;" / "&amp;B68,'2022'!$K$24:$K$112,1)+COUNTIFS('2023'!$L$24:$L$112,A68&amp;" / "&amp;B68,'2023'!$K$24:$K$112,1)+COUNTIFS('2024'!$L$24:$L$112,A68&amp;" / "&amp;B68,'2024'!$K$24:$K$112,1)+COUNTIFS('2025'!$L$24:$L$112,A68&amp;" / "&amp;B68,'2025'!$K$24:$K$112,1)</x:f>
        <x:v>0</x:v>
      </x:c>
      <x:c r="G68" s="25" t="n">
        <x:f>SUMIFS('2015'!$E$24:$E$96,'2015'!$L$24:$L$96,A68&amp;" / "&amp;B68,'2015'!$C$24:$C$96,A68)+SUMIFS('2015'!$H$24:$H$96,'2015'!$L$24:$L$96,A68&amp;" / "&amp;B68,'2015'!$F$24:$F$96,A68)+SUMIFS('2016'!$E$24:$E$96,'2016'!$L$24:$L$96,A68&amp;" / "&amp;B68,'2016'!$C$24:$C$96,A68)+SUMIFS('2016'!$H$24:$H$96,'2016'!$L$24:$L$96,A68&amp;" / "&amp;B68,'2016'!$F$24:$F$96,A68)+SUMIFS('2017'!$E$24:$E$106,'2017'!$L$24:$L$106,A68&amp;" / "&amp;B68,'2017'!$C$24:$C$106,A68)+SUMIFS('2017'!$H$24:$H$106,'2017'!$L$24:$L$106,A68&amp;" / "&amp;B68,'2017'!$F$24:$F$106,A68)+SUMIFS('2018'!$E$24:$E$106,'2018'!$L$24:$L$106,A68&amp;" / "&amp;B68,'2018'!$C$24:$C$106,A68)+SUMIFS('2018'!$H$24:$H$106,'2018'!$L$24:$L$106,A68&amp;" / "&amp;B68,'2018'!$F$24:$F$106,A68)+SUMIFS('2019'!$E$24:$E$106,'2019'!$L$24:$L$106,A68&amp;" / "&amp;B68,'2019'!$C$24:$C$106,A68)+SUMIFS('2019'!$H$24:$H$106,'2019'!$L$24:$L$106,A68&amp;" / "&amp;B68,'2019'!$F$24:$F$106,A68)+SUMIFS('2020'!$E$24:$E$106,'2020'!$L$24:$L$106,A68&amp;" / "&amp;B68,'2020'!$C$24:$C$106,A68)+SUMIFS('2020'!$H$24:$H$106,'2020'!$L$24:$L$106,A68&amp;" / "&amp;B68,'2020'!$F$24:$F$106,A68)+SUMIFS('2021'!$E$24:$E$112,'2021'!$L$24:$L$112,A68&amp;" / "&amp;B68,'2021'!$C$24:$C$112,A68)+SUMIFS('2021'!$H$24:$H$112,'2021'!$L$24:$L$112,A68&amp;" / "&amp;B68,'2021'!$F$24:$F$112,A68)+SUMIFS('2022'!$E$24:$E$112,'2022'!$L$24:$L$112,A68&amp;" / "&amp;B68,'2022'!$C$24:$C$112,A68)+SUMIFS('2022'!$H$24:$H$112,'2022'!$L$24:$L$112,A68&amp;" / "&amp;B68,'2022'!$F$24:$F$112,A68)+SUMIFS('2023'!$E$24:$E$112,'2023'!$L$24:$L$112,A68&amp;" / "&amp;B68,'2023'!$C$24:$C$112,A68)+SUMIFS('2023'!$H$24:$H$112,'2023'!$L$24:$L$112,A68&amp;" / "&amp;B68,'2023'!$F$24:$F$112,A68)+SUMIFS('2024'!$E$24:$E$112,'2024'!$L$24:$L$112,A68&amp;" / "&amp;B68,'2024'!$C$24:$C$112,A68)+SUMIFS('2024'!$H$24:$H$112,'2024'!$L$24:$L$112,A68&amp;" / "&amp;B68,'2024'!$F$24:$F$112,A68)+SUMIFS('2025'!$E$24:$E$112,'2025'!$L$24:$L$112,A68&amp;" / "&amp;B68,'2025'!$C$24:$C$112,A68)+SUMIFS('2025'!$H$24:$H$112,'2025'!$L$24:$L$112,A68&amp;" / "&amp;B68,'2025'!$F$24:$F$112,A68)</x:f>
        <x:v>566</x:v>
      </x:c>
      <x:c r="H68" s="25" t="n">
        <x:f>SUMIFS('2015'!$E$24:$E$96,'2015'!$L$24:$L$96,A68&amp;" / "&amp;B68,'2015'!$C$24:$C$96,B68)+SUMIFS('2015'!$H$24:$H$96,'2015'!$L$24:$L$96,A68&amp;" / "&amp;B68,'2015'!$F$24:$F$96,B68)+SUMIFS('2016'!$E$24:$E$96,'2016'!$L$24:$L$96,A68&amp;" / "&amp;B68,'2016'!$C$24:$C$96,B68)+SUMIFS('2016'!$H$24:$H$96,'2016'!$L$24:$L$96,A68&amp;" / "&amp;B68,'2016'!$F$24:$F$96,B68)+SUMIFS('2017'!$E$24:$E$106,'2017'!$L$24:$L$106,A68&amp;" / "&amp;B68,'2017'!$C$24:$C$106,B68)+SUMIFS('2017'!$H$24:$H$106,'2017'!$L$24:$L$106,A68&amp;" / "&amp;B68,'2017'!$F$24:$F$106,B68)+SUMIFS('2018'!$E$24:$E$106,'2018'!$L$24:$L$106,A68&amp;" / "&amp;B68,'2018'!$C$24:$C$106,B68)+SUMIFS('2018'!$H$24:$H$106,'2018'!$L$24:$L$106,A68&amp;" / "&amp;B68,'2018'!$F$24:$F$106,B68)+SUMIFS('2019'!$E$24:$E$106,'2019'!$L$24:$L$106,A68&amp;" / "&amp;B68,'2019'!$C$24:$C$106,B68)+SUMIFS('2019'!$H$24:$H$106,'2019'!$L$24:$L$106,A68&amp;" / "&amp;B68,'2019'!$F$24:$F$106,B68)+SUMIFS('2020'!$E$24:$E$106,'2020'!$L$24:$L$106,A68&amp;" / "&amp;B68,'2020'!$C$24:$C$106,B68)+SUMIFS('2020'!$H$24:$H$106,'2020'!$L$24:$L$106,A68&amp;" / "&amp;B68,'2020'!$F$24:$F$106,B68)+SUMIFS('2021'!$E$24:$E$112,'2021'!$L$24:$L$112,A68&amp;" / "&amp;B68,'2021'!$C$24:$C$112,B68)+SUMIFS('2021'!$H$24:$H$112,'2021'!$L$24:$L$112,A68&amp;" / "&amp;B68,'2021'!$F$24:$F$112,B68)+SUMIFS('2022'!$E$24:$E$112,'2022'!$L$24:$L$112,A68&amp;" / "&amp;B68,'2022'!$C$24:$C$112,B68)+SUMIFS('2022'!$H$24:$H$112,'2022'!$L$24:$L$112,A68&amp;" / "&amp;B68,'2022'!$F$24:$F$112,B68)+SUMIFS('2023'!$E$24:$E$112,'2023'!$L$24:$L$112,A68&amp;" / "&amp;B68,'2023'!$C$24:$C$112,B68)+SUMIFS('2023'!$H$24:$H$112,'2023'!$L$24:$L$112,A68&amp;" / "&amp;B68,'2023'!$F$24:$F$112,B68)+SUMIFS('2024'!$E$24:$E$112,'2024'!$L$24:$L$112,A68&amp;" / "&amp;B68,'2024'!$C$24:$C$112,B68)+SUMIFS('2024'!$H$24:$H$112,'2024'!$L$24:$L$112,A68&amp;" / "&amp;B68,'2024'!$F$24:$F$112,B68)+SUMIFS('2025'!$E$24:$E$112,'2025'!$L$24:$L$112,A68&amp;" / "&amp;B68,'2025'!$C$24:$C$112,B68)+SUMIFS('2025'!$H$24:$H$112,'2025'!$L$24:$L$112,A68&amp;" / "&amp;B68,'2025'!$F$24:$F$112,B68)</x:f>
        <x:v>594</x:v>
      </x:c>
      <x:c r="I68" s="11" t="n">
        <x:f>IF(C68=0,0,(D68+0.5*F68)/C68)</x:f>
        <x:v>0.2</x:v>
      </x:c>
      <x:c r="J68" s="2" t="n">
        <x:f>COUNTIFS('2015'!$L$24:$L$96,A68&amp;" / "&amp;B68,'2015'!$B$24:$B$96,"Regular")+COUNTIFS('2016'!$L$24:$L$96,A68&amp;" / "&amp;B68,'2016'!$B$24:$B$96,"Regular")+COUNTIFS('2017'!$L$24:$L$106,A68&amp;" / "&amp;B68,'2017'!$B$24:$B$106,"Regular")+COUNTIFS('2018'!$L$24:$L$106,A68&amp;" / "&amp;B68,'2018'!$B$24:$B$106,"Regular")+COUNTIFS('2019'!$L$24:$L$106,A68&amp;" / "&amp;B68,'2019'!$B$24:$B$106,"Regular")+COUNTIFS('2020'!$L$24:$L$106,A68&amp;" / "&amp;B68,'2020'!$B$24:$B$106,"Regular")+COUNTIFS('2021'!$L$24:$L$112,A68&amp;" / "&amp;B68,'2021'!$B$24:$B$112,"Regular")+COUNTIFS('2022'!$L$24:$L$112,A68&amp;" / "&amp;B68,'2022'!$B$24:$B$112,"Regular")+COUNTIFS('2023'!$L$24:$L$112,A68&amp;" / "&amp;B68,'2023'!$B$24:$B$112,"Regular")+COUNTIFS('2024'!$L$24:$L$112,A68&amp;" / "&amp;B68,'2024'!$B$24:$B$112,"Regular")+COUNTIFS('2025'!$L$24:$L$112,A68&amp;" / "&amp;B68,'2025'!$B$24:$B$112,"Regular")</x:f>
        <x:v>5</x:v>
      </x:c>
      <x:c r="K68" s="2" t="n">
        <x:f>COUNTIFS('2015'!$L$24:$L$96,A68&amp;" / "&amp;B68,'2015'!$B$24:$B$96,"Playoffs")+COUNTIFS('2016'!$L$24:$L$96,A68&amp;" / "&amp;B68,'2016'!$B$24:$B$96,"Playoffs")+COUNTIFS('2017'!$L$24:$L$106,A68&amp;" / "&amp;B68,'2017'!$B$24:$B$106,"Playoffs")+COUNTIFS('2018'!$L$24:$L$106,A68&amp;" / "&amp;B68,'2018'!$B$24:$B$106,"Playoffs")+COUNTIFS('2019'!$L$24:$L$106,A68&amp;" / "&amp;B68,'2019'!$B$24:$B$106,"Playoffs")+COUNTIFS('2020'!$L$24:$L$106,A68&amp;" / "&amp;B68,'2020'!$B$24:$B$106,"Playoffs")+COUNTIFS('2021'!$L$24:$L$112,A68&amp;" / "&amp;B68,'2021'!$B$24:$B$112,"Playoffs")+COUNTIFS('2022'!$L$24:$L$112,A68&amp;" / "&amp;B68,'2022'!$B$24:$B$112,"Playoffs")+COUNTIFS('2023'!$L$24:$L$112,A68&amp;" / "&amp;B68,'2023'!$B$24:$B$112,"Playoffs")+COUNTIFS('2024'!$L$24:$L$112,A68&amp;" / "&amp;B68,'2024'!$B$24:$B$112,"Playoffs")+COUNTIFS('2025'!$L$24:$L$112,A68&amp;" / "&amp;B68,'2025'!$B$24:$B$112,"Playoffs")</x:f>
        <x:v>0</x:v>
      </x:c>
      <x:c r="L68" s="2" t="n">
        <x:f>COUNTIFS('2015'!$L$24:$L$96,A68&amp;" / "&amp;B68,'2015'!$B$24:$B$96,"Unconfirmed")+COUNTIFS('2016'!$L$24:$L$96,A68&amp;" / "&amp;B68,'2016'!$B$24:$B$96,"Unconfirmed")+COUNTIFS('2017'!$L$24:$L$106,A68&amp;" / "&amp;B68,'2017'!$B$24:$B$106,"Unconfirmed")+COUNTIFS('2018'!$L$24:$L$106,A68&amp;" / "&amp;B68,'2018'!$B$24:$B$106,"Unconfirmed")+COUNTIFS('2019'!$L$24:$L$106,A68&amp;" / "&amp;B68,'2019'!$B$24:$B$106,"Unconfirmed")+COUNTIFS('2020'!$L$24:$L$106,A68&amp;" / "&amp;B68,'2020'!$B$24:$B$106,"Unconfirmed")+COUNTIFS('2021'!$L$24:$L$112,A68&amp;" / "&amp;B68,'2021'!$B$24:$B$112,"Unconfirmed")+COUNTIFS('2022'!$L$24:$L$112,A68&amp;" / "&amp;B68,'2022'!$B$24:$B$112,"Unconfirmed")+COUNTIFS('2023'!$L$24:$L$112,A68&amp;" / "&amp;B68,'2023'!$B$24:$B$112,"Unconfirmed")+COUNTIFS('2024'!$L$24:$L$112,A68&amp;" / "&amp;B68,'2024'!$B$24:$B$112,"Unconfirmed")+COUNTIFS('2025'!$L$24:$L$112,A68&amp;" / "&amp;B68,'2025'!$B$24:$B$112,"Unconfirmed")</x:f>
        <x:v>0</x:v>
      </x:c>
    </x:row>
    <x:row r="69" ht="22" customHeight="1">
      <x:c r="A69" s="2" t="str">
        <x:v>Craig</x:v>
      </x:c>
      <x:c r="B69" s="2" t="str">
        <x:v>Josh</x:v>
      </x:c>
      <x:c r="C69" s="2" t="n">
        <x:f>COUNTIFS('2015'!$L$24:$L$96,A69&amp;" / "&amp;B69)+COUNTIFS('2016'!$L$24:$L$96,A69&amp;" / "&amp;B69)+COUNTIFS('2017'!$L$24:$L$106,A69&amp;" / "&amp;B69)+COUNTIFS('2018'!$L$24:$L$106,A69&amp;" / "&amp;B69)+COUNTIFS('2019'!$L$24:$L$106,A69&amp;" / "&amp;B69)+COUNTIFS('2020'!$L$24:$L$106,A69&amp;" / "&amp;B69)+COUNTIFS('2021'!$L$24:$L$112,A69&amp;" / "&amp;B69)+COUNTIFS('2022'!$L$24:$L$112,A69&amp;" / "&amp;B69)+COUNTIFS('2023'!$L$24:$L$112,A69&amp;" / "&amp;B69)+COUNTIFS('2024'!$L$24:$L$112,A69&amp;" / "&amp;B69)+COUNTIFS('2025'!$L$24:$L$112,A69&amp;" / "&amp;B69)</x:f>
        <x:v>13</x:v>
      </x:c>
      <x:c r="D69" s="2" t="n">
        <x:f>COUNTIFS('2015'!$L$24:$L$96,A69&amp;" / "&amp;B69,'2015'!$I$24:$I$96,A69)+COUNTIFS('2016'!$L$24:$L$96,A69&amp;" / "&amp;B69,'2016'!$I$24:$I$96,A69)+COUNTIFS('2017'!$L$24:$L$106,A69&amp;" / "&amp;B69,'2017'!$I$24:$I$106,A69)+COUNTIFS('2018'!$L$24:$L$106,A69&amp;" / "&amp;B69,'2018'!$I$24:$I$106,A69)+COUNTIFS('2019'!$L$24:$L$106,A69&amp;" / "&amp;B69,'2019'!$I$24:$I$106,A69)+COUNTIFS('2020'!$L$24:$L$106,A69&amp;" / "&amp;B69,'2020'!$I$24:$I$106,A69)+COUNTIFS('2021'!$L$24:$L$112,A69&amp;" / "&amp;B69,'2021'!$I$24:$I$112,A69)+COUNTIFS('2022'!$L$24:$L$112,A69&amp;" / "&amp;B69,'2022'!$I$24:$I$112,A69)+COUNTIFS('2023'!$L$24:$L$112,A69&amp;" / "&amp;B69,'2023'!$I$24:$I$112,A69)+COUNTIFS('2024'!$L$24:$L$112,A69&amp;" / "&amp;B69,'2024'!$I$24:$I$112,A69)+COUNTIFS('2025'!$L$24:$L$112,A69&amp;" / "&amp;B69,'2025'!$I$24:$I$112,A69)</x:f>
        <x:v>6</x:v>
      </x:c>
      <x:c r="E69" s="2" t="n">
        <x:f>COUNTIFS('2015'!$L$24:$L$96,A69&amp;" / "&amp;B69,'2015'!$I$24:$I$96,B69)+COUNTIFS('2016'!$L$24:$L$96,A69&amp;" / "&amp;B69,'2016'!$I$24:$I$96,B69)+COUNTIFS('2017'!$L$24:$L$106,A69&amp;" / "&amp;B69,'2017'!$I$24:$I$106,B69)+COUNTIFS('2018'!$L$24:$L$106,A69&amp;" / "&amp;B69,'2018'!$I$24:$I$106,B69)+COUNTIFS('2019'!$L$24:$L$106,A69&amp;" / "&amp;B69,'2019'!$I$24:$I$106,B69)+COUNTIFS('2020'!$L$24:$L$106,A69&amp;" / "&amp;B69,'2020'!$I$24:$I$106,B69)+COUNTIFS('2021'!$L$24:$L$112,A69&amp;" / "&amp;B69,'2021'!$I$24:$I$112,B69)+COUNTIFS('2022'!$L$24:$L$112,A69&amp;" / "&amp;B69,'2022'!$I$24:$I$112,B69)+COUNTIFS('2023'!$L$24:$L$112,A69&amp;" / "&amp;B69,'2023'!$I$24:$I$112,B69)+COUNTIFS('2024'!$L$24:$L$112,A69&amp;" / "&amp;B69,'2024'!$I$24:$I$112,B69)+COUNTIFS('2025'!$L$24:$L$112,A69&amp;" / "&amp;B69,'2025'!$I$24:$I$112,B69)</x:f>
        <x:v>7</x:v>
      </x:c>
      <x:c r="F69" s="2" t="n">
        <x:f>COUNTIFS('2015'!$L$24:$L$96,A69&amp;" / "&amp;B69,'2015'!$K$24:$K$96,1)+COUNTIFS('2016'!$L$24:$L$96,A69&amp;" / "&amp;B69,'2016'!$K$24:$K$96,1)+COUNTIFS('2017'!$L$24:$L$106,A69&amp;" / "&amp;B69,'2017'!$K$24:$K$106,1)+COUNTIFS('2018'!$L$24:$L$106,A69&amp;" / "&amp;B69,'2018'!$K$24:$K$106,1)+COUNTIFS('2019'!$L$24:$L$106,A69&amp;" / "&amp;B69,'2019'!$K$24:$K$106,1)+COUNTIFS('2020'!$L$24:$L$106,A69&amp;" / "&amp;B69,'2020'!$K$24:$K$106,1)+COUNTIFS('2021'!$L$24:$L$112,A69&amp;" / "&amp;B69,'2021'!$K$24:$K$112,1)+COUNTIFS('2022'!$L$24:$L$112,A69&amp;" / "&amp;B69,'2022'!$K$24:$K$112,1)+COUNTIFS('2023'!$L$24:$L$112,A69&amp;" / "&amp;B69,'2023'!$K$24:$K$112,1)+COUNTIFS('2024'!$L$24:$L$112,A69&amp;" / "&amp;B69,'2024'!$K$24:$K$112,1)+COUNTIFS('2025'!$L$24:$L$112,A69&amp;" / "&amp;B69,'2025'!$K$24:$K$112,1)</x:f>
        <x:v>0</x:v>
      </x:c>
      <x:c r="G69" s="25" t="n">
        <x:f>SUMIFS('2015'!$E$24:$E$96,'2015'!$L$24:$L$96,A69&amp;" / "&amp;B69,'2015'!$C$24:$C$96,A69)+SUMIFS('2015'!$H$24:$H$96,'2015'!$L$24:$L$96,A69&amp;" / "&amp;B69,'2015'!$F$24:$F$96,A69)+SUMIFS('2016'!$E$24:$E$96,'2016'!$L$24:$L$96,A69&amp;" / "&amp;B69,'2016'!$C$24:$C$96,A69)+SUMIFS('2016'!$H$24:$H$96,'2016'!$L$24:$L$96,A69&amp;" / "&amp;B69,'2016'!$F$24:$F$96,A69)+SUMIFS('2017'!$E$24:$E$106,'2017'!$L$24:$L$106,A69&amp;" / "&amp;B69,'2017'!$C$24:$C$106,A69)+SUMIFS('2017'!$H$24:$H$106,'2017'!$L$24:$L$106,A69&amp;" / "&amp;B69,'2017'!$F$24:$F$106,A69)+SUMIFS('2018'!$E$24:$E$106,'2018'!$L$24:$L$106,A69&amp;" / "&amp;B69,'2018'!$C$24:$C$106,A69)+SUMIFS('2018'!$H$24:$H$106,'2018'!$L$24:$L$106,A69&amp;" / "&amp;B69,'2018'!$F$24:$F$106,A69)+SUMIFS('2019'!$E$24:$E$106,'2019'!$L$24:$L$106,A69&amp;" / "&amp;B69,'2019'!$C$24:$C$106,A69)+SUMIFS('2019'!$H$24:$H$106,'2019'!$L$24:$L$106,A69&amp;" / "&amp;B69,'2019'!$F$24:$F$106,A69)+SUMIFS('2020'!$E$24:$E$106,'2020'!$L$24:$L$106,A69&amp;" / "&amp;B69,'2020'!$C$24:$C$106,A69)+SUMIFS('2020'!$H$24:$H$106,'2020'!$L$24:$L$106,A69&amp;" / "&amp;B69,'2020'!$F$24:$F$106,A69)+SUMIFS('2021'!$E$24:$E$112,'2021'!$L$24:$L$112,A69&amp;" / "&amp;B69,'2021'!$C$24:$C$112,A69)+SUMIFS('2021'!$H$24:$H$112,'2021'!$L$24:$L$112,A69&amp;" / "&amp;B69,'2021'!$F$24:$F$112,A69)+SUMIFS('2022'!$E$24:$E$112,'2022'!$L$24:$L$112,A69&amp;" / "&amp;B69,'2022'!$C$24:$C$112,A69)+SUMIFS('2022'!$H$24:$H$112,'2022'!$L$24:$L$112,A69&amp;" / "&amp;B69,'2022'!$F$24:$F$112,A69)+SUMIFS('2023'!$E$24:$E$112,'2023'!$L$24:$L$112,A69&amp;" / "&amp;B69,'2023'!$C$24:$C$112,A69)+SUMIFS('2023'!$H$24:$H$112,'2023'!$L$24:$L$112,A69&amp;" / "&amp;B69,'2023'!$F$24:$F$112,A69)+SUMIFS('2024'!$E$24:$E$112,'2024'!$L$24:$L$112,A69&amp;" / "&amp;B69,'2024'!$C$24:$C$112,A69)+SUMIFS('2024'!$H$24:$H$112,'2024'!$L$24:$L$112,A69&amp;" / "&amp;B69,'2024'!$F$24:$F$112,A69)+SUMIFS('2025'!$E$24:$E$112,'2025'!$L$24:$L$112,A69&amp;" / "&amp;B69,'2025'!$C$24:$C$112,A69)+SUMIFS('2025'!$H$24:$H$112,'2025'!$L$24:$L$112,A69&amp;" / "&amp;B69,'2025'!$F$24:$F$112,A69)</x:f>
        <x:v>1622.0000000000002</x:v>
      </x:c>
      <x:c r="H69" s="25" t="n">
        <x:f>SUMIFS('2015'!$E$24:$E$96,'2015'!$L$24:$L$96,A69&amp;" / "&amp;B69,'2015'!$C$24:$C$96,B69)+SUMIFS('2015'!$H$24:$H$96,'2015'!$L$24:$L$96,A69&amp;" / "&amp;B69,'2015'!$F$24:$F$96,B69)+SUMIFS('2016'!$E$24:$E$96,'2016'!$L$24:$L$96,A69&amp;" / "&amp;B69,'2016'!$C$24:$C$96,B69)+SUMIFS('2016'!$H$24:$H$96,'2016'!$L$24:$L$96,A69&amp;" / "&amp;B69,'2016'!$F$24:$F$96,B69)+SUMIFS('2017'!$E$24:$E$106,'2017'!$L$24:$L$106,A69&amp;" / "&amp;B69,'2017'!$C$24:$C$106,B69)+SUMIFS('2017'!$H$24:$H$106,'2017'!$L$24:$L$106,A69&amp;" / "&amp;B69,'2017'!$F$24:$F$106,B69)+SUMIFS('2018'!$E$24:$E$106,'2018'!$L$24:$L$106,A69&amp;" / "&amp;B69,'2018'!$C$24:$C$106,B69)+SUMIFS('2018'!$H$24:$H$106,'2018'!$L$24:$L$106,A69&amp;" / "&amp;B69,'2018'!$F$24:$F$106,B69)+SUMIFS('2019'!$E$24:$E$106,'2019'!$L$24:$L$106,A69&amp;" / "&amp;B69,'2019'!$C$24:$C$106,B69)+SUMIFS('2019'!$H$24:$H$106,'2019'!$L$24:$L$106,A69&amp;" / "&amp;B69,'2019'!$F$24:$F$106,B69)+SUMIFS('2020'!$E$24:$E$106,'2020'!$L$24:$L$106,A69&amp;" / "&amp;B69,'2020'!$C$24:$C$106,B69)+SUMIFS('2020'!$H$24:$H$106,'2020'!$L$24:$L$106,A69&amp;" / "&amp;B69,'2020'!$F$24:$F$106,B69)+SUMIFS('2021'!$E$24:$E$112,'2021'!$L$24:$L$112,A69&amp;" / "&amp;B69,'2021'!$C$24:$C$112,B69)+SUMIFS('2021'!$H$24:$H$112,'2021'!$L$24:$L$112,A69&amp;" / "&amp;B69,'2021'!$F$24:$F$112,B69)+SUMIFS('2022'!$E$24:$E$112,'2022'!$L$24:$L$112,A69&amp;" / "&amp;B69,'2022'!$C$24:$C$112,B69)+SUMIFS('2022'!$H$24:$H$112,'2022'!$L$24:$L$112,A69&amp;" / "&amp;B69,'2022'!$F$24:$F$112,B69)+SUMIFS('2023'!$E$24:$E$112,'2023'!$L$24:$L$112,A69&amp;" / "&amp;B69,'2023'!$C$24:$C$112,B69)+SUMIFS('2023'!$H$24:$H$112,'2023'!$L$24:$L$112,A69&amp;" / "&amp;B69,'2023'!$F$24:$F$112,B69)+SUMIFS('2024'!$E$24:$E$112,'2024'!$L$24:$L$112,A69&amp;" / "&amp;B69,'2024'!$C$24:$C$112,B69)+SUMIFS('2024'!$H$24:$H$112,'2024'!$L$24:$L$112,A69&amp;" / "&amp;B69,'2024'!$F$24:$F$112,B69)+SUMIFS('2025'!$E$24:$E$112,'2025'!$L$24:$L$112,A69&amp;" / "&amp;B69,'2025'!$C$24:$C$112,B69)+SUMIFS('2025'!$H$24:$H$112,'2025'!$L$24:$L$112,A69&amp;" / "&amp;B69,'2025'!$F$24:$F$112,B69)</x:f>
        <x:v>1704.9</x:v>
      </x:c>
      <x:c r="I69" s="11" t="n">
        <x:f>IF(C69=0,0,(D69+0.5*F69)/C69)</x:f>
        <x:v>0.46153846153846156</x:v>
      </x:c>
      <x:c r="J69" s="2" t="n">
        <x:f>COUNTIFS('2015'!$L$24:$L$96,A69&amp;" / "&amp;B69,'2015'!$B$24:$B$96,"Regular")+COUNTIFS('2016'!$L$24:$L$96,A69&amp;" / "&amp;B69,'2016'!$B$24:$B$96,"Regular")+COUNTIFS('2017'!$L$24:$L$106,A69&amp;" / "&amp;B69,'2017'!$B$24:$B$106,"Regular")+COUNTIFS('2018'!$L$24:$L$106,A69&amp;" / "&amp;B69,'2018'!$B$24:$B$106,"Regular")+COUNTIFS('2019'!$L$24:$L$106,A69&amp;" / "&amp;B69,'2019'!$B$24:$B$106,"Regular")+COUNTIFS('2020'!$L$24:$L$106,A69&amp;" / "&amp;B69,'2020'!$B$24:$B$106,"Regular")+COUNTIFS('2021'!$L$24:$L$112,A69&amp;" / "&amp;B69,'2021'!$B$24:$B$112,"Regular")+COUNTIFS('2022'!$L$24:$L$112,A69&amp;" / "&amp;B69,'2022'!$B$24:$B$112,"Regular")+COUNTIFS('2023'!$L$24:$L$112,A69&amp;" / "&amp;B69,'2023'!$B$24:$B$112,"Regular")+COUNTIFS('2024'!$L$24:$L$112,A69&amp;" / "&amp;B69,'2024'!$B$24:$B$112,"Regular")+COUNTIFS('2025'!$L$24:$L$112,A69&amp;" / "&amp;B69,'2025'!$B$24:$B$112,"Regular")</x:f>
        <x:v>13</x:v>
      </x:c>
      <x:c r="K69" s="2" t="n">
        <x:f>COUNTIFS('2015'!$L$24:$L$96,A69&amp;" / "&amp;B69,'2015'!$B$24:$B$96,"Playoffs")+COUNTIFS('2016'!$L$24:$L$96,A69&amp;" / "&amp;B69,'2016'!$B$24:$B$96,"Playoffs")+COUNTIFS('2017'!$L$24:$L$106,A69&amp;" / "&amp;B69,'2017'!$B$24:$B$106,"Playoffs")+COUNTIFS('2018'!$L$24:$L$106,A69&amp;" / "&amp;B69,'2018'!$B$24:$B$106,"Playoffs")+COUNTIFS('2019'!$L$24:$L$106,A69&amp;" / "&amp;B69,'2019'!$B$24:$B$106,"Playoffs")+COUNTIFS('2020'!$L$24:$L$106,A69&amp;" / "&amp;B69,'2020'!$B$24:$B$106,"Playoffs")+COUNTIFS('2021'!$L$24:$L$112,A69&amp;" / "&amp;B69,'2021'!$B$24:$B$112,"Playoffs")+COUNTIFS('2022'!$L$24:$L$112,A69&amp;" / "&amp;B69,'2022'!$B$24:$B$112,"Playoffs")+COUNTIFS('2023'!$L$24:$L$112,A69&amp;" / "&amp;B69,'2023'!$B$24:$B$112,"Playoffs")+COUNTIFS('2024'!$L$24:$L$112,A69&amp;" / "&amp;B69,'2024'!$B$24:$B$112,"Playoffs")+COUNTIFS('2025'!$L$24:$L$112,A69&amp;" / "&amp;B69,'2025'!$B$24:$B$112,"Playoffs")</x:f>
        <x:v>0</x:v>
      </x:c>
      <x:c r="L69" s="2" t="n">
        <x:f>COUNTIFS('2015'!$L$24:$L$96,A69&amp;" / "&amp;B69,'2015'!$B$24:$B$96,"Unconfirmed")+COUNTIFS('2016'!$L$24:$L$96,A69&amp;" / "&amp;B69,'2016'!$B$24:$B$96,"Unconfirmed")+COUNTIFS('2017'!$L$24:$L$106,A69&amp;" / "&amp;B69,'2017'!$B$24:$B$106,"Unconfirmed")+COUNTIFS('2018'!$L$24:$L$106,A69&amp;" / "&amp;B69,'2018'!$B$24:$B$106,"Unconfirmed")+COUNTIFS('2019'!$L$24:$L$106,A69&amp;" / "&amp;B69,'2019'!$B$24:$B$106,"Unconfirmed")+COUNTIFS('2020'!$L$24:$L$106,A69&amp;" / "&amp;B69,'2020'!$B$24:$B$106,"Unconfirmed")+COUNTIFS('2021'!$L$24:$L$112,A69&amp;" / "&amp;B69,'2021'!$B$24:$B$112,"Unconfirmed")+COUNTIFS('2022'!$L$24:$L$112,A69&amp;" / "&amp;B69,'2022'!$B$24:$B$112,"Unconfirmed")+COUNTIFS('2023'!$L$24:$L$112,A69&amp;" / "&amp;B69,'2023'!$B$24:$B$112,"Unconfirmed")+COUNTIFS('2024'!$L$24:$L$112,A69&amp;" / "&amp;B69,'2024'!$B$24:$B$112,"Unconfirmed")+COUNTIFS('2025'!$L$24:$L$112,A69&amp;" / "&amp;B69,'2025'!$B$24:$B$112,"Unconfirmed")</x:f>
        <x:v>0</x:v>
      </x:c>
    </x:row>
    <x:row r="70" ht="22" customHeight="1">
      <x:c r="A70" s="2" t="str">
        <x:v>Craig</x:v>
      </x:c>
      <x:c r="B70" s="2" t="str">
        <x:v>Mark</x:v>
      </x:c>
      <x:c r="C70" s="2" t="n">
        <x:f>COUNTIFS('2015'!$L$24:$L$96,A70&amp;" / "&amp;B70)+COUNTIFS('2016'!$L$24:$L$96,A70&amp;" / "&amp;B70)+COUNTIFS('2017'!$L$24:$L$106,A70&amp;" / "&amp;B70)+COUNTIFS('2018'!$L$24:$L$106,A70&amp;" / "&amp;B70)+COUNTIFS('2019'!$L$24:$L$106,A70&amp;" / "&amp;B70)+COUNTIFS('2020'!$L$24:$L$106,A70&amp;" / "&amp;B70)+COUNTIFS('2021'!$L$24:$L$112,A70&amp;" / "&amp;B70)+COUNTIFS('2022'!$L$24:$L$112,A70&amp;" / "&amp;B70)+COUNTIFS('2023'!$L$24:$L$112,A70&amp;" / "&amp;B70)+COUNTIFS('2024'!$L$24:$L$112,A70&amp;" / "&amp;B70)+COUNTIFS('2025'!$L$24:$L$112,A70&amp;" / "&amp;B70)</x:f>
        <x:v>16</x:v>
      </x:c>
      <x:c r="D70" s="2" t="n">
        <x:f>COUNTIFS('2015'!$L$24:$L$96,A70&amp;" / "&amp;B70,'2015'!$I$24:$I$96,A70)+COUNTIFS('2016'!$L$24:$L$96,A70&amp;" / "&amp;B70,'2016'!$I$24:$I$96,A70)+COUNTIFS('2017'!$L$24:$L$106,A70&amp;" / "&amp;B70,'2017'!$I$24:$I$106,A70)+COUNTIFS('2018'!$L$24:$L$106,A70&amp;" / "&amp;B70,'2018'!$I$24:$I$106,A70)+COUNTIFS('2019'!$L$24:$L$106,A70&amp;" / "&amp;B70,'2019'!$I$24:$I$106,A70)+COUNTIFS('2020'!$L$24:$L$106,A70&amp;" / "&amp;B70,'2020'!$I$24:$I$106,A70)+COUNTIFS('2021'!$L$24:$L$112,A70&amp;" / "&amp;B70,'2021'!$I$24:$I$112,A70)+COUNTIFS('2022'!$L$24:$L$112,A70&amp;" / "&amp;B70,'2022'!$I$24:$I$112,A70)+COUNTIFS('2023'!$L$24:$L$112,A70&amp;" / "&amp;B70,'2023'!$I$24:$I$112,A70)+COUNTIFS('2024'!$L$24:$L$112,A70&amp;" / "&amp;B70,'2024'!$I$24:$I$112,A70)+COUNTIFS('2025'!$L$24:$L$112,A70&amp;" / "&amp;B70,'2025'!$I$24:$I$112,A70)</x:f>
        <x:v>8</x:v>
      </x:c>
      <x:c r="E70" s="2" t="n">
        <x:f>COUNTIFS('2015'!$L$24:$L$96,A70&amp;" / "&amp;B70,'2015'!$I$24:$I$96,B70)+COUNTIFS('2016'!$L$24:$L$96,A70&amp;" / "&amp;B70,'2016'!$I$24:$I$96,B70)+COUNTIFS('2017'!$L$24:$L$106,A70&amp;" / "&amp;B70,'2017'!$I$24:$I$106,B70)+COUNTIFS('2018'!$L$24:$L$106,A70&amp;" / "&amp;B70,'2018'!$I$24:$I$106,B70)+COUNTIFS('2019'!$L$24:$L$106,A70&amp;" / "&amp;B70,'2019'!$I$24:$I$106,B70)+COUNTIFS('2020'!$L$24:$L$106,A70&amp;" / "&amp;B70,'2020'!$I$24:$I$106,B70)+COUNTIFS('2021'!$L$24:$L$112,A70&amp;" / "&amp;B70,'2021'!$I$24:$I$112,B70)+COUNTIFS('2022'!$L$24:$L$112,A70&amp;" / "&amp;B70,'2022'!$I$24:$I$112,B70)+COUNTIFS('2023'!$L$24:$L$112,A70&amp;" / "&amp;B70,'2023'!$I$24:$I$112,B70)+COUNTIFS('2024'!$L$24:$L$112,A70&amp;" / "&amp;B70,'2024'!$I$24:$I$112,B70)+COUNTIFS('2025'!$L$24:$L$112,A70&amp;" / "&amp;B70,'2025'!$I$24:$I$112,B70)</x:f>
        <x:v>8</x:v>
      </x:c>
      <x:c r="F70" s="2" t="n">
        <x:f>COUNTIFS('2015'!$L$24:$L$96,A70&amp;" / "&amp;B70,'2015'!$K$24:$K$96,1)+COUNTIFS('2016'!$L$24:$L$96,A70&amp;" / "&amp;B70,'2016'!$K$24:$K$96,1)+COUNTIFS('2017'!$L$24:$L$106,A70&amp;" / "&amp;B70,'2017'!$K$24:$K$106,1)+COUNTIFS('2018'!$L$24:$L$106,A70&amp;" / "&amp;B70,'2018'!$K$24:$K$106,1)+COUNTIFS('2019'!$L$24:$L$106,A70&amp;" / "&amp;B70,'2019'!$K$24:$K$106,1)+COUNTIFS('2020'!$L$24:$L$106,A70&amp;" / "&amp;B70,'2020'!$K$24:$K$106,1)+COUNTIFS('2021'!$L$24:$L$112,A70&amp;" / "&amp;B70,'2021'!$K$24:$K$112,1)+COUNTIFS('2022'!$L$24:$L$112,A70&amp;" / "&amp;B70,'2022'!$K$24:$K$112,1)+COUNTIFS('2023'!$L$24:$L$112,A70&amp;" / "&amp;B70,'2023'!$K$24:$K$112,1)+COUNTIFS('2024'!$L$24:$L$112,A70&amp;" / "&amp;B70,'2024'!$K$24:$K$112,1)+COUNTIFS('2025'!$L$24:$L$112,A70&amp;" / "&amp;B70,'2025'!$K$24:$K$112,1)</x:f>
        <x:v>0</x:v>
      </x:c>
      <x:c r="G70" s="25" t="n">
        <x:f>SUMIFS('2015'!$E$24:$E$96,'2015'!$L$24:$L$96,A70&amp;" / "&amp;B70,'2015'!$C$24:$C$96,A70)+SUMIFS('2015'!$H$24:$H$96,'2015'!$L$24:$L$96,A70&amp;" / "&amp;B70,'2015'!$F$24:$F$96,A70)+SUMIFS('2016'!$E$24:$E$96,'2016'!$L$24:$L$96,A70&amp;" / "&amp;B70,'2016'!$C$24:$C$96,A70)+SUMIFS('2016'!$H$24:$H$96,'2016'!$L$24:$L$96,A70&amp;" / "&amp;B70,'2016'!$F$24:$F$96,A70)+SUMIFS('2017'!$E$24:$E$106,'2017'!$L$24:$L$106,A70&amp;" / "&amp;B70,'2017'!$C$24:$C$106,A70)+SUMIFS('2017'!$H$24:$H$106,'2017'!$L$24:$L$106,A70&amp;" / "&amp;B70,'2017'!$F$24:$F$106,A70)+SUMIFS('2018'!$E$24:$E$106,'2018'!$L$24:$L$106,A70&amp;" / "&amp;B70,'2018'!$C$24:$C$106,A70)+SUMIFS('2018'!$H$24:$H$106,'2018'!$L$24:$L$106,A70&amp;" / "&amp;B70,'2018'!$F$24:$F$106,A70)+SUMIFS('2019'!$E$24:$E$106,'2019'!$L$24:$L$106,A70&amp;" / "&amp;B70,'2019'!$C$24:$C$106,A70)+SUMIFS('2019'!$H$24:$H$106,'2019'!$L$24:$L$106,A70&amp;" / "&amp;B70,'2019'!$F$24:$F$106,A70)+SUMIFS('2020'!$E$24:$E$106,'2020'!$L$24:$L$106,A70&amp;" / "&amp;B70,'2020'!$C$24:$C$106,A70)+SUMIFS('2020'!$H$24:$H$106,'2020'!$L$24:$L$106,A70&amp;" / "&amp;B70,'2020'!$F$24:$F$106,A70)+SUMIFS('2021'!$E$24:$E$112,'2021'!$L$24:$L$112,A70&amp;" / "&amp;B70,'2021'!$C$24:$C$112,A70)+SUMIFS('2021'!$H$24:$H$112,'2021'!$L$24:$L$112,A70&amp;" / "&amp;B70,'2021'!$F$24:$F$112,A70)+SUMIFS('2022'!$E$24:$E$112,'2022'!$L$24:$L$112,A70&amp;" / "&amp;B70,'2022'!$C$24:$C$112,A70)+SUMIFS('2022'!$H$24:$H$112,'2022'!$L$24:$L$112,A70&amp;" / "&amp;B70,'2022'!$F$24:$F$112,A70)+SUMIFS('2023'!$E$24:$E$112,'2023'!$L$24:$L$112,A70&amp;" / "&amp;B70,'2023'!$C$24:$C$112,A70)+SUMIFS('2023'!$H$24:$H$112,'2023'!$L$24:$L$112,A70&amp;" / "&amp;B70,'2023'!$F$24:$F$112,A70)+SUMIFS('2024'!$E$24:$E$112,'2024'!$L$24:$L$112,A70&amp;" / "&amp;B70,'2024'!$C$24:$C$112,A70)+SUMIFS('2024'!$H$24:$H$112,'2024'!$L$24:$L$112,A70&amp;" / "&amp;B70,'2024'!$F$24:$F$112,A70)+SUMIFS('2025'!$E$24:$E$112,'2025'!$L$24:$L$112,A70&amp;" / "&amp;B70,'2025'!$C$24:$C$112,A70)+SUMIFS('2025'!$H$24:$H$112,'2025'!$L$24:$L$112,A70&amp;" / "&amp;B70,'2025'!$F$24:$F$112,A70)</x:f>
        <x:v>1872.3000000000002</x:v>
      </x:c>
      <x:c r="H70" s="25" t="n">
        <x:f>SUMIFS('2015'!$E$24:$E$96,'2015'!$L$24:$L$96,A70&amp;" / "&amp;B70,'2015'!$C$24:$C$96,B70)+SUMIFS('2015'!$H$24:$H$96,'2015'!$L$24:$L$96,A70&amp;" / "&amp;B70,'2015'!$F$24:$F$96,B70)+SUMIFS('2016'!$E$24:$E$96,'2016'!$L$24:$L$96,A70&amp;" / "&amp;B70,'2016'!$C$24:$C$96,B70)+SUMIFS('2016'!$H$24:$H$96,'2016'!$L$24:$L$96,A70&amp;" / "&amp;B70,'2016'!$F$24:$F$96,B70)+SUMIFS('2017'!$E$24:$E$106,'2017'!$L$24:$L$106,A70&amp;" / "&amp;B70,'2017'!$C$24:$C$106,B70)+SUMIFS('2017'!$H$24:$H$106,'2017'!$L$24:$L$106,A70&amp;" / "&amp;B70,'2017'!$F$24:$F$106,B70)+SUMIFS('2018'!$E$24:$E$106,'2018'!$L$24:$L$106,A70&amp;" / "&amp;B70,'2018'!$C$24:$C$106,B70)+SUMIFS('2018'!$H$24:$H$106,'2018'!$L$24:$L$106,A70&amp;" / "&amp;B70,'2018'!$F$24:$F$106,B70)+SUMIFS('2019'!$E$24:$E$106,'2019'!$L$24:$L$106,A70&amp;" / "&amp;B70,'2019'!$C$24:$C$106,B70)+SUMIFS('2019'!$H$24:$H$106,'2019'!$L$24:$L$106,A70&amp;" / "&amp;B70,'2019'!$F$24:$F$106,B70)+SUMIFS('2020'!$E$24:$E$106,'2020'!$L$24:$L$106,A70&amp;" / "&amp;B70,'2020'!$C$24:$C$106,B70)+SUMIFS('2020'!$H$24:$H$106,'2020'!$L$24:$L$106,A70&amp;" / "&amp;B70,'2020'!$F$24:$F$106,B70)+SUMIFS('2021'!$E$24:$E$112,'2021'!$L$24:$L$112,A70&amp;" / "&amp;B70,'2021'!$C$24:$C$112,B70)+SUMIFS('2021'!$H$24:$H$112,'2021'!$L$24:$L$112,A70&amp;" / "&amp;B70,'2021'!$F$24:$F$112,B70)+SUMIFS('2022'!$E$24:$E$112,'2022'!$L$24:$L$112,A70&amp;" / "&amp;B70,'2022'!$C$24:$C$112,B70)+SUMIFS('2022'!$H$24:$H$112,'2022'!$L$24:$L$112,A70&amp;" / "&amp;B70,'2022'!$F$24:$F$112,B70)+SUMIFS('2023'!$E$24:$E$112,'2023'!$L$24:$L$112,A70&amp;" / "&amp;B70,'2023'!$C$24:$C$112,B70)+SUMIFS('2023'!$H$24:$H$112,'2023'!$L$24:$L$112,A70&amp;" / "&amp;B70,'2023'!$F$24:$F$112,B70)+SUMIFS('2024'!$E$24:$E$112,'2024'!$L$24:$L$112,A70&amp;" / "&amp;B70,'2024'!$C$24:$C$112,B70)+SUMIFS('2024'!$H$24:$H$112,'2024'!$L$24:$L$112,A70&amp;" / "&amp;B70,'2024'!$F$24:$F$112,B70)+SUMIFS('2025'!$E$24:$E$112,'2025'!$L$24:$L$112,A70&amp;" / "&amp;B70,'2025'!$C$24:$C$112,B70)+SUMIFS('2025'!$H$24:$H$112,'2025'!$L$24:$L$112,A70&amp;" / "&amp;B70,'2025'!$F$24:$F$112,B70)</x:f>
        <x:v>1878.55</x:v>
      </x:c>
      <x:c r="I70" s="11" t="n">
        <x:f>IF(C70=0,0,(D70+0.5*F70)/C70)</x:f>
        <x:v>0.5</x:v>
      </x:c>
      <x:c r="J70" s="2" t="n">
        <x:f>COUNTIFS('2015'!$L$24:$L$96,A70&amp;" / "&amp;B70,'2015'!$B$24:$B$96,"Regular")+COUNTIFS('2016'!$L$24:$L$96,A70&amp;" / "&amp;B70,'2016'!$B$24:$B$96,"Regular")+COUNTIFS('2017'!$L$24:$L$106,A70&amp;" / "&amp;B70,'2017'!$B$24:$B$106,"Regular")+COUNTIFS('2018'!$L$24:$L$106,A70&amp;" / "&amp;B70,'2018'!$B$24:$B$106,"Regular")+COUNTIFS('2019'!$L$24:$L$106,A70&amp;" / "&amp;B70,'2019'!$B$24:$B$106,"Regular")+COUNTIFS('2020'!$L$24:$L$106,A70&amp;" / "&amp;B70,'2020'!$B$24:$B$106,"Regular")+COUNTIFS('2021'!$L$24:$L$112,A70&amp;" / "&amp;B70,'2021'!$B$24:$B$112,"Regular")+COUNTIFS('2022'!$L$24:$L$112,A70&amp;" / "&amp;B70,'2022'!$B$24:$B$112,"Regular")+COUNTIFS('2023'!$L$24:$L$112,A70&amp;" / "&amp;B70,'2023'!$B$24:$B$112,"Regular")+COUNTIFS('2024'!$L$24:$L$112,A70&amp;" / "&amp;B70,'2024'!$B$24:$B$112,"Regular")+COUNTIFS('2025'!$L$24:$L$112,A70&amp;" / "&amp;B70,'2025'!$B$24:$B$112,"Regular")</x:f>
        <x:v>15</x:v>
      </x:c>
      <x:c r="K70" s="2" t="n">
        <x:f>COUNTIFS('2015'!$L$24:$L$96,A70&amp;" / "&amp;B70,'2015'!$B$24:$B$96,"Playoffs")+COUNTIFS('2016'!$L$24:$L$96,A70&amp;" / "&amp;B70,'2016'!$B$24:$B$96,"Playoffs")+COUNTIFS('2017'!$L$24:$L$106,A70&amp;" / "&amp;B70,'2017'!$B$24:$B$106,"Playoffs")+COUNTIFS('2018'!$L$24:$L$106,A70&amp;" / "&amp;B70,'2018'!$B$24:$B$106,"Playoffs")+COUNTIFS('2019'!$L$24:$L$106,A70&amp;" / "&amp;B70,'2019'!$B$24:$B$106,"Playoffs")+COUNTIFS('2020'!$L$24:$L$106,A70&amp;" / "&amp;B70,'2020'!$B$24:$B$106,"Playoffs")+COUNTIFS('2021'!$L$24:$L$112,A70&amp;" / "&amp;B70,'2021'!$B$24:$B$112,"Playoffs")+COUNTIFS('2022'!$L$24:$L$112,A70&amp;" / "&amp;B70,'2022'!$B$24:$B$112,"Playoffs")+COUNTIFS('2023'!$L$24:$L$112,A70&amp;" / "&amp;B70,'2023'!$B$24:$B$112,"Playoffs")+COUNTIFS('2024'!$L$24:$L$112,A70&amp;" / "&amp;B70,'2024'!$B$24:$B$112,"Playoffs")+COUNTIFS('2025'!$L$24:$L$112,A70&amp;" / "&amp;B70,'2025'!$B$24:$B$112,"Playoffs")</x:f>
        <x:v>1</x:v>
      </x:c>
      <x:c r="L70" s="2" t="n">
        <x:f>COUNTIFS('2015'!$L$24:$L$96,A70&amp;" / "&amp;B70,'2015'!$B$24:$B$96,"Unconfirmed")+COUNTIFS('2016'!$L$24:$L$96,A70&amp;" / "&amp;B70,'2016'!$B$24:$B$96,"Unconfirmed")+COUNTIFS('2017'!$L$24:$L$106,A70&amp;" / "&amp;B70,'2017'!$B$24:$B$106,"Unconfirmed")+COUNTIFS('2018'!$L$24:$L$106,A70&amp;" / "&amp;B70,'2018'!$B$24:$B$106,"Unconfirmed")+COUNTIFS('2019'!$L$24:$L$106,A70&amp;" / "&amp;B70,'2019'!$B$24:$B$106,"Unconfirmed")+COUNTIFS('2020'!$L$24:$L$106,A70&amp;" / "&amp;B70,'2020'!$B$24:$B$106,"Unconfirmed")+COUNTIFS('2021'!$L$24:$L$112,A70&amp;" / "&amp;B70,'2021'!$B$24:$B$112,"Unconfirmed")+COUNTIFS('2022'!$L$24:$L$112,A70&amp;" / "&amp;B70,'2022'!$B$24:$B$112,"Unconfirmed")+COUNTIFS('2023'!$L$24:$L$112,A70&amp;" / "&amp;B70,'2023'!$B$24:$B$112,"Unconfirmed")+COUNTIFS('2024'!$L$24:$L$112,A70&amp;" / "&amp;B70,'2024'!$B$24:$B$112,"Unconfirmed")+COUNTIFS('2025'!$L$24:$L$112,A70&amp;" / "&amp;B70,'2025'!$B$24:$B$112,"Unconfirmed")</x:f>
        <x:v>0</x:v>
      </x:c>
    </x:row>
    <x:row r="71" ht="22" customHeight="1">
      <x:c r="A71" s="2" t="str">
        <x:v>Craig</x:v>
      </x:c>
      <x:c r="B71" s="2" t="str">
        <x:v>Matt</x:v>
      </x:c>
      <x:c r="C71" s="2" t="n">
        <x:f>COUNTIFS('2015'!$L$24:$L$96,A71&amp;" / "&amp;B71)+COUNTIFS('2016'!$L$24:$L$96,A71&amp;" / "&amp;B71)+COUNTIFS('2017'!$L$24:$L$106,A71&amp;" / "&amp;B71)+COUNTIFS('2018'!$L$24:$L$106,A71&amp;" / "&amp;B71)+COUNTIFS('2019'!$L$24:$L$106,A71&amp;" / "&amp;B71)+COUNTIFS('2020'!$L$24:$L$106,A71&amp;" / "&amp;B71)+COUNTIFS('2021'!$L$24:$L$112,A71&amp;" / "&amp;B71)+COUNTIFS('2022'!$L$24:$L$112,A71&amp;" / "&amp;B71)+COUNTIFS('2023'!$L$24:$L$112,A71&amp;" / "&amp;B71)+COUNTIFS('2024'!$L$24:$L$112,A71&amp;" / "&amp;B71)+COUNTIFS('2025'!$L$24:$L$112,A71&amp;" / "&amp;B71)</x:f>
        <x:v>11</x:v>
      </x:c>
      <x:c r="D71" s="2" t="n">
        <x:f>COUNTIFS('2015'!$L$24:$L$96,A71&amp;" / "&amp;B71,'2015'!$I$24:$I$96,A71)+COUNTIFS('2016'!$L$24:$L$96,A71&amp;" / "&amp;B71,'2016'!$I$24:$I$96,A71)+COUNTIFS('2017'!$L$24:$L$106,A71&amp;" / "&amp;B71,'2017'!$I$24:$I$106,A71)+COUNTIFS('2018'!$L$24:$L$106,A71&amp;" / "&amp;B71,'2018'!$I$24:$I$106,A71)+COUNTIFS('2019'!$L$24:$L$106,A71&amp;" / "&amp;B71,'2019'!$I$24:$I$106,A71)+COUNTIFS('2020'!$L$24:$L$106,A71&amp;" / "&amp;B71,'2020'!$I$24:$I$106,A71)+COUNTIFS('2021'!$L$24:$L$112,A71&amp;" / "&amp;B71,'2021'!$I$24:$I$112,A71)+COUNTIFS('2022'!$L$24:$L$112,A71&amp;" / "&amp;B71,'2022'!$I$24:$I$112,A71)+COUNTIFS('2023'!$L$24:$L$112,A71&amp;" / "&amp;B71,'2023'!$I$24:$I$112,A71)+COUNTIFS('2024'!$L$24:$L$112,A71&amp;" / "&amp;B71,'2024'!$I$24:$I$112,A71)+COUNTIFS('2025'!$L$24:$L$112,A71&amp;" / "&amp;B71,'2025'!$I$24:$I$112,A71)</x:f>
        <x:v>3</x:v>
      </x:c>
      <x:c r="E71" s="2" t="n">
        <x:f>COUNTIFS('2015'!$L$24:$L$96,A71&amp;" / "&amp;B71,'2015'!$I$24:$I$96,B71)+COUNTIFS('2016'!$L$24:$L$96,A71&amp;" / "&amp;B71,'2016'!$I$24:$I$96,B71)+COUNTIFS('2017'!$L$24:$L$106,A71&amp;" / "&amp;B71,'2017'!$I$24:$I$106,B71)+COUNTIFS('2018'!$L$24:$L$106,A71&amp;" / "&amp;B71,'2018'!$I$24:$I$106,B71)+COUNTIFS('2019'!$L$24:$L$106,A71&amp;" / "&amp;B71,'2019'!$I$24:$I$106,B71)+COUNTIFS('2020'!$L$24:$L$106,A71&amp;" / "&amp;B71,'2020'!$I$24:$I$106,B71)+COUNTIFS('2021'!$L$24:$L$112,A71&amp;" / "&amp;B71,'2021'!$I$24:$I$112,B71)+COUNTIFS('2022'!$L$24:$L$112,A71&amp;" / "&amp;B71,'2022'!$I$24:$I$112,B71)+COUNTIFS('2023'!$L$24:$L$112,A71&amp;" / "&amp;B71,'2023'!$I$24:$I$112,B71)+COUNTIFS('2024'!$L$24:$L$112,A71&amp;" / "&amp;B71,'2024'!$I$24:$I$112,B71)+COUNTIFS('2025'!$L$24:$L$112,A71&amp;" / "&amp;B71,'2025'!$I$24:$I$112,B71)</x:f>
        <x:v>8</x:v>
      </x:c>
      <x:c r="F71" s="2" t="n">
        <x:f>COUNTIFS('2015'!$L$24:$L$96,A71&amp;" / "&amp;B71,'2015'!$K$24:$K$96,1)+COUNTIFS('2016'!$L$24:$L$96,A71&amp;" / "&amp;B71,'2016'!$K$24:$K$96,1)+COUNTIFS('2017'!$L$24:$L$106,A71&amp;" / "&amp;B71,'2017'!$K$24:$K$106,1)+COUNTIFS('2018'!$L$24:$L$106,A71&amp;" / "&amp;B71,'2018'!$K$24:$K$106,1)+COUNTIFS('2019'!$L$24:$L$106,A71&amp;" / "&amp;B71,'2019'!$K$24:$K$106,1)+COUNTIFS('2020'!$L$24:$L$106,A71&amp;" / "&amp;B71,'2020'!$K$24:$K$106,1)+COUNTIFS('2021'!$L$24:$L$112,A71&amp;" / "&amp;B71,'2021'!$K$24:$K$112,1)+COUNTIFS('2022'!$L$24:$L$112,A71&amp;" / "&amp;B71,'2022'!$K$24:$K$112,1)+COUNTIFS('2023'!$L$24:$L$112,A71&amp;" / "&amp;B71,'2023'!$K$24:$K$112,1)+COUNTIFS('2024'!$L$24:$L$112,A71&amp;" / "&amp;B71,'2024'!$K$24:$K$112,1)+COUNTIFS('2025'!$L$24:$L$112,A71&amp;" / "&amp;B71,'2025'!$K$24:$K$112,1)</x:f>
        <x:v>0</x:v>
      </x:c>
      <x:c r="G71" s="25" t="n">
        <x:f>SUMIFS('2015'!$E$24:$E$96,'2015'!$L$24:$L$96,A71&amp;" / "&amp;B71,'2015'!$C$24:$C$96,A71)+SUMIFS('2015'!$H$24:$H$96,'2015'!$L$24:$L$96,A71&amp;" / "&amp;B71,'2015'!$F$24:$F$96,A71)+SUMIFS('2016'!$E$24:$E$96,'2016'!$L$24:$L$96,A71&amp;" / "&amp;B71,'2016'!$C$24:$C$96,A71)+SUMIFS('2016'!$H$24:$H$96,'2016'!$L$24:$L$96,A71&amp;" / "&amp;B71,'2016'!$F$24:$F$96,A71)+SUMIFS('2017'!$E$24:$E$106,'2017'!$L$24:$L$106,A71&amp;" / "&amp;B71,'2017'!$C$24:$C$106,A71)+SUMIFS('2017'!$H$24:$H$106,'2017'!$L$24:$L$106,A71&amp;" / "&amp;B71,'2017'!$F$24:$F$106,A71)+SUMIFS('2018'!$E$24:$E$106,'2018'!$L$24:$L$106,A71&amp;" / "&amp;B71,'2018'!$C$24:$C$106,A71)+SUMIFS('2018'!$H$24:$H$106,'2018'!$L$24:$L$106,A71&amp;" / "&amp;B71,'2018'!$F$24:$F$106,A71)+SUMIFS('2019'!$E$24:$E$106,'2019'!$L$24:$L$106,A71&amp;" / "&amp;B71,'2019'!$C$24:$C$106,A71)+SUMIFS('2019'!$H$24:$H$106,'2019'!$L$24:$L$106,A71&amp;" / "&amp;B71,'2019'!$F$24:$F$106,A71)+SUMIFS('2020'!$E$24:$E$106,'2020'!$L$24:$L$106,A71&amp;" / "&amp;B71,'2020'!$C$24:$C$106,A71)+SUMIFS('2020'!$H$24:$H$106,'2020'!$L$24:$L$106,A71&amp;" / "&amp;B71,'2020'!$F$24:$F$106,A71)+SUMIFS('2021'!$E$24:$E$112,'2021'!$L$24:$L$112,A71&amp;" / "&amp;B71,'2021'!$C$24:$C$112,A71)+SUMIFS('2021'!$H$24:$H$112,'2021'!$L$24:$L$112,A71&amp;" / "&amp;B71,'2021'!$F$24:$F$112,A71)+SUMIFS('2022'!$E$24:$E$112,'2022'!$L$24:$L$112,A71&amp;" / "&amp;B71,'2022'!$C$24:$C$112,A71)+SUMIFS('2022'!$H$24:$H$112,'2022'!$L$24:$L$112,A71&amp;" / "&amp;B71,'2022'!$F$24:$F$112,A71)+SUMIFS('2023'!$E$24:$E$112,'2023'!$L$24:$L$112,A71&amp;" / "&amp;B71,'2023'!$C$24:$C$112,A71)+SUMIFS('2023'!$H$24:$H$112,'2023'!$L$24:$L$112,A71&amp;" / "&amp;B71,'2023'!$F$24:$F$112,A71)+SUMIFS('2024'!$E$24:$E$112,'2024'!$L$24:$L$112,A71&amp;" / "&amp;B71,'2024'!$C$24:$C$112,A71)+SUMIFS('2024'!$H$24:$H$112,'2024'!$L$24:$L$112,A71&amp;" / "&amp;B71,'2024'!$F$24:$F$112,A71)+SUMIFS('2025'!$E$24:$E$112,'2025'!$L$24:$L$112,A71&amp;" / "&amp;B71,'2025'!$C$24:$C$112,A71)+SUMIFS('2025'!$H$24:$H$112,'2025'!$L$24:$L$112,A71&amp;" / "&amp;B71,'2025'!$F$24:$F$112,A71)</x:f>
        <x:v>1204.0500000000002</x:v>
      </x:c>
      <x:c r="H71" s="25" t="n">
        <x:f>SUMIFS('2015'!$E$24:$E$96,'2015'!$L$24:$L$96,A71&amp;" / "&amp;B71,'2015'!$C$24:$C$96,B71)+SUMIFS('2015'!$H$24:$H$96,'2015'!$L$24:$L$96,A71&amp;" / "&amp;B71,'2015'!$F$24:$F$96,B71)+SUMIFS('2016'!$E$24:$E$96,'2016'!$L$24:$L$96,A71&amp;" / "&amp;B71,'2016'!$C$24:$C$96,B71)+SUMIFS('2016'!$H$24:$H$96,'2016'!$L$24:$L$96,A71&amp;" / "&amp;B71,'2016'!$F$24:$F$96,B71)+SUMIFS('2017'!$E$24:$E$106,'2017'!$L$24:$L$106,A71&amp;" / "&amp;B71,'2017'!$C$24:$C$106,B71)+SUMIFS('2017'!$H$24:$H$106,'2017'!$L$24:$L$106,A71&amp;" / "&amp;B71,'2017'!$F$24:$F$106,B71)+SUMIFS('2018'!$E$24:$E$106,'2018'!$L$24:$L$106,A71&amp;" / "&amp;B71,'2018'!$C$24:$C$106,B71)+SUMIFS('2018'!$H$24:$H$106,'2018'!$L$24:$L$106,A71&amp;" / "&amp;B71,'2018'!$F$24:$F$106,B71)+SUMIFS('2019'!$E$24:$E$106,'2019'!$L$24:$L$106,A71&amp;" / "&amp;B71,'2019'!$C$24:$C$106,B71)+SUMIFS('2019'!$H$24:$H$106,'2019'!$L$24:$L$106,A71&amp;" / "&amp;B71,'2019'!$F$24:$F$106,B71)+SUMIFS('2020'!$E$24:$E$106,'2020'!$L$24:$L$106,A71&amp;" / "&amp;B71,'2020'!$C$24:$C$106,B71)+SUMIFS('2020'!$H$24:$H$106,'2020'!$L$24:$L$106,A71&amp;" / "&amp;B71,'2020'!$F$24:$F$106,B71)+SUMIFS('2021'!$E$24:$E$112,'2021'!$L$24:$L$112,A71&amp;" / "&amp;B71,'2021'!$C$24:$C$112,B71)+SUMIFS('2021'!$H$24:$H$112,'2021'!$L$24:$L$112,A71&amp;" / "&amp;B71,'2021'!$F$24:$F$112,B71)+SUMIFS('2022'!$E$24:$E$112,'2022'!$L$24:$L$112,A71&amp;" / "&amp;B71,'2022'!$C$24:$C$112,B71)+SUMIFS('2022'!$H$24:$H$112,'2022'!$L$24:$L$112,A71&amp;" / "&amp;B71,'2022'!$F$24:$F$112,B71)+SUMIFS('2023'!$E$24:$E$112,'2023'!$L$24:$L$112,A71&amp;" / "&amp;B71,'2023'!$C$24:$C$112,B71)+SUMIFS('2023'!$H$24:$H$112,'2023'!$L$24:$L$112,A71&amp;" / "&amp;B71,'2023'!$F$24:$F$112,B71)+SUMIFS('2024'!$E$24:$E$112,'2024'!$L$24:$L$112,A71&amp;" / "&amp;B71,'2024'!$C$24:$C$112,B71)+SUMIFS('2024'!$H$24:$H$112,'2024'!$L$24:$L$112,A71&amp;" / "&amp;B71,'2024'!$F$24:$F$112,B71)+SUMIFS('2025'!$E$24:$E$112,'2025'!$L$24:$L$112,A71&amp;" / "&amp;B71,'2025'!$C$24:$C$112,B71)+SUMIFS('2025'!$H$24:$H$112,'2025'!$L$24:$L$112,A71&amp;" / "&amp;B71,'2025'!$F$24:$F$112,B71)</x:f>
        <x:v>1455.05</x:v>
      </x:c>
      <x:c r="I71" s="11" t="n">
        <x:f>IF(C71=0,0,(D71+0.5*F71)/C71)</x:f>
        <x:v>0.2727272727272727</x:v>
      </x:c>
      <x:c r="J71" s="2" t="n">
        <x:f>COUNTIFS('2015'!$L$24:$L$96,A71&amp;" / "&amp;B71,'2015'!$B$24:$B$96,"Regular")+COUNTIFS('2016'!$L$24:$L$96,A71&amp;" / "&amp;B71,'2016'!$B$24:$B$96,"Regular")+COUNTIFS('2017'!$L$24:$L$106,A71&amp;" / "&amp;B71,'2017'!$B$24:$B$106,"Regular")+COUNTIFS('2018'!$L$24:$L$106,A71&amp;" / "&amp;B71,'2018'!$B$24:$B$106,"Regular")+COUNTIFS('2019'!$L$24:$L$106,A71&amp;" / "&amp;B71,'2019'!$B$24:$B$106,"Regular")+COUNTIFS('2020'!$L$24:$L$106,A71&amp;" / "&amp;B71,'2020'!$B$24:$B$106,"Regular")+COUNTIFS('2021'!$L$24:$L$112,A71&amp;" / "&amp;B71,'2021'!$B$24:$B$112,"Regular")+COUNTIFS('2022'!$L$24:$L$112,A71&amp;" / "&amp;B71,'2022'!$B$24:$B$112,"Regular")+COUNTIFS('2023'!$L$24:$L$112,A71&amp;" / "&amp;B71,'2023'!$B$24:$B$112,"Regular")+COUNTIFS('2024'!$L$24:$L$112,A71&amp;" / "&amp;B71,'2024'!$B$24:$B$112,"Regular")+COUNTIFS('2025'!$L$24:$L$112,A71&amp;" / "&amp;B71,'2025'!$B$24:$B$112,"Regular")</x:f>
        <x:v>11</x:v>
      </x:c>
      <x:c r="K71" s="2" t="n">
        <x:f>COUNTIFS('2015'!$L$24:$L$96,A71&amp;" / "&amp;B71,'2015'!$B$24:$B$96,"Playoffs")+COUNTIFS('2016'!$L$24:$L$96,A71&amp;" / "&amp;B71,'2016'!$B$24:$B$96,"Playoffs")+COUNTIFS('2017'!$L$24:$L$106,A71&amp;" / "&amp;B71,'2017'!$B$24:$B$106,"Playoffs")+COUNTIFS('2018'!$L$24:$L$106,A71&amp;" / "&amp;B71,'2018'!$B$24:$B$106,"Playoffs")+COUNTIFS('2019'!$L$24:$L$106,A71&amp;" / "&amp;B71,'2019'!$B$24:$B$106,"Playoffs")+COUNTIFS('2020'!$L$24:$L$106,A71&amp;" / "&amp;B71,'2020'!$B$24:$B$106,"Playoffs")+COUNTIFS('2021'!$L$24:$L$112,A71&amp;" / "&amp;B71,'2021'!$B$24:$B$112,"Playoffs")+COUNTIFS('2022'!$L$24:$L$112,A71&amp;" / "&amp;B71,'2022'!$B$24:$B$112,"Playoffs")+COUNTIFS('2023'!$L$24:$L$112,A71&amp;" / "&amp;B71,'2023'!$B$24:$B$112,"Playoffs")+COUNTIFS('2024'!$L$24:$L$112,A71&amp;" / "&amp;B71,'2024'!$B$24:$B$112,"Playoffs")+COUNTIFS('2025'!$L$24:$L$112,A71&amp;" / "&amp;B71,'2025'!$B$24:$B$112,"Playoffs")</x:f>
        <x:v>0</x:v>
      </x:c>
      <x:c r="L71" s="2" t="n">
        <x:f>COUNTIFS('2015'!$L$24:$L$96,A71&amp;" / "&amp;B71,'2015'!$B$24:$B$96,"Unconfirmed")+COUNTIFS('2016'!$L$24:$L$96,A71&amp;" / "&amp;B71,'2016'!$B$24:$B$96,"Unconfirmed")+COUNTIFS('2017'!$L$24:$L$106,A71&amp;" / "&amp;B71,'2017'!$B$24:$B$106,"Unconfirmed")+COUNTIFS('2018'!$L$24:$L$106,A71&amp;" / "&amp;B71,'2018'!$B$24:$B$106,"Unconfirmed")+COUNTIFS('2019'!$L$24:$L$106,A71&amp;" / "&amp;B71,'2019'!$B$24:$B$106,"Unconfirmed")+COUNTIFS('2020'!$L$24:$L$106,A71&amp;" / "&amp;B71,'2020'!$B$24:$B$106,"Unconfirmed")+COUNTIFS('2021'!$L$24:$L$112,A71&amp;" / "&amp;B71,'2021'!$B$24:$B$112,"Unconfirmed")+COUNTIFS('2022'!$L$24:$L$112,A71&amp;" / "&amp;B71,'2022'!$B$24:$B$112,"Unconfirmed")+COUNTIFS('2023'!$L$24:$L$112,A71&amp;" / "&amp;B71,'2023'!$B$24:$B$112,"Unconfirmed")+COUNTIFS('2024'!$L$24:$L$112,A71&amp;" / "&amp;B71,'2024'!$B$24:$B$112,"Unconfirmed")+COUNTIFS('2025'!$L$24:$L$112,A71&amp;" / "&amp;B71,'2025'!$B$24:$B$112,"Unconfirmed")</x:f>
        <x:v>0</x:v>
      </x:c>
    </x:row>
    <x:row r="72" ht="22" customHeight="1">
      <x:c r="A72" s="2" t="str">
        <x:v>Craig</x:v>
      </x:c>
      <x:c r="B72" s="2" t="str">
        <x:v>Michael</x:v>
      </x:c>
      <x:c r="C72" s="2" t="n">
        <x:f>COUNTIFS('2015'!$L$24:$L$96,A72&amp;" / "&amp;B72)+COUNTIFS('2016'!$L$24:$L$96,A72&amp;" / "&amp;B72)+COUNTIFS('2017'!$L$24:$L$106,A72&amp;" / "&amp;B72)+COUNTIFS('2018'!$L$24:$L$106,A72&amp;" / "&amp;B72)+COUNTIFS('2019'!$L$24:$L$106,A72&amp;" / "&amp;B72)+COUNTIFS('2020'!$L$24:$L$106,A72&amp;" / "&amp;B72)+COUNTIFS('2021'!$L$24:$L$112,A72&amp;" / "&amp;B72)+COUNTIFS('2022'!$L$24:$L$112,A72&amp;" / "&amp;B72)+COUNTIFS('2023'!$L$24:$L$112,A72&amp;" / "&amp;B72)+COUNTIFS('2024'!$L$24:$L$112,A72&amp;" / "&amp;B72)+COUNTIFS('2025'!$L$24:$L$112,A72&amp;" / "&amp;B72)</x:f>
        <x:v>4</x:v>
      </x:c>
      <x:c r="D72" s="2" t="n">
        <x:f>COUNTIFS('2015'!$L$24:$L$96,A72&amp;" / "&amp;B72,'2015'!$I$24:$I$96,A72)+COUNTIFS('2016'!$L$24:$L$96,A72&amp;" / "&amp;B72,'2016'!$I$24:$I$96,A72)+COUNTIFS('2017'!$L$24:$L$106,A72&amp;" / "&amp;B72,'2017'!$I$24:$I$106,A72)+COUNTIFS('2018'!$L$24:$L$106,A72&amp;" / "&amp;B72,'2018'!$I$24:$I$106,A72)+COUNTIFS('2019'!$L$24:$L$106,A72&amp;" / "&amp;B72,'2019'!$I$24:$I$106,A72)+COUNTIFS('2020'!$L$24:$L$106,A72&amp;" / "&amp;B72,'2020'!$I$24:$I$106,A72)+COUNTIFS('2021'!$L$24:$L$112,A72&amp;" / "&amp;B72,'2021'!$I$24:$I$112,A72)+COUNTIFS('2022'!$L$24:$L$112,A72&amp;" / "&amp;B72,'2022'!$I$24:$I$112,A72)+COUNTIFS('2023'!$L$24:$L$112,A72&amp;" / "&amp;B72,'2023'!$I$24:$I$112,A72)+COUNTIFS('2024'!$L$24:$L$112,A72&amp;" / "&amp;B72,'2024'!$I$24:$I$112,A72)+COUNTIFS('2025'!$L$24:$L$112,A72&amp;" / "&amp;B72,'2025'!$I$24:$I$112,A72)</x:f>
        <x:v>4</x:v>
      </x:c>
      <x:c r="E72" s="2" t="n">
        <x:f>COUNTIFS('2015'!$L$24:$L$96,A72&amp;" / "&amp;B72,'2015'!$I$24:$I$96,B72)+COUNTIFS('2016'!$L$24:$L$96,A72&amp;" / "&amp;B72,'2016'!$I$24:$I$96,B72)+COUNTIFS('2017'!$L$24:$L$106,A72&amp;" / "&amp;B72,'2017'!$I$24:$I$106,B72)+COUNTIFS('2018'!$L$24:$L$106,A72&amp;" / "&amp;B72,'2018'!$I$24:$I$106,B72)+COUNTIFS('2019'!$L$24:$L$106,A72&amp;" / "&amp;B72,'2019'!$I$24:$I$106,B72)+COUNTIFS('2020'!$L$24:$L$106,A72&amp;" / "&amp;B72,'2020'!$I$24:$I$106,B72)+COUNTIFS('2021'!$L$24:$L$112,A72&amp;" / "&amp;B72,'2021'!$I$24:$I$112,B72)+COUNTIFS('2022'!$L$24:$L$112,A72&amp;" / "&amp;B72,'2022'!$I$24:$I$112,B72)+COUNTIFS('2023'!$L$24:$L$112,A72&amp;" / "&amp;B72,'2023'!$I$24:$I$112,B72)+COUNTIFS('2024'!$L$24:$L$112,A72&amp;" / "&amp;B72,'2024'!$I$24:$I$112,B72)+COUNTIFS('2025'!$L$24:$L$112,A72&amp;" / "&amp;B72,'2025'!$I$24:$I$112,B72)</x:f>
        <x:v>0</x:v>
      </x:c>
      <x:c r="F72" s="2" t="n">
        <x:f>COUNTIFS('2015'!$L$24:$L$96,A72&amp;" / "&amp;B72,'2015'!$K$24:$K$96,1)+COUNTIFS('2016'!$L$24:$L$96,A72&amp;" / "&amp;B72,'2016'!$K$24:$K$96,1)+COUNTIFS('2017'!$L$24:$L$106,A72&amp;" / "&amp;B72,'2017'!$K$24:$K$106,1)+COUNTIFS('2018'!$L$24:$L$106,A72&amp;" / "&amp;B72,'2018'!$K$24:$K$106,1)+COUNTIFS('2019'!$L$24:$L$106,A72&amp;" / "&amp;B72,'2019'!$K$24:$K$106,1)+COUNTIFS('2020'!$L$24:$L$106,A72&amp;" / "&amp;B72,'2020'!$K$24:$K$106,1)+COUNTIFS('2021'!$L$24:$L$112,A72&amp;" / "&amp;B72,'2021'!$K$24:$K$112,1)+COUNTIFS('2022'!$L$24:$L$112,A72&amp;" / "&amp;B72,'2022'!$K$24:$K$112,1)+COUNTIFS('2023'!$L$24:$L$112,A72&amp;" / "&amp;B72,'2023'!$K$24:$K$112,1)+COUNTIFS('2024'!$L$24:$L$112,A72&amp;" / "&amp;B72,'2024'!$K$24:$K$112,1)+COUNTIFS('2025'!$L$24:$L$112,A72&amp;" / "&amp;B72,'2025'!$K$24:$K$112,1)</x:f>
        <x:v>0</x:v>
      </x:c>
      <x:c r="G72" s="25" t="n">
        <x:f>SUMIFS('2015'!$E$24:$E$96,'2015'!$L$24:$L$96,A72&amp;" / "&amp;B72,'2015'!$C$24:$C$96,A72)+SUMIFS('2015'!$H$24:$H$96,'2015'!$L$24:$L$96,A72&amp;" / "&amp;B72,'2015'!$F$24:$F$96,A72)+SUMIFS('2016'!$E$24:$E$96,'2016'!$L$24:$L$96,A72&amp;" / "&amp;B72,'2016'!$C$24:$C$96,A72)+SUMIFS('2016'!$H$24:$H$96,'2016'!$L$24:$L$96,A72&amp;" / "&amp;B72,'2016'!$F$24:$F$96,A72)+SUMIFS('2017'!$E$24:$E$106,'2017'!$L$24:$L$106,A72&amp;" / "&amp;B72,'2017'!$C$24:$C$106,A72)+SUMIFS('2017'!$H$24:$H$106,'2017'!$L$24:$L$106,A72&amp;" / "&amp;B72,'2017'!$F$24:$F$106,A72)+SUMIFS('2018'!$E$24:$E$106,'2018'!$L$24:$L$106,A72&amp;" / "&amp;B72,'2018'!$C$24:$C$106,A72)+SUMIFS('2018'!$H$24:$H$106,'2018'!$L$24:$L$106,A72&amp;" / "&amp;B72,'2018'!$F$24:$F$106,A72)+SUMIFS('2019'!$E$24:$E$106,'2019'!$L$24:$L$106,A72&amp;" / "&amp;B72,'2019'!$C$24:$C$106,A72)+SUMIFS('2019'!$H$24:$H$106,'2019'!$L$24:$L$106,A72&amp;" / "&amp;B72,'2019'!$F$24:$F$106,A72)+SUMIFS('2020'!$E$24:$E$106,'2020'!$L$24:$L$106,A72&amp;" / "&amp;B72,'2020'!$C$24:$C$106,A72)+SUMIFS('2020'!$H$24:$H$106,'2020'!$L$24:$L$106,A72&amp;" / "&amp;B72,'2020'!$F$24:$F$106,A72)+SUMIFS('2021'!$E$24:$E$112,'2021'!$L$24:$L$112,A72&amp;" / "&amp;B72,'2021'!$C$24:$C$112,A72)+SUMIFS('2021'!$H$24:$H$112,'2021'!$L$24:$L$112,A72&amp;" / "&amp;B72,'2021'!$F$24:$F$112,A72)+SUMIFS('2022'!$E$24:$E$112,'2022'!$L$24:$L$112,A72&amp;" / "&amp;B72,'2022'!$C$24:$C$112,A72)+SUMIFS('2022'!$H$24:$H$112,'2022'!$L$24:$L$112,A72&amp;" / "&amp;B72,'2022'!$F$24:$F$112,A72)+SUMIFS('2023'!$E$24:$E$112,'2023'!$L$24:$L$112,A72&amp;" / "&amp;B72,'2023'!$C$24:$C$112,A72)+SUMIFS('2023'!$H$24:$H$112,'2023'!$L$24:$L$112,A72&amp;" / "&amp;B72,'2023'!$F$24:$F$112,A72)+SUMIFS('2024'!$E$24:$E$112,'2024'!$L$24:$L$112,A72&amp;" / "&amp;B72,'2024'!$C$24:$C$112,A72)+SUMIFS('2024'!$H$24:$H$112,'2024'!$L$24:$L$112,A72&amp;" / "&amp;B72,'2024'!$F$24:$F$112,A72)+SUMIFS('2025'!$E$24:$E$112,'2025'!$L$24:$L$112,A72&amp;" / "&amp;B72,'2025'!$C$24:$C$112,A72)+SUMIFS('2025'!$H$24:$H$112,'2025'!$L$24:$L$112,A72&amp;" / "&amp;B72,'2025'!$F$24:$F$112,A72)</x:f>
        <x:v>518.55</x:v>
      </x:c>
      <x:c r="H72" s="25" t="n">
        <x:f>SUMIFS('2015'!$E$24:$E$96,'2015'!$L$24:$L$96,A72&amp;" / "&amp;B72,'2015'!$C$24:$C$96,B72)+SUMIFS('2015'!$H$24:$H$96,'2015'!$L$24:$L$96,A72&amp;" / "&amp;B72,'2015'!$F$24:$F$96,B72)+SUMIFS('2016'!$E$24:$E$96,'2016'!$L$24:$L$96,A72&amp;" / "&amp;B72,'2016'!$C$24:$C$96,B72)+SUMIFS('2016'!$H$24:$H$96,'2016'!$L$24:$L$96,A72&amp;" / "&amp;B72,'2016'!$F$24:$F$96,B72)+SUMIFS('2017'!$E$24:$E$106,'2017'!$L$24:$L$106,A72&amp;" / "&amp;B72,'2017'!$C$24:$C$106,B72)+SUMIFS('2017'!$H$24:$H$106,'2017'!$L$24:$L$106,A72&amp;" / "&amp;B72,'2017'!$F$24:$F$106,B72)+SUMIFS('2018'!$E$24:$E$106,'2018'!$L$24:$L$106,A72&amp;" / "&amp;B72,'2018'!$C$24:$C$106,B72)+SUMIFS('2018'!$H$24:$H$106,'2018'!$L$24:$L$106,A72&amp;" / "&amp;B72,'2018'!$F$24:$F$106,B72)+SUMIFS('2019'!$E$24:$E$106,'2019'!$L$24:$L$106,A72&amp;" / "&amp;B72,'2019'!$C$24:$C$106,B72)+SUMIFS('2019'!$H$24:$H$106,'2019'!$L$24:$L$106,A72&amp;" / "&amp;B72,'2019'!$F$24:$F$106,B72)+SUMIFS('2020'!$E$24:$E$106,'2020'!$L$24:$L$106,A72&amp;" / "&amp;B72,'2020'!$C$24:$C$106,B72)+SUMIFS('2020'!$H$24:$H$106,'2020'!$L$24:$L$106,A72&amp;" / "&amp;B72,'2020'!$F$24:$F$106,B72)+SUMIFS('2021'!$E$24:$E$112,'2021'!$L$24:$L$112,A72&amp;" / "&amp;B72,'2021'!$C$24:$C$112,B72)+SUMIFS('2021'!$H$24:$H$112,'2021'!$L$24:$L$112,A72&amp;" / "&amp;B72,'2021'!$F$24:$F$112,B72)+SUMIFS('2022'!$E$24:$E$112,'2022'!$L$24:$L$112,A72&amp;" / "&amp;B72,'2022'!$C$24:$C$112,B72)+SUMIFS('2022'!$H$24:$H$112,'2022'!$L$24:$L$112,A72&amp;" / "&amp;B72,'2022'!$F$24:$F$112,B72)+SUMIFS('2023'!$E$24:$E$112,'2023'!$L$24:$L$112,A72&amp;" / "&amp;B72,'2023'!$C$24:$C$112,B72)+SUMIFS('2023'!$H$24:$H$112,'2023'!$L$24:$L$112,A72&amp;" / "&amp;B72,'2023'!$F$24:$F$112,B72)+SUMIFS('2024'!$E$24:$E$112,'2024'!$L$24:$L$112,A72&amp;" / "&amp;B72,'2024'!$C$24:$C$112,B72)+SUMIFS('2024'!$H$24:$H$112,'2024'!$L$24:$L$112,A72&amp;" / "&amp;B72,'2024'!$F$24:$F$112,B72)+SUMIFS('2025'!$E$24:$E$112,'2025'!$L$24:$L$112,A72&amp;" / "&amp;B72,'2025'!$C$24:$C$112,B72)+SUMIFS('2025'!$H$24:$H$112,'2025'!$L$24:$L$112,A72&amp;" / "&amp;B72,'2025'!$F$24:$F$112,B72)</x:f>
        <x:v>412.3</x:v>
      </x:c>
      <x:c r="I72" s="11" t="n">
        <x:f>IF(C72=0,0,(D72+0.5*F72)/C72)</x:f>
        <x:v>1</x:v>
      </x:c>
      <x:c r="J72" s="2" t="n">
        <x:f>COUNTIFS('2015'!$L$24:$L$96,A72&amp;" / "&amp;B72,'2015'!$B$24:$B$96,"Regular")+COUNTIFS('2016'!$L$24:$L$96,A72&amp;" / "&amp;B72,'2016'!$B$24:$B$96,"Regular")+COUNTIFS('2017'!$L$24:$L$106,A72&amp;" / "&amp;B72,'2017'!$B$24:$B$106,"Regular")+COUNTIFS('2018'!$L$24:$L$106,A72&amp;" / "&amp;B72,'2018'!$B$24:$B$106,"Regular")+COUNTIFS('2019'!$L$24:$L$106,A72&amp;" / "&amp;B72,'2019'!$B$24:$B$106,"Regular")+COUNTIFS('2020'!$L$24:$L$106,A72&amp;" / "&amp;B72,'2020'!$B$24:$B$106,"Regular")+COUNTIFS('2021'!$L$24:$L$112,A72&amp;" / "&amp;B72,'2021'!$B$24:$B$112,"Regular")+COUNTIFS('2022'!$L$24:$L$112,A72&amp;" / "&amp;B72,'2022'!$B$24:$B$112,"Regular")+COUNTIFS('2023'!$L$24:$L$112,A72&amp;" / "&amp;B72,'2023'!$B$24:$B$112,"Regular")+COUNTIFS('2024'!$L$24:$L$112,A72&amp;" / "&amp;B72,'2024'!$B$24:$B$112,"Regular")+COUNTIFS('2025'!$L$24:$L$112,A72&amp;" / "&amp;B72,'2025'!$B$24:$B$112,"Regular")</x:f>
        <x:v>3</x:v>
      </x:c>
      <x:c r="K72" s="2" t="n">
        <x:f>COUNTIFS('2015'!$L$24:$L$96,A72&amp;" / "&amp;B72,'2015'!$B$24:$B$96,"Playoffs")+COUNTIFS('2016'!$L$24:$L$96,A72&amp;" / "&amp;B72,'2016'!$B$24:$B$96,"Playoffs")+COUNTIFS('2017'!$L$24:$L$106,A72&amp;" / "&amp;B72,'2017'!$B$24:$B$106,"Playoffs")+COUNTIFS('2018'!$L$24:$L$106,A72&amp;" / "&amp;B72,'2018'!$B$24:$B$106,"Playoffs")+COUNTIFS('2019'!$L$24:$L$106,A72&amp;" / "&amp;B72,'2019'!$B$24:$B$106,"Playoffs")+COUNTIFS('2020'!$L$24:$L$106,A72&amp;" / "&amp;B72,'2020'!$B$24:$B$106,"Playoffs")+COUNTIFS('2021'!$L$24:$L$112,A72&amp;" / "&amp;B72,'2021'!$B$24:$B$112,"Playoffs")+COUNTIFS('2022'!$L$24:$L$112,A72&amp;" / "&amp;B72,'2022'!$B$24:$B$112,"Playoffs")+COUNTIFS('2023'!$L$24:$L$112,A72&amp;" / "&amp;B72,'2023'!$B$24:$B$112,"Playoffs")+COUNTIFS('2024'!$L$24:$L$112,A72&amp;" / "&amp;B72,'2024'!$B$24:$B$112,"Playoffs")+COUNTIFS('2025'!$L$24:$L$112,A72&amp;" / "&amp;B72,'2025'!$B$24:$B$112,"Playoffs")</x:f>
        <x:v>1</x:v>
      </x:c>
      <x:c r="L72" s="2" t="n">
        <x:f>COUNTIFS('2015'!$L$24:$L$96,A72&amp;" / "&amp;B72,'2015'!$B$24:$B$96,"Unconfirmed")+COUNTIFS('2016'!$L$24:$L$96,A72&amp;" / "&amp;B72,'2016'!$B$24:$B$96,"Unconfirmed")+COUNTIFS('2017'!$L$24:$L$106,A72&amp;" / "&amp;B72,'2017'!$B$24:$B$106,"Unconfirmed")+COUNTIFS('2018'!$L$24:$L$106,A72&amp;" / "&amp;B72,'2018'!$B$24:$B$106,"Unconfirmed")+COUNTIFS('2019'!$L$24:$L$106,A72&amp;" / "&amp;B72,'2019'!$B$24:$B$106,"Unconfirmed")+COUNTIFS('2020'!$L$24:$L$106,A72&amp;" / "&amp;B72,'2020'!$B$24:$B$106,"Unconfirmed")+COUNTIFS('2021'!$L$24:$L$112,A72&amp;" / "&amp;B72,'2021'!$B$24:$B$112,"Unconfirmed")+COUNTIFS('2022'!$L$24:$L$112,A72&amp;" / "&amp;B72,'2022'!$B$24:$B$112,"Unconfirmed")+COUNTIFS('2023'!$L$24:$L$112,A72&amp;" / "&amp;B72,'2023'!$B$24:$B$112,"Unconfirmed")+COUNTIFS('2024'!$L$24:$L$112,A72&amp;" / "&amp;B72,'2024'!$B$24:$B$112,"Unconfirmed")+COUNTIFS('2025'!$L$24:$L$112,A72&amp;" / "&amp;B72,'2025'!$B$24:$B$112,"Unconfirmed")</x:f>
        <x:v>0</x:v>
      </x:c>
    </x:row>
    <x:row r="73" ht="22" customHeight="1">
      <x:c r="A73" s="2" t="str">
        <x:v>Craig</x:v>
      </x:c>
      <x:c r="B73" s="2" t="str">
        <x:v>Mike</x:v>
      </x:c>
      <x:c r="C73" s="2" t="n">
        <x:f>COUNTIFS('2015'!$L$24:$L$96,A73&amp;" / "&amp;B73)+COUNTIFS('2016'!$L$24:$L$96,A73&amp;" / "&amp;B73)+COUNTIFS('2017'!$L$24:$L$106,A73&amp;" / "&amp;B73)+COUNTIFS('2018'!$L$24:$L$106,A73&amp;" / "&amp;B73)+COUNTIFS('2019'!$L$24:$L$106,A73&amp;" / "&amp;B73)+COUNTIFS('2020'!$L$24:$L$106,A73&amp;" / "&amp;B73)+COUNTIFS('2021'!$L$24:$L$112,A73&amp;" / "&amp;B73)+COUNTIFS('2022'!$L$24:$L$112,A73&amp;" / "&amp;B73)+COUNTIFS('2023'!$L$24:$L$112,A73&amp;" / "&amp;B73)+COUNTIFS('2024'!$L$24:$L$112,A73&amp;" / "&amp;B73)+COUNTIFS('2025'!$L$24:$L$112,A73&amp;" / "&amp;B73)</x:f>
        <x:v>10</x:v>
      </x:c>
      <x:c r="D73" s="2" t="n">
        <x:f>COUNTIFS('2015'!$L$24:$L$96,A73&amp;" / "&amp;B73,'2015'!$I$24:$I$96,A73)+COUNTIFS('2016'!$L$24:$L$96,A73&amp;" / "&amp;B73,'2016'!$I$24:$I$96,A73)+COUNTIFS('2017'!$L$24:$L$106,A73&amp;" / "&amp;B73,'2017'!$I$24:$I$106,A73)+COUNTIFS('2018'!$L$24:$L$106,A73&amp;" / "&amp;B73,'2018'!$I$24:$I$106,A73)+COUNTIFS('2019'!$L$24:$L$106,A73&amp;" / "&amp;B73,'2019'!$I$24:$I$106,A73)+COUNTIFS('2020'!$L$24:$L$106,A73&amp;" / "&amp;B73,'2020'!$I$24:$I$106,A73)+COUNTIFS('2021'!$L$24:$L$112,A73&amp;" / "&amp;B73,'2021'!$I$24:$I$112,A73)+COUNTIFS('2022'!$L$24:$L$112,A73&amp;" / "&amp;B73,'2022'!$I$24:$I$112,A73)+COUNTIFS('2023'!$L$24:$L$112,A73&amp;" / "&amp;B73,'2023'!$I$24:$I$112,A73)+COUNTIFS('2024'!$L$24:$L$112,A73&amp;" / "&amp;B73,'2024'!$I$24:$I$112,A73)+COUNTIFS('2025'!$L$24:$L$112,A73&amp;" / "&amp;B73,'2025'!$I$24:$I$112,A73)</x:f>
        <x:v>3</x:v>
      </x:c>
      <x:c r="E73" s="2" t="n">
        <x:f>COUNTIFS('2015'!$L$24:$L$96,A73&amp;" / "&amp;B73,'2015'!$I$24:$I$96,B73)+COUNTIFS('2016'!$L$24:$L$96,A73&amp;" / "&amp;B73,'2016'!$I$24:$I$96,B73)+COUNTIFS('2017'!$L$24:$L$106,A73&amp;" / "&amp;B73,'2017'!$I$24:$I$106,B73)+COUNTIFS('2018'!$L$24:$L$106,A73&amp;" / "&amp;B73,'2018'!$I$24:$I$106,B73)+COUNTIFS('2019'!$L$24:$L$106,A73&amp;" / "&amp;B73,'2019'!$I$24:$I$106,B73)+COUNTIFS('2020'!$L$24:$L$106,A73&amp;" / "&amp;B73,'2020'!$I$24:$I$106,B73)+COUNTIFS('2021'!$L$24:$L$112,A73&amp;" / "&amp;B73,'2021'!$I$24:$I$112,B73)+COUNTIFS('2022'!$L$24:$L$112,A73&amp;" / "&amp;B73,'2022'!$I$24:$I$112,B73)+COUNTIFS('2023'!$L$24:$L$112,A73&amp;" / "&amp;B73,'2023'!$I$24:$I$112,B73)+COUNTIFS('2024'!$L$24:$L$112,A73&amp;" / "&amp;B73,'2024'!$I$24:$I$112,B73)+COUNTIFS('2025'!$L$24:$L$112,A73&amp;" / "&amp;B73,'2025'!$I$24:$I$112,B73)</x:f>
        <x:v>7</x:v>
      </x:c>
      <x:c r="F73" s="2" t="n">
        <x:f>COUNTIFS('2015'!$L$24:$L$96,A73&amp;" / "&amp;B73,'2015'!$K$24:$K$96,1)+COUNTIFS('2016'!$L$24:$L$96,A73&amp;" / "&amp;B73,'2016'!$K$24:$K$96,1)+COUNTIFS('2017'!$L$24:$L$106,A73&amp;" / "&amp;B73,'2017'!$K$24:$K$106,1)+COUNTIFS('2018'!$L$24:$L$106,A73&amp;" / "&amp;B73,'2018'!$K$24:$K$106,1)+COUNTIFS('2019'!$L$24:$L$106,A73&amp;" / "&amp;B73,'2019'!$K$24:$K$106,1)+COUNTIFS('2020'!$L$24:$L$106,A73&amp;" / "&amp;B73,'2020'!$K$24:$K$106,1)+COUNTIFS('2021'!$L$24:$L$112,A73&amp;" / "&amp;B73,'2021'!$K$24:$K$112,1)+COUNTIFS('2022'!$L$24:$L$112,A73&amp;" / "&amp;B73,'2022'!$K$24:$K$112,1)+COUNTIFS('2023'!$L$24:$L$112,A73&amp;" / "&amp;B73,'2023'!$K$24:$K$112,1)+COUNTIFS('2024'!$L$24:$L$112,A73&amp;" / "&amp;B73,'2024'!$K$24:$K$112,1)+COUNTIFS('2025'!$L$24:$L$112,A73&amp;" / "&amp;B73,'2025'!$K$24:$K$112,1)</x:f>
        <x:v>0</x:v>
      </x:c>
      <x:c r="G73" s="25" t="n">
        <x:f>SUMIFS('2015'!$E$24:$E$96,'2015'!$L$24:$L$96,A73&amp;" / "&amp;B73,'2015'!$C$24:$C$96,A73)+SUMIFS('2015'!$H$24:$H$96,'2015'!$L$24:$L$96,A73&amp;" / "&amp;B73,'2015'!$F$24:$F$96,A73)+SUMIFS('2016'!$E$24:$E$96,'2016'!$L$24:$L$96,A73&amp;" / "&amp;B73,'2016'!$C$24:$C$96,A73)+SUMIFS('2016'!$H$24:$H$96,'2016'!$L$24:$L$96,A73&amp;" / "&amp;B73,'2016'!$F$24:$F$96,A73)+SUMIFS('2017'!$E$24:$E$106,'2017'!$L$24:$L$106,A73&amp;" / "&amp;B73,'2017'!$C$24:$C$106,A73)+SUMIFS('2017'!$H$24:$H$106,'2017'!$L$24:$L$106,A73&amp;" / "&amp;B73,'2017'!$F$24:$F$106,A73)+SUMIFS('2018'!$E$24:$E$106,'2018'!$L$24:$L$106,A73&amp;" / "&amp;B73,'2018'!$C$24:$C$106,A73)+SUMIFS('2018'!$H$24:$H$106,'2018'!$L$24:$L$106,A73&amp;" / "&amp;B73,'2018'!$F$24:$F$106,A73)+SUMIFS('2019'!$E$24:$E$106,'2019'!$L$24:$L$106,A73&amp;" / "&amp;B73,'2019'!$C$24:$C$106,A73)+SUMIFS('2019'!$H$24:$H$106,'2019'!$L$24:$L$106,A73&amp;" / "&amp;B73,'2019'!$F$24:$F$106,A73)+SUMIFS('2020'!$E$24:$E$106,'2020'!$L$24:$L$106,A73&amp;" / "&amp;B73,'2020'!$C$24:$C$106,A73)+SUMIFS('2020'!$H$24:$H$106,'2020'!$L$24:$L$106,A73&amp;" / "&amp;B73,'2020'!$F$24:$F$106,A73)+SUMIFS('2021'!$E$24:$E$112,'2021'!$L$24:$L$112,A73&amp;" / "&amp;B73,'2021'!$C$24:$C$112,A73)+SUMIFS('2021'!$H$24:$H$112,'2021'!$L$24:$L$112,A73&amp;" / "&amp;B73,'2021'!$F$24:$F$112,A73)+SUMIFS('2022'!$E$24:$E$112,'2022'!$L$24:$L$112,A73&amp;" / "&amp;B73,'2022'!$C$24:$C$112,A73)+SUMIFS('2022'!$H$24:$H$112,'2022'!$L$24:$L$112,A73&amp;" / "&amp;B73,'2022'!$F$24:$F$112,A73)+SUMIFS('2023'!$E$24:$E$112,'2023'!$L$24:$L$112,A73&amp;" / "&amp;B73,'2023'!$C$24:$C$112,A73)+SUMIFS('2023'!$H$24:$H$112,'2023'!$L$24:$L$112,A73&amp;" / "&amp;B73,'2023'!$F$24:$F$112,A73)+SUMIFS('2024'!$E$24:$E$112,'2024'!$L$24:$L$112,A73&amp;" / "&amp;B73,'2024'!$C$24:$C$112,A73)+SUMIFS('2024'!$H$24:$H$112,'2024'!$L$24:$L$112,A73&amp;" / "&amp;B73,'2024'!$F$24:$F$112,A73)+SUMIFS('2025'!$E$24:$E$112,'2025'!$L$24:$L$112,A73&amp;" / "&amp;B73,'2025'!$C$24:$C$112,A73)+SUMIFS('2025'!$H$24:$H$112,'2025'!$L$24:$L$112,A73&amp;" / "&amp;B73,'2025'!$F$24:$F$112,A73)</x:f>
        <x:v>1222.5</x:v>
      </x:c>
      <x:c r="H73" s="25" t="n">
        <x:f>SUMIFS('2015'!$E$24:$E$96,'2015'!$L$24:$L$96,A73&amp;" / "&amp;B73,'2015'!$C$24:$C$96,B73)+SUMIFS('2015'!$H$24:$H$96,'2015'!$L$24:$L$96,A73&amp;" / "&amp;B73,'2015'!$F$24:$F$96,B73)+SUMIFS('2016'!$E$24:$E$96,'2016'!$L$24:$L$96,A73&amp;" / "&amp;B73,'2016'!$C$24:$C$96,B73)+SUMIFS('2016'!$H$24:$H$96,'2016'!$L$24:$L$96,A73&amp;" / "&amp;B73,'2016'!$F$24:$F$96,B73)+SUMIFS('2017'!$E$24:$E$106,'2017'!$L$24:$L$106,A73&amp;" / "&amp;B73,'2017'!$C$24:$C$106,B73)+SUMIFS('2017'!$H$24:$H$106,'2017'!$L$24:$L$106,A73&amp;" / "&amp;B73,'2017'!$F$24:$F$106,B73)+SUMIFS('2018'!$E$24:$E$106,'2018'!$L$24:$L$106,A73&amp;" / "&amp;B73,'2018'!$C$24:$C$106,B73)+SUMIFS('2018'!$H$24:$H$106,'2018'!$L$24:$L$106,A73&amp;" / "&amp;B73,'2018'!$F$24:$F$106,B73)+SUMIFS('2019'!$E$24:$E$106,'2019'!$L$24:$L$106,A73&amp;" / "&amp;B73,'2019'!$C$24:$C$106,B73)+SUMIFS('2019'!$H$24:$H$106,'2019'!$L$24:$L$106,A73&amp;" / "&amp;B73,'2019'!$F$24:$F$106,B73)+SUMIFS('2020'!$E$24:$E$106,'2020'!$L$24:$L$106,A73&amp;" / "&amp;B73,'2020'!$C$24:$C$106,B73)+SUMIFS('2020'!$H$24:$H$106,'2020'!$L$24:$L$106,A73&amp;" / "&amp;B73,'2020'!$F$24:$F$106,B73)+SUMIFS('2021'!$E$24:$E$112,'2021'!$L$24:$L$112,A73&amp;" / "&amp;B73,'2021'!$C$24:$C$112,B73)+SUMIFS('2021'!$H$24:$H$112,'2021'!$L$24:$L$112,A73&amp;" / "&amp;B73,'2021'!$F$24:$F$112,B73)+SUMIFS('2022'!$E$24:$E$112,'2022'!$L$24:$L$112,A73&amp;" / "&amp;B73,'2022'!$C$24:$C$112,B73)+SUMIFS('2022'!$H$24:$H$112,'2022'!$L$24:$L$112,A73&amp;" / "&amp;B73,'2022'!$F$24:$F$112,B73)+SUMIFS('2023'!$E$24:$E$112,'2023'!$L$24:$L$112,A73&amp;" / "&amp;B73,'2023'!$C$24:$C$112,B73)+SUMIFS('2023'!$H$24:$H$112,'2023'!$L$24:$L$112,A73&amp;" / "&amp;B73,'2023'!$F$24:$F$112,B73)+SUMIFS('2024'!$E$24:$E$112,'2024'!$L$24:$L$112,A73&amp;" / "&amp;B73,'2024'!$C$24:$C$112,B73)+SUMIFS('2024'!$H$24:$H$112,'2024'!$L$24:$L$112,A73&amp;" / "&amp;B73,'2024'!$F$24:$F$112,B73)+SUMIFS('2025'!$E$24:$E$112,'2025'!$L$24:$L$112,A73&amp;" / "&amp;B73,'2025'!$C$24:$C$112,B73)+SUMIFS('2025'!$H$24:$H$112,'2025'!$L$24:$L$112,A73&amp;" / "&amp;B73,'2025'!$F$24:$F$112,B73)</x:f>
        <x:v>1311.65</x:v>
      </x:c>
      <x:c r="I73" s="11" t="n">
        <x:f>IF(C73=0,0,(D73+0.5*F73)/C73)</x:f>
        <x:v>0.3</x:v>
      </x:c>
      <x:c r="J73" s="2" t="n">
        <x:f>COUNTIFS('2015'!$L$24:$L$96,A73&amp;" / "&amp;B73,'2015'!$B$24:$B$96,"Regular")+COUNTIFS('2016'!$L$24:$L$96,A73&amp;" / "&amp;B73,'2016'!$B$24:$B$96,"Regular")+COUNTIFS('2017'!$L$24:$L$106,A73&amp;" / "&amp;B73,'2017'!$B$24:$B$106,"Regular")+COUNTIFS('2018'!$L$24:$L$106,A73&amp;" / "&amp;B73,'2018'!$B$24:$B$106,"Regular")+COUNTIFS('2019'!$L$24:$L$106,A73&amp;" / "&amp;B73,'2019'!$B$24:$B$106,"Regular")+COUNTIFS('2020'!$L$24:$L$106,A73&amp;" / "&amp;B73,'2020'!$B$24:$B$106,"Regular")+COUNTIFS('2021'!$L$24:$L$112,A73&amp;" / "&amp;B73,'2021'!$B$24:$B$112,"Regular")+COUNTIFS('2022'!$L$24:$L$112,A73&amp;" / "&amp;B73,'2022'!$B$24:$B$112,"Regular")+COUNTIFS('2023'!$L$24:$L$112,A73&amp;" / "&amp;B73,'2023'!$B$24:$B$112,"Regular")+COUNTIFS('2024'!$L$24:$L$112,A73&amp;" / "&amp;B73,'2024'!$B$24:$B$112,"Regular")+COUNTIFS('2025'!$L$24:$L$112,A73&amp;" / "&amp;B73,'2025'!$B$24:$B$112,"Regular")</x:f>
        <x:v>10</x:v>
      </x:c>
      <x:c r="K73" s="2" t="n">
        <x:f>COUNTIFS('2015'!$L$24:$L$96,A73&amp;" / "&amp;B73,'2015'!$B$24:$B$96,"Playoffs")+COUNTIFS('2016'!$L$24:$L$96,A73&amp;" / "&amp;B73,'2016'!$B$24:$B$96,"Playoffs")+COUNTIFS('2017'!$L$24:$L$106,A73&amp;" / "&amp;B73,'2017'!$B$24:$B$106,"Playoffs")+COUNTIFS('2018'!$L$24:$L$106,A73&amp;" / "&amp;B73,'2018'!$B$24:$B$106,"Playoffs")+COUNTIFS('2019'!$L$24:$L$106,A73&amp;" / "&amp;B73,'2019'!$B$24:$B$106,"Playoffs")+COUNTIFS('2020'!$L$24:$L$106,A73&amp;" / "&amp;B73,'2020'!$B$24:$B$106,"Playoffs")+COUNTIFS('2021'!$L$24:$L$112,A73&amp;" / "&amp;B73,'2021'!$B$24:$B$112,"Playoffs")+COUNTIFS('2022'!$L$24:$L$112,A73&amp;" / "&amp;B73,'2022'!$B$24:$B$112,"Playoffs")+COUNTIFS('2023'!$L$24:$L$112,A73&amp;" / "&amp;B73,'2023'!$B$24:$B$112,"Playoffs")+COUNTIFS('2024'!$L$24:$L$112,A73&amp;" / "&amp;B73,'2024'!$B$24:$B$112,"Playoffs")+COUNTIFS('2025'!$L$24:$L$112,A73&amp;" / "&amp;B73,'2025'!$B$24:$B$112,"Playoffs")</x:f>
        <x:v>0</x:v>
      </x:c>
      <x:c r="L73" s="2" t="n">
        <x:f>COUNTIFS('2015'!$L$24:$L$96,A73&amp;" / "&amp;B73,'2015'!$B$24:$B$96,"Unconfirmed")+COUNTIFS('2016'!$L$24:$L$96,A73&amp;" / "&amp;B73,'2016'!$B$24:$B$96,"Unconfirmed")+COUNTIFS('2017'!$L$24:$L$106,A73&amp;" / "&amp;B73,'2017'!$B$24:$B$106,"Unconfirmed")+COUNTIFS('2018'!$L$24:$L$106,A73&amp;" / "&amp;B73,'2018'!$B$24:$B$106,"Unconfirmed")+COUNTIFS('2019'!$L$24:$L$106,A73&amp;" / "&amp;B73,'2019'!$B$24:$B$106,"Unconfirmed")+COUNTIFS('2020'!$L$24:$L$106,A73&amp;" / "&amp;B73,'2020'!$B$24:$B$106,"Unconfirmed")+COUNTIFS('2021'!$L$24:$L$112,A73&amp;" / "&amp;B73,'2021'!$B$24:$B$112,"Unconfirmed")+COUNTIFS('2022'!$L$24:$L$112,A73&amp;" / "&amp;B73,'2022'!$B$24:$B$112,"Unconfirmed")+COUNTIFS('2023'!$L$24:$L$112,A73&amp;" / "&amp;B73,'2023'!$B$24:$B$112,"Unconfirmed")+COUNTIFS('2024'!$L$24:$L$112,A73&amp;" / "&amp;B73,'2024'!$B$24:$B$112,"Unconfirmed")+COUNTIFS('2025'!$L$24:$L$112,A73&amp;" / "&amp;B73,'2025'!$B$24:$B$112,"Unconfirmed")</x:f>
        <x:v>0</x:v>
      </x:c>
    </x:row>
    <x:row r="74" ht="22" customHeight="1">
      <x:c r="A74" s="2" t="str">
        <x:v>Craig</x:v>
      </x:c>
      <x:c r="B74" s="2" t="str">
        <x:v>Nick</x:v>
      </x:c>
      <x:c r="C74" s="2" t="n">
        <x:f>COUNTIFS('2015'!$L$24:$L$96,A74&amp;" / "&amp;B74)+COUNTIFS('2016'!$L$24:$L$96,A74&amp;" / "&amp;B74)+COUNTIFS('2017'!$L$24:$L$106,A74&amp;" / "&amp;B74)+COUNTIFS('2018'!$L$24:$L$106,A74&amp;" / "&amp;B74)+COUNTIFS('2019'!$L$24:$L$106,A74&amp;" / "&amp;B74)+COUNTIFS('2020'!$L$24:$L$106,A74&amp;" / "&amp;B74)+COUNTIFS('2021'!$L$24:$L$112,A74&amp;" / "&amp;B74)+COUNTIFS('2022'!$L$24:$L$112,A74&amp;" / "&amp;B74)+COUNTIFS('2023'!$L$24:$L$112,A74&amp;" / "&amp;B74)+COUNTIFS('2024'!$L$24:$L$112,A74&amp;" / "&amp;B74)+COUNTIFS('2025'!$L$24:$L$112,A74&amp;" / "&amp;B74)</x:f>
        <x:v>7</x:v>
      </x:c>
      <x:c r="D74" s="2" t="n">
        <x:f>COUNTIFS('2015'!$L$24:$L$96,A74&amp;" / "&amp;B74,'2015'!$I$24:$I$96,A74)+COUNTIFS('2016'!$L$24:$L$96,A74&amp;" / "&amp;B74,'2016'!$I$24:$I$96,A74)+COUNTIFS('2017'!$L$24:$L$106,A74&amp;" / "&amp;B74,'2017'!$I$24:$I$106,A74)+COUNTIFS('2018'!$L$24:$L$106,A74&amp;" / "&amp;B74,'2018'!$I$24:$I$106,A74)+COUNTIFS('2019'!$L$24:$L$106,A74&amp;" / "&amp;B74,'2019'!$I$24:$I$106,A74)+COUNTIFS('2020'!$L$24:$L$106,A74&amp;" / "&amp;B74,'2020'!$I$24:$I$106,A74)+COUNTIFS('2021'!$L$24:$L$112,A74&amp;" / "&amp;B74,'2021'!$I$24:$I$112,A74)+COUNTIFS('2022'!$L$24:$L$112,A74&amp;" / "&amp;B74,'2022'!$I$24:$I$112,A74)+COUNTIFS('2023'!$L$24:$L$112,A74&amp;" / "&amp;B74,'2023'!$I$24:$I$112,A74)+COUNTIFS('2024'!$L$24:$L$112,A74&amp;" / "&amp;B74,'2024'!$I$24:$I$112,A74)+COUNTIFS('2025'!$L$24:$L$112,A74&amp;" / "&amp;B74,'2025'!$I$24:$I$112,A74)</x:f>
        <x:v>4</x:v>
      </x:c>
      <x:c r="E74" s="2" t="n">
        <x:f>COUNTIFS('2015'!$L$24:$L$96,A74&amp;" / "&amp;B74,'2015'!$I$24:$I$96,B74)+COUNTIFS('2016'!$L$24:$L$96,A74&amp;" / "&amp;B74,'2016'!$I$24:$I$96,B74)+COUNTIFS('2017'!$L$24:$L$106,A74&amp;" / "&amp;B74,'2017'!$I$24:$I$106,B74)+COUNTIFS('2018'!$L$24:$L$106,A74&amp;" / "&amp;B74,'2018'!$I$24:$I$106,B74)+COUNTIFS('2019'!$L$24:$L$106,A74&amp;" / "&amp;B74,'2019'!$I$24:$I$106,B74)+COUNTIFS('2020'!$L$24:$L$106,A74&amp;" / "&amp;B74,'2020'!$I$24:$I$106,B74)+COUNTIFS('2021'!$L$24:$L$112,A74&amp;" / "&amp;B74,'2021'!$I$24:$I$112,B74)+COUNTIFS('2022'!$L$24:$L$112,A74&amp;" / "&amp;B74,'2022'!$I$24:$I$112,B74)+COUNTIFS('2023'!$L$24:$L$112,A74&amp;" / "&amp;B74,'2023'!$I$24:$I$112,B74)+COUNTIFS('2024'!$L$24:$L$112,A74&amp;" / "&amp;B74,'2024'!$I$24:$I$112,B74)+COUNTIFS('2025'!$L$24:$L$112,A74&amp;" / "&amp;B74,'2025'!$I$24:$I$112,B74)</x:f>
        <x:v>3</x:v>
      </x:c>
      <x:c r="F74" s="2" t="n">
        <x:f>COUNTIFS('2015'!$L$24:$L$96,A74&amp;" / "&amp;B74,'2015'!$K$24:$K$96,1)+COUNTIFS('2016'!$L$24:$L$96,A74&amp;" / "&amp;B74,'2016'!$K$24:$K$96,1)+COUNTIFS('2017'!$L$24:$L$106,A74&amp;" / "&amp;B74,'2017'!$K$24:$K$106,1)+COUNTIFS('2018'!$L$24:$L$106,A74&amp;" / "&amp;B74,'2018'!$K$24:$K$106,1)+COUNTIFS('2019'!$L$24:$L$106,A74&amp;" / "&amp;B74,'2019'!$K$24:$K$106,1)+COUNTIFS('2020'!$L$24:$L$106,A74&amp;" / "&amp;B74,'2020'!$K$24:$K$106,1)+COUNTIFS('2021'!$L$24:$L$112,A74&amp;" / "&amp;B74,'2021'!$K$24:$K$112,1)+COUNTIFS('2022'!$L$24:$L$112,A74&amp;" / "&amp;B74,'2022'!$K$24:$K$112,1)+COUNTIFS('2023'!$L$24:$L$112,A74&amp;" / "&amp;B74,'2023'!$K$24:$K$112,1)+COUNTIFS('2024'!$L$24:$L$112,A74&amp;" / "&amp;B74,'2024'!$K$24:$K$112,1)+COUNTIFS('2025'!$L$24:$L$112,A74&amp;" / "&amp;B74,'2025'!$K$24:$K$112,1)</x:f>
        <x:v>0</x:v>
      </x:c>
      <x:c r="G74" s="25" t="n">
        <x:f>SUMIFS('2015'!$E$24:$E$96,'2015'!$L$24:$L$96,A74&amp;" / "&amp;B74,'2015'!$C$24:$C$96,A74)+SUMIFS('2015'!$H$24:$H$96,'2015'!$L$24:$L$96,A74&amp;" / "&amp;B74,'2015'!$F$24:$F$96,A74)+SUMIFS('2016'!$E$24:$E$96,'2016'!$L$24:$L$96,A74&amp;" / "&amp;B74,'2016'!$C$24:$C$96,A74)+SUMIFS('2016'!$H$24:$H$96,'2016'!$L$24:$L$96,A74&amp;" / "&amp;B74,'2016'!$F$24:$F$96,A74)+SUMIFS('2017'!$E$24:$E$106,'2017'!$L$24:$L$106,A74&amp;" / "&amp;B74,'2017'!$C$24:$C$106,A74)+SUMIFS('2017'!$H$24:$H$106,'2017'!$L$24:$L$106,A74&amp;" / "&amp;B74,'2017'!$F$24:$F$106,A74)+SUMIFS('2018'!$E$24:$E$106,'2018'!$L$24:$L$106,A74&amp;" / "&amp;B74,'2018'!$C$24:$C$106,A74)+SUMIFS('2018'!$H$24:$H$106,'2018'!$L$24:$L$106,A74&amp;" / "&amp;B74,'2018'!$F$24:$F$106,A74)+SUMIFS('2019'!$E$24:$E$106,'2019'!$L$24:$L$106,A74&amp;" / "&amp;B74,'2019'!$C$24:$C$106,A74)+SUMIFS('2019'!$H$24:$H$106,'2019'!$L$24:$L$106,A74&amp;" / "&amp;B74,'2019'!$F$24:$F$106,A74)+SUMIFS('2020'!$E$24:$E$106,'2020'!$L$24:$L$106,A74&amp;" / "&amp;B74,'2020'!$C$24:$C$106,A74)+SUMIFS('2020'!$H$24:$H$106,'2020'!$L$24:$L$106,A74&amp;" / "&amp;B74,'2020'!$F$24:$F$106,A74)+SUMIFS('2021'!$E$24:$E$112,'2021'!$L$24:$L$112,A74&amp;" / "&amp;B74,'2021'!$C$24:$C$112,A74)+SUMIFS('2021'!$H$24:$H$112,'2021'!$L$24:$L$112,A74&amp;" / "&amp;B74,'2021'!$F$24:$F$112,A74)+SUMIFS('2022'!$E$24:$E$112,'2022'!$L$24:$L$112,A74&amp;" / "&amp;B74,'2022'!$C$24:$C$112,A74)+SUMIFS('2022'!$H$24:$H$112,'2022'!$L$24:$L$112,A74&amp;" / "&amp;B74,'2022'!$F$24:$F$112,A74)+SUMIFS('2023'!$E$24:$E$112,'2023'!$L$24:$L$112,A74&amp;" / "&amp;B74,'2023'!$C$24:$C$112,A74)+SUMIFS('2023'!$H$24:$H$112,'2023'!$L$24:$L$112,A74&amp;" / "&amp;B74,'2023'!$F$24:$F$112,A74)+SUMIFS('2024'!$E$24:$E$112,'2024'!$L$24:$L$112,A74&amp;" / "&amp;B74,'2024'!$C$24:$C$112,A74)+SUMIFS('2024'!$H$24:$H$112,'2024'!$L$24:$L$112,A74&amp;" / "&amp;B74,'2024'!$F$24:$F$112,A74)+SUMIFS('2025'!$E$24:$E$112,'2025'!$L$24:$L$112,A74&amp;" / "&amp;B74,'2025'!$C$24:$C$112,A74)+SUMIFS('2025'!$H$24:$H$112,'2025'!$L$24:$L$112,A74&amp;" / "&amp;B74,'2025'!$F$24:$F$112,A74)</x:f>
        <x:v>840.65</x:v>
      </x:c>
      <x:c r="H74" s="25" t="n">
        <x:f>SUMIFS('2015'!$E$24:$E$96,'2015'!$L$24:$L$96,A74&amp;" / "&amp;B74,'2015'!$C$24:$C$96,B74)+SUMIFS('2015'!$H$24:$H$96,'2015'!$L$24:$L$96,A74&amp;" / "&amp;B74,'2015'!$F$24:$F$96,B74)+SUMIFS('2016'!$E$24:$E$96,'2016'!$L$24:$L$96,A74&amp;" / "&amp;B74,'2016'!$C$24:$C$96,B74)+SUMIFS('2016'!$H$24:$H$96,'2016'!$L$24:$L$96,A74&amp;" / "&amp;B74,'2016'!$F$24:$F$96,B74)+SUMIFS('2017'!$E$24:$E$106,'2017'!$L$24:$L$106,A74&amp;" / "&amp;B74,'2017'!$C$24:$C$106,B74)+SUMIFS('2017'!$H$24:$H$106,'2017'!$L$24:$L$106,A74&amp;" / "&amp;B74,'2017'!$F$24:$F$106,B74)+SUMIFS('2018'!$E$24:$E$106,'2018'!$L$24:$L$106,A74&amp;" / "&amp;B74,'2018'!$C$24:$C$106,B74)+SUMIFS('2018'!$H$24:$H$106,'2018'!$L$24:$L$106,A74&amp;" / "&amp;B74,'2018'!$F$24:$F$106,B74)+SUMIFS('2019'!$E$24:$E$106,'2019'!$L$24:$L$106,A74&amp;" / "&amp;B74,'2019'!$C$24:$C$106,B74)+SUMIFS('2019'!$H$24:$H$106,'2019'!$L$24:$L$106,A74&amp;" / "&amp;B74,'2019'!$F$24:$F$106,B74)+SUMIFS('2020'!$E$24:$E$106,'2020'!$L$24:$L$106,A74&amp;" / "&amp;B74,'2020'!$C$24:$C$106,B74)+SUMIFS('2020'!$H$24:$H$106,'2020'!$L$24:$L$106,A74&amp;" / "&amp;B74,'2020'!$F$24:$F$106,B74)+SUMIFS('2021'!$E$24:$E$112,'2021'!$L$24:$L$112,A74&amp;" / "&amp;B74,'2021'!$C$24:$C$112,B74)+SUMIFS('2021'!$H$24:$H$112,'2021'!$L$24:$L$112,A74&amp;" / "&amp;B74,'2021'!$F$24:$F$112,B74)+SUMIFS('2022'!$E$24:$E$112,'2022'!$L$24:$L$112,A74&amp;" / "&amp;B74,'2022'!$C$24:$C$112,B74)+SUMIFS('2022'!$H$24:$H$112,'2022'!$L$24:$L$112,A74&amp;" / "&amp;B74,'2022'!$F$24:$F$112,B74)+SUMIFS('2023'!$E$24:$E$112,'2023'!$L$24:$L$112,A74&amp;" / "&amp;B74,'2023'!$C$24:$C$112,B74)+SUMIFS('2023'!$H$24:$H$112,'2023'!$L$24:$L$112,A74&amp;" / "&amp;B74,'2023'!$F$24:$F$112,B74)+SUMIFS('2024'!$E$24:$E$112,'2024'!$L$24:$L$112,A74&amp;" / "&amp;B74,'2024'!$C$24:$C$112,B74)+SUMIFS('2024'!$H$24:$H$112,'2024'!$L$24:$L$112,A74&amp;" / "&amp;B74,'2024'!$F$24:$F$112,B74)+SUMIFS('2025'!$E$24:$E$112,'2025'!$L$24:$L$112,A74&amp;" / "&amp;B74,'2025'!$C$24:$C$112,B74)+SUMIFS('2025'!$H$24:$H$112,'2025'!$L$24:$L$112,A74&amp;" / "&amp;B74,'2025'!$F$24:$F$112,B74)</x:f>
        <x:v>855.4</x:v>
      </x:c>
      <x:c r="I74" s="11" t="n">
        <x:f>IF(C74=0,0,(D74+0.5*F74)/C74)</x:f>
        <x:v>0.5714285714285714</x:v>
      </x:c>
      <x:c r="J74" s="2" t="n">
        <x:f>COUNTIFS('2015'!$L$24:$L$96,A74&amp;" / "&amp;B74,'2015'!$B$24:$B$96,"Regular")+COUNTIFS('2016'!$L$24:$L$96,A74&amp;" / "&amp;B74,'2016'!$B$24:$B$96,"Regular")+COUNTIFS('2017'!$L$24:$L$106,A74&amp;" / "&amp;B74,'2017'!$B$24:$B$106,"Regular")+COUNTIFS('2018'!$L$24:$L$106,A74&amp;" / "&amp;B74,'2018'!$B$24:$B$106,"Regular")+COUNTIFS('2019'!$L$24:$L$106,A74&amp;" / "&amp;B74,'2019'!$B$24:$B$106,"Regular")+COUNTIFS('2020'!$L$24:$L$106,A74&amp;" / "&amp;B74,'2020'!$B$24:$B$106,"Regular")+COUNTIFS('2021'!$L$24:$L$112,A74&amp;" / "&amp;B74,'2021'!$B$24:$B$112,"Regular")+COUNTIFS('2022'!$L$24:$L$112,A74&amp;" / "&amp;B74,'2022'!$B$24:$B$112,"Regular")+COUNTIFS('2023'!$L$24:$L$112,A74&amp;" / "&amp;B74,'2023'!$B$24:$B$112,"Regular")+COUNTIFS('2024'!$L$24:$L$112,A74&amp;" / "&amp;B74,'2024'!$B$24:$B$112,"Regular")+COUNTIFS('2025'!$L$24:$L$112,A74&amp;" / "&amp;B74,'2025'!$B$24:$B$112,"Regular")</x:f>
        <x:v>7</x:v>
      </x:c>
      <x:c r="K74" s="2" t="n">
        <x:f>COUNTIFS('2015'!$L$24:$L$96,A74&amp;" / "&amp;B74,'2015'!$B$24:$B$96,"Playoffs")+COUNTIFS('2016'!$L$24:$L$96,A74&amp;" / "&amp;B74,'2016'!$B$24:$B$96,"Playoffs")+COUNTIFS('2017'!$L$24:$L$106,A74&amp;" / "&amp;B74,'2017'!$B$24:$B$106,"Playoffs")+COUNTIFS('2018'!$L$24:$L$106,A74&amp;" / "&amp;B74,'2018'!$B$24:$B$106,"Playoffs")+COUNTIFS('2019'!$L$24:$L$106,A74&amp;" / "&amp;B74,'2019'!$B$24:$B$106,"Playoffs")+COUNTIFS('2020'!$L$24:$L$106,A74&amp;" / "&amp;B74,'2020'!$B$24:$B$106,"Playoffs")+COUNTIFS('2021'!$L$24:$L$112,A74&amp;" / "&amp;B74,'2021'!$B$24:$B$112,"Playoffs")+COUNTIFS('2022'!$L$24:$L$112,A74&amp;" / "&amp;B74,'2022'!$B$24:$B$112,"Playoffs")+COUNTIFS('2023'!$L$24:$L$112,A74&amp;" / "&amp;B74,'2023'!$B$24:$B$112,"Playoffs")+COUNTIFS('2024'!$L$24:$L$112,A74&amp;" / "&amp;B74,'2024'!$B$24:$B$112,"Playoffs")+COUNTIFS('2025'!$L$24:$L$112,A74&amp;" / "&amp;B74,'2025'!$B$24:$B$112,"Playoffs")</x:f>
        <x:v>0</x:v>
      </x:c>
      <x:c r="L74" s="2" t="n">
        <x:f>COUNTIFS('2015'!$L$24:$L$96,A74&amp;" / "&amp;B74,'2015'!$B$24:$B$96,"Unconfirmed")+COUNTIFS('2016'!$L$24:$L$96,A74&amp;" / "&amp;B74,'2016'!$B$24:$B$96,"Unconfirmed")+COUNTIFS('2017'!$L$24:$L$106,A74&amp;" / "&amp;B74,'2017'!$B$24:$B$106,"Unconfirmed")+COUNTIFS('2018'!$L$24:$L$106,A74&amp;" / "&amp;B74,'2018'!$B$24:$B$106,"Unconfirmed")+COUNTIFS('2019'!$L$24:$L$106,A74&amp;" / "&amp;B74,'2019'!$B$24:$B$106,"Unconfirmed")+COUNTIFS('2020'!$L$24:$L$106,A74&amp;" / "&amp;B74,'2020'!$B$24:$B$106,"Unconfirmed")+COUNTIFS('2021'!$L$24:$L$112,A74&amp;" / "&amp;B74,'2021'!$B$24:$B$112,"Unconfirmed")+COUNTIFS('2022'!$L$24:$L$112,A74&amp;" / "&amp;B74,'2022'!$B$24:$B$112,"Unconfirmed")+COUNTIFS('2023'!$L$24:$L$112,A74&amp;" / "&amp;B74,'2023'!$B$24:$B$112,"Unconfirmed")+COUNTIFS('2024'!$L$24:$L$112,A74&amp;" / "&amp;B74,'2024'!$B$24:$B$112,"Unconfirmed")+COUNTIFS('2025'!$L$24:$L$112,A74&amp;" / "&amp;B74,'2025'!$B$24:$B$112,"Unconfirmed")</x:f>
        <x:v>0</x:v>
      </x:c>
    </x:row>
    <x:row r="75" ht="22" customHeight="1">
      <x:c r="A75" s="2" t="str">
        <x:v>Craig</x:v>
      </x:c>
      <x:c r="B75" s="2" t="str">
        <x:v>Paul</x:v>
      </x:c>
      <x:c r="C75" s="2" t="n">
        <x:f>COUNTIFS('2015'!$L$24:$L$96,A75&amp;" / "&amp;B75)+COUNTIFS('2016'!$L$24:$L$96,A75&amp;" / "&amp;B75)+COUNTIFS('2017'!$L$24:$L$106,A75&amp;" / "&amp;B75)+COUNTIFS('2018'!$L$24:$L$106,A75&amp;" / "&amp;B75)+COUNTIFS('2019'!$L$24:$L$106,A75&amp;" / "&amp;B75)+COUNTIFS('2020'!$L$24:$L$106,A75&amp;" / "&amp;B75)+COUNTIFS('2021'!$L$24:$L$112,A75&amp;" / "&amp;B75)+COUNTIFS('2022'!$L$24:$L$112,A75&amp;" / "&amp;B75)+COUNTIFS('2023'!$L$24:$L$112,A75&amp;" / "&amp;B75)+COUNTIFS('2024'!$L$24:$L$112,A75&amp;" / "&amp;B75)+COUNTIFS('2025'!$L$24:$L$112,A75&amp;" / "&amp;B75)</x:f>
        <x:v>10</x:v>
      </x:c>
      <x:c r="D75" s="2" t="n">
        <x:f>COUNTIFS('2015'!$L$24:$L$96,A75&amp;" / "&amp;B75,'2015'!$I$24:$I$96,A75)+COUNTIFS('2016'!$L$24:$L$96,A75&amp;" / "&amp;B75,'2016'!$I$24:$I$96,A75)+COUNTIFS('2017'!$L$24:$L$106,A75&amp;" / "&amp;B75,'2017'!$I$24:$I$106,A75)+COUNTIFS('2018'!$L$24:$L$106,A75&amp;" / "&amp;B75,'2018'!$I$24:$I$106,A75)+COUNTIFS('2019'!$L$24:$L$106,A75&amp;" / "&amp;B75,'2019'!$I$24:$I$106,A75)+COUNTIFS('2020'!$L$24:$L$106,A75&amp;" / "&amp;B75,'2020'!$I$24:$I$106,A75)+COUNTIFS('2021'!$L$24:$L$112,A75&amp;" / "&amp;B75,'2021'!$I$24:$I$112,A75)+COUNTIFS('2022'!$L$24:$L$112,A75&amp;" / "&amp;B75,'2022'!$I$24:$I$112,A75)+COUNTIFS('2023'!$L$24:$L$112,A75&amp;" / "&amp;B75,'2023'!$I$24:$I$112,A75)+COUNTIFS('2024'!$L$24:$L$112,A75&amp;" / "&amp;B75,'2024'!$I$24:$I$112,A75)+COUNTIFS('2025'!$L$24:$L$112,A75&amp;" / "&amp;B75,'2025'!$I$24:$I$112,A75)</x:f>
        <x:v>5</x:v>
      </x:c>
      <x:c r="E75" s="2" t="n">
        <x:f>COUNTIFS('2015'!$L$24:$L$96,A75&amp;" / "&amp;B75,'2015'!$I$24:$I$96,B75)+COUNTIFS('2016'!$L$24:$L$96,A75&amp;" / "&amp;B75,'2016'!$I$24:$I$96,B75)+COUNTIFS('2017'!$L$24:$L$106,A75&amp;" / "&amp;B75,'2017'!$I$24:$I$106,B75)+COUNTIFS('2018'!$L$24:$L$106,A75&amp;" / "&amp;B75,'2018'!$I$24:$I$106,B75)+COUNTIFS('2019'!$L$24:$L$106,A75&amp;" / "&amp;B75,'2019'!$I$24:$I$106,B75)+COUNTIFS('2020'!$L$24:$L$106,A75&amp;" / "&amp;B75,'2020'!$I$24:$I$106,B75)+COUNTIFS('2021'!$L$24:$L$112,A75&amp;" / "&amp;B75,'2021'!$I$24:$I$112,B75)+COUNTIFS('2022'!$L$24:$L$112,A75&amp;" / "&amp;B75,'2022'!$I$24:$I$112,B75)+COUNTIFS('2023'!$L$24:$L$112,A75&amp;" / "&amp;B75,'2023'!$I$24:$I$112,B75)+COUNTIFS('2024'!$L$24:$L$112,A75&amp;" / "&amp;B75,'2024'!$I$24:$I$112,B75)+COUNTIFS('2025'!$L$24:$L$112,A75&amp;" / "&amp;B75,'2025'!$I$24:$I$112,B75)</x:f>
        <x:v>5</x:v>
      </x:c>
      <x:c r="F75" s="2" t="n">
        <x:f>COUNTIFS('2015'!$L$24:$L$96,A75&amp;" / "&amp;B75,'2015'!$K$24:$K$96,1)+COUNTIFS('2016'!$L$24:$L$96,A75&amp;" / "&amp;B75,'2016'!$K$24:$K$96,1)+COUNTIFS('2017'!$L$24:$L$106,A75&amp;" / "&amp;B75,'2017'!$K$24:$K$106,1)+COUNTIFS('2018'!$L$24:$L$106,A75&amp;" / "&amp;B75,'2018'!$K$24:$K$106,1)+COUNTIFS('2019'!$L$24:$L$106,A75&amp;" / "&amp;B75,'2019'!$K$24:$K$106,1)+COUNTIFS('2020'!$L$24:$L$106,A75&amp;" / "&amp;B75,'2020'!$K$24:$K$106,1)+COUNTIFS('2021'!$L$24:$L$112,A75&amp;" / "&amp;B75,'2021'!$K$24:$K$112,1)+COUNTIFS('2022'!$L$24:$L$112,A75&amp;" / "&amp;B75,'2022'!$K$24:$K$112,1)+COUNTIFS('2023'!$L$24:$L$112,A75&amp;" / "&amp;B75,'2023'!$K$24:$K$112,1)+COUNTIFS('2024'!$L$24:$L$112,A75&amp;" / "&amp;B75,'2024'!$K$24:$K$112,1)+COUNTIFS('2025'!$L$24:$L$112,A75&amp;" / "&amp;B75,'2025'!$K$24:$K$112,1)</x:f>
        <x:v>0</x:v>
      </x:c>
      <x:c r="G75" s="25" t="n">
        <x:f>SUMIFS('2015'!$E$24:$E$96,'2015'!$L$24:$L$96,A75&amp;" / "&amp;B75,'2015'!$C$24:$C$96,A75)+SUMIFS('2015'!$H$24:$H$96,'2015'!$L$24:$L$96,A75&amp;" / "&amp;B75,'2015'!$F$24:$F$96,A75)+SUMIFS('2016'!$E$24:$E$96,'2016'!$L$24:$L$96,A75&amp;" / "&amp;B75,'2016'!$C$24:$C$96,A75)+SUMIFS('2016'!$H$24:$H$96,'2016'!$L$24:$L$96,A75&amp;" / "&amp;B75,'2016'!$F$24:$F$96,A75)+SUMIFS('2017'!$E$24:$E$106,'2017'!$L$24:$L$106,A75&amp;" / "&amp;B75,'2017'!$C$24:$C$106,A75)+SUMIFS('2017'!$H$24:$H$106,'2017'!$L$24:$L$106,A75&amp;" / "&amp;B75,'2017'!$F$24:$F$106,A75)+SUMIFS('2018'!$E$24:$E$106,'2018'!$L$24:$L$106,A75&amp;" / "&amp;B75,'2018'!$C$24:$C$106,A75)+SUMIFS('2018'!$H$24:$H$106,'2018'!$L$24:$L$106,A75&amp;" / "&amp;B75,'2018'!$F$24:$F$106,A75)+SUMIFS('2019'!$E$24:$E$106,'2019'!$L$24:$L$106,A75&amp;" / "&amp;B75,'2019'!$C$24:$C$106,A75)+SUMIFS('2019'!$H$24:$H$106,'2019'!$L$24:$L$106,A75&amp;" / "&amp;B75,'2019'!$F$24:$F$106,A75)+SUMIFS('2020'!$E$24:$E$106,'2020'!$L$24:$L$106,A75&amp;" / "&amp;B75,'2020'!$C$24:$C$106,A75)+SUMIFS('2020'!$H$24:$H$106,'2020'!$L$24:$L$106,A75&amp;" / "&amp;B75,'2020'!$F$24:$F$106,A75)+SUMIFS('2021'!$E$24:$E$112,'2021'!$L$24:$L$112,A75&amp;" / "&amp;B75,'2021'!$C$24:$C$112,A75)+SUMIFS('2021'!$H$24:$H$112,'2021'!$L$24:$L$112,A75&amp;" / "&amp;B75,'2021'!$F$24:$F$112,A75)+SUMIFS('2022'!$E$24:$E$112,'2022'!$L$24:$L$112,A75&amp;" / "&amp;B75,'2022'!$C$24:$C$112,A75)+SUMIFS('2022'!$H$24:$H$112,'2022'!$L$24:$L$112,A75&amp;" / "&amp;B75,'2022'!$F$24:$F$112,A75)+SUMIFS('2023'!$E$24:$E$112,'2023'!$L$24:$L$112,A75&amp;" / "&amp;B75,'2023'!$C$24:$C$112,A75)+SUMIFS('2023'!$H$24:$H$112,'2023'!$L$24:$L$112,A75&amp;" / "&amp;B75,'2023'!$F$24:$F$112,A75)+SUMIFS('2024'!$E$24:$E$112,'2024'!$L$24:$L$112,A75&amp;" / "&amp;B75,'2024'!$C$24:$C$112,A75)+SUMIFS('2024'!$H$24:$H$112,'2024'!$L$24:$L$112,A75&amp;" / "&amp;B75,'2024'!$F$24:$F$112,A75)+SUMIFS('2025'!$E$24:$E$112,'2025'!$L$24:$L$112,A75&amp;" / "&amp;B75,'2025'!$C$24:$C$112,A75)+SUMIFS('2025'!$H$24:$H$112,'2025'!$L$24:$L$112,A75&amp;" / "&amp;B75,'2025'!$F$24:$F$112,A75)</x:f>
        <x:v>1225.95</x:v>
      </x:c>
      <x:c r="H75" s="25" t="n">
        <x:f>SUMIFS('2015'!$E$24:$E$96,'2015'!$L$24:$L$96,A75&amp;" / "&amp;B75,'2015'!$C$24:$C$96,B75)+SUMIFS('2015'!$H$24:$H$96,'2015'!$L$24:$L$96,A75&amp;" / "&amp;B75,'2015'!$F$24:$F$96,B75)+SUMIFS('2016'!$E$24:$E$96,'2016'!$L$24:$L$96,A75&amp;" / "&amp;B75,'2016'!$C$24:$C$96,B75)+SUMIFS('2016'!$H$24:$H$96,'2016'!$L$24:$L$96,A75&amp;" / "&amp;B75,'2016'!$F$24:$F$96,B75)+SUMIFS('2017'!$E$24:$E$106,'2017'!$L$24:$L$106,A75&amp;" / "&amp;B75,'2017'!$C$24:$C$106,B75)+SUMIFS('2017'!$H$24:$H$106,'2017'!$L$24:$L$106,A75&amp;" / "&amp;B75,'2017'!$F$24:$F$106,B75)+SUMIFS('2018'!$E$24:$E$106,'2018'!$L$24:$L$106,A75&amp;" / "&amp;B75,'2018'!$C$24:$C$106,B75)+SUMIFS('2018'!$H$24:$H$106,'2018'!$L$24:$L$106,A75&amp;" / "&amp;B75,'2018'!$F$24:$F$106,B75)+SUMIFS('2019'!$E$24:$E$106,'2019'!$L$24:$L$106,A75&amp;" / "&amp;B75,'2019'!$C$24:$C$106,B75)+SUMIFS('2019'!$H$24:$H$106,'2019'!$L$24:$L$106,A75&amp;" / "&amp;B75,'2019'!$F$24:$F$106,B75)+SUMIFS('2020'!$E$24:$E$106,'2020'!$L$24:$L$106,A75&amp;" / "&amp;B75,'2020'!$C$24:$C$106,B75)+SUMIFS('2020'!$H$24:$H$106,'2020'!$L$24:$L$106,A75&amp;" / "&amp;B75,'2020'!$F$24:$F$106,B75)+SUMIFS('2021'!$E$24:$E$112,'2021'!$L$24:$L$112,A75&amp;" / "&amp;B75,'2021'!$C$24:$C$112,B75)+SUMIFS('2021'!$H$24:$H$112,'2021'!$L$24:$L$112,A75&amp;" / "&amp;B75,'2021'!$F$24:$F$112,B75)+SUMIFS('2022'!$E$24:$E$112,'2022'!$L$24:$L$112,A75&amp;" / "&amp;B75,'2022'!$C$24:$C$112,B75)+SUMIFS('2022'!$H$24:$H$112,'2022'!$L$24:$L$112,A75&amp;" / "&amp;B75,'2022'!$F$24:$F$112,B75)+SUMIFS('2023'!$E$24:$E$112,'2023'!$L$24:$L$112,A75&amp;" / "&amp;B75,'2023'!$C$24:$C$112,B75)+SUMIFS('2023'!$H$24:$H$112,'2023'!$L$24:$L$112,A75&amp;" / "&amp;B75,'2023'!$F$24:$F$112,B75)+SUMIFS('2024'!$E$24:$E$112,'2024'!$L$24:$L$112,A75&amp;" / "&amp;B75,'2024'!$C$24:$C$112,B75)+SUMIFS('2024'!$H$24:$H$112,'2024'!$L$24:$L$112,A75&amp;" / "&amp;B75,'2024'!$F$24:$F$112,B75)+SUMIFS('2025'!$E$24:$E$112,'2025'!$L$24:$L$112,A75&amp;" / "&amp;B75,'2025'!$C$24:$C$112,B75)+SUMIFS('2025'!$H$24:$H$112,'2025'!$L$24:$L$112,A75&amp;" / "&amp;B75,'2025'!$F$24:$F$112,B75)</x:f>
        <x:v>1227.8999999999999</x:v>
      </x:c>
      <x:c r="I75" s="11" t="n">
        <x:f>IF(C75=0,0,(D75+0.5*F75)/C75)</x:f>
        <x:v>0.5</x:v>
      </x:c>
      <x:c r="J75" s="2" t="n">
        <x:f>COUNTIFS('2015'!$L$24:$L$96,A75&amp;" / "&amp;B75,'2015'!$B$24:$B$96,"Regular")+COUNTIFS('2016'!$L$24:$L$96,A75&amp;" / "&amp;B75,'2016'!$B$24:$B$96,"Regular")+COUNTIFS('2017'!$L$24:$L$106,A75&amp;" / "&amp;B75,'2017'!$B$24:$B$106,"Regular")+COUNTIFS('2018'!$L$24:$L$106,A75&amp;" / "&amp;B75,'2018'!$B$24:$B$106,"Regular")+COUNTIFS('2019'!$L$24:$L$106,A75&amp;" / "&amp;B75,'2019'!$B$24:$B$106,"Regular")+COUNTIFS('2020'!$L$24:$L$106,A75&amp;" / "&amp;B75,'2020'!$B$24:$B$106,"Regular")+COUNTIFS('2021'!$L$24:$L$112,A75&amp;" / "&amp;B75,'2021'!$B$24:$B$112,"Regular")+COUNTIFS('2022'!$L$24:$L$112,A75&amp;" / "&amp;B75,'2022'!$B$24:$B$112,"Regular")+COUNTIFS('2023'!$L$24:$L$112,A75&amp;" / "&amp;B75,'2023'!$B$24:$B$112,"Regular")+COUNTIFS('2024'!$L$24:$L$112,A75&amp;" / "&amp;B75,'2024'!$B$24:$B$112,"Regular")+COUNTIFS('2025'!$L$24:$L$112,A75&amp;" / "&amp;B75,'2025'!$B$24:$B$112,"Regular")</x:f>
        <x:v>9</x:v>
      </x:c>
      <x:c r="K75" s="2" t="n">
        <x:f>COUNTIFS('2015'!$L$24:$L$96,A75&amp;" / "&amp;B75,'2015'!$B$24:$B$96,"Playoffs")+COUNTIFS('2016'!$L$24:$L$96,A75&amp;" / "&amp;B75,'2016'!$B$24:$B$96,"Playoffs")+COUNTIFS('2017'!$L$24:$L$106,A75&amp;" / "&amp;B75,'2017'!$B$24:$B$106,"Playoffs")+COUNTIFS('2018'!$L$24:$L$106,A75&amp;" / "&amp;B75,'2018'!$B$24:$B$106,"Playoffs")+COUNTIFS('2019'!$L$24:$L$106,A75&amp;" / "&amp;B75,'2019'!$B$24:$B$106,"Playoffs")+COUNTIFS('2020'!$L$24:$L$106,A75&amp;" / "&amp;B75,'2020'!$B$24:$B$106,"Playoffs")+COUNTIFS('2021'!$L$24:$L$112,A75&amp;" / "&amp;B75,'2021'!$B$24:$B$112,"Playoffs")+COUNTIFS('2022'!$L$24:$L$112,A75&amp;" / "&amp;B75,'2022'!$B$24:$B$112,"Playoffs")+COUNTIFS('2023'!$L$24:$L$112,A75&amp;" / "&amp;B75,'2023'!$B$24:$B$112,"Playoffs")+COUNTIFS('2024'!$L$24:$L$112,A75&amp;" / "&amp;B75,'2024'!$B$24:$B$112,"Playoffs")+COUNTIFS('2025'!$L$24:$L$112,A75&amp;" / "&amp;B75,'2025'!$B$24:$B$112,"Playoffs")</x:f>
        <x:v>1</x:v>
      </x:c>
      <x:c r="L75" s="2" t="n">
        <x:f>COUNTIFS('2015'!$L$24:$L$96,A75&amp;" / "&amp;B75,'2015'!$B$24:$B$96,"Unconfirmed")+COUNTIFS('2016'!$L$24:$L$96,A75&amp;" / "&amp;B75,'2016'!$B$24:$B$96,"Unconfirmed")+COUNTIFS('2017'!$L$24:$L$106,A75&amp;" / "&amp;B75,'2017'!$B$24:$B$106,"Unconfirmed")+COUNTIFS('2018'!$L$24:$L$106,A75&amp;" / "&amp;B75,'2018'!$B$24:$B$106,"Unconfirmed")+COUNTIFS('2019'!$L$24:$L$106,A75&amp;" / "&amp;B75,'2019'!$B$24:$B$106,"Unconfirmed")+COUNTIFS('2020'!$L$24:$L$106,A75&amp;" / "&amp;B75,'2020'!$B$24:$B$106,"Unconfirmed")+COUNTIFS('2021'!$L$24:$L$112,A75&amp;" / "&amp;B75,'2021'!$B$24:$B$112,"Unconfirmed")+COUNTIFS('2022'!$L$24:$L$112,A75&amp;" / "&amp;B75,'2022'!$B$24:$B$112,"Unconfirmed")+COUNTIFS('2023'!$L$24:$L$112,A75&amp;" / "&amp;B75,'2023'!$B$24:$B$112,"Unconfirmed")+COUNTIFS('2024'!$L$24:$L$112,A75&amp;" / "&amp;B75,'2024'!$B$24:$B$112,"Unconfirmed")+COUNTIFS('2025'!$L$24:$L$112,A75&amp;" / "&amp;B75,'2025'!$B$24:$B$112,"Unconfirmed")</x:f>
        <x:v>0</x:v>
      </x:c>
    </x:row>
    <x:row r="76" ht="22" customHeight="1">
      <x:c r="A76" s="2" t="str">
        <x:v>Craig</x:v>
      </x:c>
      <x:c r="B76" s="2" t="str">
        <x:v>Poker Dude</x:v>
      </x:c>
      <x:c r="C76" s="2" t="n">
        <x:f>COUNTIFS('2015'!$L$24:$L$96,A76&amp;" / "&amp;B76)+COUNTIFS('2016'!$L$24:$L$96,A76&amp;" / "&amp;B76)+COUNTIFS('2017'!$L$24:$L$106,A76&amp;" / "&amp;B76)+COUNTIFS('2018'!$L$24:$L$106,A76&amp;" / "&amp;B76)+COUNTIFS('2019'!$L$24:$L$106,A76&amp;" / "&amp;B76)+COUNTIFS('2020'!$L$24:$L$106,A76&amp;" / "&amp;B76)+COUNTIFS('2021'!$L$24:$L$112,A76&amp;" / "&amp;B76)+COUNTIFS('2022'!$L$24:$L$112,A76&amp;" / "&amp;B76)+COUNTIFS('2023'!$L$24:$L$112,A76&amp;" / "&amp;B76)+COUNTIFS('2024'!$L$24:$L$112,A76&amp;" / "&amp;B76)+COUNTIFS('2025'!$L$24:$L$112,A76&amp;" / "&amp;B76)</x:f>
        <x:v>6</x:v>
      </x:c>
      <x:c r="D76" s="2" t="n">
        <x:f>COUNTIFS('2015'!$L$24:$L$96,A76&amp;" / "&amp;B76,'2015'!$I$24:$I$96,A76)+COUNTIFS('2016'!$L$24:$L$96,A76&amp;" / "&amp;B76,'2016'!$I$24:$I$96,A76)+COUNTIFS('2017'!$L$24:$L$106,A76&amp;" / "&amp;B76,'2017'!$I$24:$I$106,A76)+COUNTIFS('2018'!$L$24:$L$106,A76&amp;" / "&amp;B76,'2018'!$I$24:$I$106,A76)+COUNTIFS('2019'!$L$24:$L$106,A76&amp;" / "&amp;B76,'2019'!$I$24:$I$106,A76)+COUNTIFS('2020'!$L$24:$L$106,A76&amp;" / "&amp;B76,'2020'!$I$24:$I$106,A76)+COUNTIFS('2021'!$L$24:$L$112,A76&amp;" / "&amp;B76,'2021'!$I$24:$I$112,A76)+COUNTIFS('2022'!$L$24:$L$112,A76&amp;" / "&amp;B76,'2022'!$I$24:$I$112,A76)+COUNTIFS('2023'!$L$24:$L$112,A76&amp;" / "&amp;B76,'2023'!$I$24:$I$112,A76)+COUNTIFS('2024'!$L$24:$L$112,A76&amp;" / "&amp;B76,'2024'!$I$24:$I$112,A76)+COUNTIFS('2025'!$L$24:$L$112,A76&amp;" / "&amp;B76,'2025'!$I$24:$I$112,A76)</x:f>
        <x:v>4</x:v>
      </x:c>
      <x:c r="E76" s="2" t="n">
        <x:f>COUNTIFS('2015'!$L$24:$L$96,A76&amp;" / "&amp;B76,'2015'!$I$24:$I$96,B76)+COUNTIFS('2016'!$L$24:$L$96,A76&amp;" / "&amp;B76,'2016'!$I$24:$I$96,B76)+COUNTIFS('2017'!$L$24:$L$106,A76&amp;" / "&amp;B76,'2017'!$I$24:$I$106,B76)+COUNTIFS('2018'!$L$24:$L$106,A76&amp;" / "&amp;B76,'2018'!$I$24:$I$106,B76)+COUNTIFS('2019'!$L$24:$L$106,A76&amp;" / "&amp;B76,'2019'!$I$24:$I$106,B76)+COUNTIFS('2020'!$L$24:$L$106,A76&amp;" / "&amp;B76,'2020'!$I$24:$I$106,B76)+COUNTIFS('2021'!$L$24:$L$112,A76&amp;" / "&amp;B76,'2021'!$I$24:$I$112,B76)+COUNTIFS('2022'!$L$24:$L$112,A76&amp;" / "&amp;B76,'2022'!$I$24:$I$112,B76)+COUNTIFS('2023'!$L$24:$L$112,A76&amp;" / "&amp;B76,'2023'!$I$24:$I$112,B76)+COUNTIFS('2024'!$L$24:$L$112,A76&amp;" / "&amp;B76,'2024'!$I$24:$I$112,B76)+COUNTIFS('2025'!$L$24:$L$112,A76&amp;" / "&amp;B76,'2025'!$I$24:$I$112,B76)</x:f>
        <x:v>2</x:v>
      </x:c>
      <x:c r="F76" s="2" t="n">
        <x:f>COUNTIFS('2015'!$L$24:$L$96,A76&amp;" / "&amp;B76,'2015'!$K$24:$K$96,1)+COUNTIFS('2016'!$L$24:$L$96,A76&amp;" / "&amp;B76,'2016'!$K$24:$K$96,1)+COUNTIFS('2017'!$L$24:$L$106,A76&amp;" / "&amp;B76,'2017'!$K$24:$K$106,1)+COUNTIFS('2018'!$L$24:$L$106,A76&amp;" / "&amp;B76,'2018'!$K$24:$K$106,1)+COUNTIFS('2019'!$L$24:$L$106,A76&amp;" / "&amp;B76,'2019'!$K$24:$K$106,1)+COUNTIFS('2020'!$L$24:$L$106,A76&amp;" / "&amp;B76,'2020'!$K$24:$K$106,1)+COUNTIFS('2021'!$L$24:$L$112,A76&amp;" / "&amp;B76,'2021'!$K$24:$K$112,1)+COUNTIFS('2022'!$L$24:$L$112,A76&amp;" / "&amp;B76,'2022'!$K$24:$K$112,1)+COUNTIFS('2023'!$L$24:$L$112,A76&amp;" / "&amp;B76,'2023'!$K$24:$K$112,1)+COUNTIFS('2024'!$L$24:$L$112,A76&amp;" / "&amp;B76,'2024'!$K$24:$K$112,1)+COUNTIFS('2025'!$L$24:$L$112,A76&amp;" / "&amp;B76,'2025'!$K$24:$K$112,1)</x:f>
        <x:v>0</x:v>
      </x:c>
      <x:c r="G76" s="25" t="n">
        <x:f>SUMIFS('2015'!$E$24:$E$96,'2015'!$L$24:$L$96,A76&amp;" / "&amp;B76,'2015'!$C$24:$C$96,A76)+SUMIFS('2015'!$H$24:$H$96,'2015'!$L$24:$L$96,A76&amp;" / "&amp;B76,'2015'!$F$24:$F$96,A76)+SUMIFS('2016'!$E$24:$E$96,'2016'!$L$24:$L$96,A76&amp;" / "&amp;B76,'2016'!$C$24:$C$96,A76)+SUMIFS('2016'!$H$24:$H$96,'2016'!$L$24:$L$96,A76&amp;" / "&amp;B76,'2016'!$F$24:$F$96,A76)+SUMIFS('2017'!$E$24:$E$106,'2017'!$L$24:$L$106,A76&amp;" / "&amp;B76,'2017'!$C$24:$C$106,A76)+SUMIFS('2017'!$H$24:$H$106,'2017'!$L$24:$L$106,A76&amp;" / "&amp;B76,'2017'!$F$24:$F$106,A76)+SUMIFS('2018'!$E$24:$E$106,'2018'!$L$24:$L$106,A76&amp;" / "&amp;B76,'2018'!$C$24:$C$106,A76)+SUMIFS('2018'!$H$24:$H$106,'2018'!$L$24:$L$106,A76&amp;" / "&amp;B76,'2018'!$F$24:$F$106,A76)+SUMIFS('2019'!$E$24:$E$106,'2019'!$L$24:$L$106,A76&amp;" / "&amp;B76,'2019'!$C$24:$C$106,A76)+SUMIFS('2019'!$H$24:$H$106,'2019'!$L$24:$L$106,A76&amp;" / "&amp;B76,'2019'!$F$24:$F$106,A76)+SUMIFS('2020'!$E$24:$E$106,'2020'!$L$24:$L$106,A76&amp;" / "&amp;B76,'2020'!$C$24:$C$106,A76)+SUMIFS('2020'!$H$24:$H$106,'2020'!$L$24:$L$106,A76&amp;" / "&amp;B76,'2020'!$F$24:$F$106,A76)+SUMIFS('2021'!$E$24:$E$112,'2021'!$L$24:$L$112,A76&amp;" / "&amp;B76,'2021'!$C$24:$C$112,A76)+SUMIFS('2021'!$H$24:$H$112,'2021'!$L$24:$L$112,A76&amp;" / "&amp;B76,'2021'!$F$24:$F$112,A76)+SUMIFS('2022'!$E$24:$E$112,'2022'!$L$24:$L$112,A76&amp;" / "&amp;B76,'2022'!$C$24:$C$112,A76)+SUMIFS('2022'!$H$24:$H$112,'2022'!$L$24:$L$112,A76&amp;" / "&amp;B76,'2022'!$F$24:$F$112,A76)+SUMIFS('2023'!$E$24:$E$112,'2023'!$L$24:$L$112,A76&amp;" / "&amp;B76,'2023'!$C$24:$C$112,A76)+SUMIFS('2023'!$H$24:$H$112,'2023'!$L$24:$L$112,A76&amp;" / "&amp;B76,'2023'!$F$24:$F$112,A76)+SUMIFS('2024'!$E$24:$E$112,'2024'!$L$24:$L$112,A76&amp;" / "&amp;B76,'2024'!$C$24:$C$112,A76)+SUMIFS('2024'!$H$24:$H$112,'2024'!$L$24:$L$112,A76&amp;" / "&amp;B76,'2024'!$F$24:$F$112,A76)+SUMIFS('2025'!$E$24:$E$112,'2025'!$L$24:$L$112,A76&amp;" / "&amp;B76,'2025'!$C$24:$C$112,A76)+SUMIFS('2025'!$H$24:$H$112,'2025'!$L$24:$L$112,A76&amp;" / "&amp;B76,'2025'!$F$24:$F$112,A76)</x:f>
        <x:v>719.45</x:v>
      </x:c>
      <x:c r="H76" s="25" t="n">
        <x:f>SUMIFS('2015'!$E$24:$E$96,'2015'!$L$24:$L$96,A76&amp;" / "&amp;B76,'2015'!$C$24:$C$96,B76)+SUMIFS('2015'!$H$24:$H$96,'2015'!$L$24:$L$96,A76&amp;" / "&amp;B76,'2015'!$F$24:$F$96,B76)+SUMIFS('2016'!$E$24:$E$96,'2016'!$L$24:$L$96,A76&amp;" / "&amp;B76,'2016'!$C$24:$C$96,B76)+SUMIFS('2016'!$H$24:$H$96,'2016'!$L$24:$L$96,A76&amp;" / "&amp;B76,'2016'!$F$24:$F$96,B76)+SUMIFS('2017'!$E$24:$E$106,'2017'!$L$24:$L$106,A76&amp;" / "&amp;B76,'2017'!$C$24:$C$106,B76)+SUMIFS('2017'!$H$24:$H$106,'2017'!$L$24:$L$106,A76&amp;" / "&amp;B76,'2017'!$F$24:$F$106,B76)+SUMIFS('2018'!$E$24:$E$106,'2018'!$L$24:$L$106,A76&amp;" / "&amp;B76,'2018'!$C$24:$C$106,B76)+SUMIFS('2018'!$H$24:$H$106,'2018'!$L$24:$L$106,A76&amp;" / "&amp;B76,'2018'!$F$24:$F$106,B76)+SUMIFS('2019'!$E$24:$E$106,'2019'!$L$24:$L$106,A76&amp;" / "&amp;B76,'2019'!$C$24:$C$106,B76)+SUMIFS('2019'!$H$24:$H$106,'2019'!$L$24:$L$106,A76&amp;" / "&amp;B76,'2019'!$F$24:$F$106,B76)+SUMIFS('2020'!$E$24:$E$106,'2020'!$L$24:$L$106,A76&amp;" / "&amp;B76,'2020'!$C$24:$C$106,B76)+SUMIFS('2020'!$H$24:$H$106,'2020'!$L$24:$L$106,A76&amp;" / "&amp;B76,'2020'!$F$24:$F$106,B76)+SUMIFS('2021'!$E$24:$E$112,'2021'!$L$24:$L$112,A76&amp;" / "&amp;B76,'2021'!$C$24:$C$112,B76)+SUMIFS('2021'!$H$24:$H$112,'2021'!$L$24:$L$112,A76&amp;" / "&amp;B76,'2021'!$F$24:$F$112,B76)+SUMIFS('2022'!$E$24:$E$112,'2022'!$L$24:$L$112,A76&amp;" / "&amp;B76,'2022'!$C$24:$C$112,B76)+SUMIFS('2022'!$H$24:$H$112,'2022'!$L$24:$L$112,A76&amp;" / "&amp;B76,'2022'!$F$24:$F$112,B76)+SUMIFS('2023'!$E$24:$E$112,'2023'!$L$24:$L$112,A76&amp;" / "&amp;B76,'2023'!$C$24:$C$112,B76)+SUMIFS('2023'!$H$24:$H$112,'2023'!$L$24:$L$112,A76&amp;" / "&amp;B76,'2023'!$F$24:$F$112,B76)+SUMIFS('2024'!$E$24:$E$112,'2024'!$L$24:$L$112,A76&amp;" / "&amp;B76,'2024'!$C$24:$C$112,B76)+SUMIFS('2024'!$H$24:$H$112,'2024'!$L$24:$L$112,A76&amp;" / "&amp;B76,'2024'!$F$24:$F$112,B76)+SUMIFS('2025'!$E$24:$E$112,'2025'!$L$24:$L$112,A76&amp;" / "&amp;B76,'2025'!$C$24:$C$112,B76)+SUMIFS('2025'!$H$24:$H$112,'2025'!$L$24:$L$112,A76&amp;" / "&amp;B76,'2025'!$F$24:$F$112,B76)</x:f>
        <x:v>676.65</x:v>
      </x:c>
      <x:c r="I76" s="11" t="n">
        <x:f>IF(C76=0,0,(D76+0.5*F76)/C76)</x:f>
        <x:v>0.6666666666666666</x:v>
      </x:c>
      <x:c r="J76" s="2" t="n">
        <x:f>COUNTIFS('2015'!$L$24:$L$96,A76&amp;" / "&amp;B76,'2015'!$B$24:$B$96,"Regular")+COUNTIFS('2016'!$L$24:$L$96,A76&amp;" / "&amp;B76,'2016'!$B$24:$B$96,"Regular")+COUNTIFS('2017'!$L$24:$L$106,A76&amp;" / "&amp;B76,'2017'!$B$24:$B$106,"Regular")+COUNTIFS('2018'!$L$24:$L$106,A76&amp;" / "&amp;B76,'2018'!$B$24:$B$106,"Regular")+COUNTIFS('2019'!$L$24:$L$106,A76&amp;" / "&amp;B76,'2019'!$B$24:$B$106,"Regular")+COUNTIFS('2020'!$L$24:$L$106,A76&amp;" / "&amp;B76,'2020'!$B$24:$B$106,"Regular")+COUNTIFS('2021'!$L$24:$L$112,A76&amp;" / "&amp;B76,'2021'!$B$24:$B$112,"Regular")+COUNTIFS('2022'!$L$24:$L$112,A76&amp;" / "&amp;B76,'2022'!$B$24:$B$112,"Regular")+COUNTIFS('2023'!$L$24:$L$112,A76&amp;" / "&amp;B76,'2023'!$B$24:$B$112,"Regular")+COUNTIFS('2024'!$L$24:$L$112,A76&amp;" / "&amp;B76,'2024'!$B$24:$B$112,"Regular")+COUNTIFS('2025'!$L$24:$L$112,A76&amp;" / "&amp;B76,'2025'!$B$24:$B$112,"Regular")</x:f>
        <x:v>6</x:v>
      </x:c>
      <x:c r="K76" s="2" t="n">
        <x:f>COUNTIFS('2015'!$L$24:$L$96,A76&amp;" / "&amp;B76,'2015'!$B$24:$B$96,"Playoffs")+COUNTIFS('2016'!$L$24:$L$96,A76&amp;" / "&amp;B76,'2016'!$B$24:$B$96,"Playoffs")+COUNTIFS('2017'!$L$24:$L$106,A76&amp;" / "&amp;B76,'2017'!$B$24:$B$106,"Playoffs")+COUNTIFS('2018'!$L$24:$L$106,A76&amp;" / "&amp;B76,'2018'!$B$24:$B$106,"Playoffs")+COUNTIFS('2019'!$L$24:$L$106,A76&amp;" / "&amp;B76,'2019'!$B$24:$B$106,"Playoffs")+COUNTIFS('2020'!$L$24:$L$106,A76&amp;" / "&amp;B76,'2020'!$B$24:$B$106,"Playoffs")+COUNTIFS('2021'!$L$24:$L$112,A76&amp;" / "&amp;B76,'2021'!$B$24:$B$112,"Playoffs")+COUNTIFS('2022'!$L$24:$L$112,A76&amp;" / "&amp;B76,'2022'!$B$24:$B$112,"Playoffs")+COUNTIFS('2023'!$L$24:$L$112,A76&amp;" / "&amp;B76,'2023'!$B$24:$B$112,"Playoffs")+COUNTIFS('2024'!$L$24:$L$112,A76&amp;" / "&amp;B76,'2024'!$B$24:$B$112,"Playoffs")+COUNTIFS('2025'!$L$24:$L$112,A76&amp;" / "&amp;B76,'2025'!$B$24:$B$112,"Playoffs")</x:f>
        <x:v>0</x:v>
      </x:c>
      <x:c r="L76" s="2" t="n">
        <x:f>COUNTIFS('2015'!$L$24:$L$96,A76&amp;" / "&amp;B76,'2015'!$B$24:$B$96,"Unconfirmed")+COUNTIFS('2016'!$L$24:$L$96,A76&amp;" / "&amp;B76,'2016'!$B$24:$B$96,"Unconfirmed")+COUNTIFS('2017'!$L$24:$L$106,A76&amp;" / "&amp;B76,'2017'!$B$24:$B$106,"Unconfirmed")+COUNTIFS('2018'!$L$24:$L$106,A76&amp;" / "&amp;B76,'2018'!$B$24:$B$106,"Unconfirmed")+COUNTIFS('2019'!$L$24:$L$106,A76&amp;" / "&amp;B76,'2019'!$B$24:$B$106,"Unconfirmed")+COUNTIFS('2020'!$L$24:$L$106,A76&amp;" / "&amp;B76,'2020'!$B$24:$B$106,"Unconfirmed")+COUNTIFS('2021'!$L$24:$L$112,A76&amp;" / "&amp;B76,'2021'!$B$24:$B$112,"Unconfirmed")+COUNTIFS('2022'!$L$24:$L$112,A76&amp;" / "&amp;B76,'2022'!$B$24:$B$112,"Unconfirmed")+COUNTIFS('2023'!$L$24:$L$112,A76&amp;" / "&amp;B76,'2023'!$B$24:$B$112,"Unconfirmed")+COUNTIFS('2024'!$L$24:$L$112,A76&amp;" / "&amp;B76,'2024'!$B$24:$B$112,"Unconfirmed")+COUNTIFS('2025'!$L$24:$L$112,A76&amp;" / "&amp;B76,'2025'!$B$24:$B$112,"Unconfirmed")</x:f>
        <x:v>0</x:v>
      </x:c>
    </x:row>
    <x:row r="77" ht="22" customHeight="1">
      <x:c r="A77" s="2" t="str">
        <x:v>Craig</x:v>
      </x:c>
      <x:c r="B77" s="2" t="str">
        <x:v>Ryan</x:v>
      </x:c>
      <x:c r="C77" s="2" t="n">
        <x:f>COUNTIFS('2015'!$L$24:$L$96,A77&amp;" / "&amp;B77)+COUNTIFS('2016'!$L$24:$L$96,A77&amp;" / "&amp;B77)+COUNTIFS('2017'!$L$24:$L$106,A77&amp;" / "&amp;B77)+COUNTIFS('2018'!$L$24:$L$106,A77&amp;" / "&amp;B77)+COUNTIFS('2019'!$L$24:$L$106,A77&amp;" / "&amp;B77)+COUNTIFS('2020'!$L$24:$L$106,A77&amp;" / "&amp;B77)+COUNTIFS('2021'!$L$24:$L$112,A77&amp;" / "&amp;B77)+COUNTIFS('2022'!$L$24:$L$112,A77&amp;" / "&amp;B77)+COUNTIFS('2023'!$L$24:$L$112,A77&amp;" / "&amp;B77)+COUNTIFS('2024'!$L$24:$L$112,A77&amp;" / "&amp;B77)+COUNTIFS('2025'!$L$24:$L$112,A77&amp;" / "&amp;B77)</x:f>
        <x:v>1</x:v>
      </x:c>
      <x:c r="D77" s="2" t="n">
        <x:f>COUNTIFS('2015'!$L$24:$L$96,A77&amp;" / "&amp;B77,'2015'!$I$24:$I$96,A77)+COUNTIFS('2016'!$L$24:$L$96,A77&amp;" / "&amp;B77,'2016'!$I$24:$I$96,A77)+COUNTIFS('2017'!$L$24:$L$106,A77&amp;" / "&amp;B77,'2017'!$I$24:$I$106,A77)+COUNTIFS('2018'!$L$24:$L$106,A77&amp;" / "&amp;B77,'2018'!$I$24:$I$106,A77)+COUNTIFS('2019'!$L$24:$L$106,A77&amp;" / "&amp;B77,'2019'!$I$24:$I$106,A77)+COUNTIFS('2020'!$L$24:$L$106,A77&amp;" / "&amp;B77,'2020'!$I$24:$I$106,A77)+COUNTIFS('2021'!$L$24:$L$112,A77&amp;" / "&amp;B77,'2021'!$I$24:$I$112,A77)+COUNTIFS('2022'!$L$24:$L$112,A77&amp;" / "&amp;B77,'2022'!$I$24:$I$112,A77)+COUNTIFS('2023'!$L$24:$L$112,A77&amp;" / "&amp;B77,'2023'!$I$24:$I$112,A77)+COUNTIFS('2024'!$L$24:$L$112,A77&amp;" / "&amp;B77,'2024'!$I$24:$I$112,A77)+COUNTIFS('2025'!$L$24:$L$112,A77&amp;" / "&amp;B77,'2025'!$I$24:$I$112,A77)</x:f>
        <x:v>0</x:v>
      </x:c>
      <x:c r="E77" s="2" t="n">
        <x:f>COUNTIFS('2015'!$L$24:$L$96,A77&amp;" / "&amp;B77,'2015'!$I$24:$I$96,B77)+COUNTIFS('2016'!$L$24:$L$96,A77&amp;" / "&amp;B77,'2016'!$I$24:$I$96,B77)+COUNTIFS('2017'!$L$24:$L$106,A77&amp;" / "&amp;B77,'2017'!$I$24:$I$106,B77)+COUNTIFS('2018'!$L$24:$L$106,A77&amp;" / "&amp;B77,'2018'!$I$24:$I$106,B77)+COUNTIFS('2019'!$L$24:$L$106,A77&amp;" / "&amp;B77,'2019'!$I$24:$I$106,B77)+COUNTIFS('2020'!$L$24:$L$106,A77&amp;" / "&amp;B77,'2020'!$I$24:$I$106,B77)+COUNTIFS('2021'!$L$24:$L$112,A77&amp;" / "&amp;B77,'2021'!$I$24:$I$112,B77)+COUNTIFS('2022'!$L$24:$L$112,A77&amp;" / "&amp;B77,'2022'!$I$24:$I$112,B77)+COUNTIFS('2023'!$L$24:$L$112,A77&amp;" / "&amp;B77,'2023'!$I$24:$I$112,B77)+COUNTIFS('2024'!$L$24:$L$112,A77&amp;" / "&amp;B77,'2024'!$I$24:$I$112,B77)+COUNTIFS('2025'!$L$24:$L$112,A77&amp;" / "&amp;B77,'2025'!$I$24:$I$112,B77)</x:f>
        <x:v>1</x:v>
      </x:c>
      <x:c r="F77" s="2" t="n">
        <x:f>COUNTIFS('2015'!$L$24:$L$96,A77&amp;" / "&amp;B77,'2015'!$K$24:$K$96,1)+COUNTIFS('2016'!$L$24:$L$96,A77&amp;" / "&amp;B77,'2016'!$K$24:$K$96,1)+COUNTIFS('2017'!$L$24:$L$106,A77&amp;" / "&amp;B77,'2017'!$K$24:$K$106,1)+COUNTIFS('2018'!$L$24:$L$106,A77&amp;" / "&amp;B77,'2018'!$K$24:$K$106,1)+COUNTIFS('2019'!$L$24:$L$106,A77&amp;" / "&amp;B77,'2019'!$K$24:$K$106,1)+COUNTIFS('2020'!$L$24:$L$106,A77&amp;" / "&amp;B77,'2020'!$K$24:$K$106,1)+COUNTIFS('2021'!$L$24:$L$112,A77&amp;" / "&amp;B77,'2021'!$K$24:$K$112,1)+COUNTIFS('2022'!$L$24:$L$112,A77&amp;" / "&amp;B77,'2022'!$K$24:$K$112,1)+COUNTIFS('2023'!$L$24:$L$112,A77&amp;" / "&amp;B77,'2023'!$K$24:$K$112,1)+COUNTIFS('2024'!$L$24:$L$112,A77&amp;" / "&amp;B77,'2024'!$K$24:$K$112,1)+COUNTIFS('2025'!$L$24:$L$112,A77&amp;" / "&amp;B77,'2025'!$K$24:$K$112,1)</x:f>
        <x:v>0</x:v>
      </x:c>
      <x:c r="G77" s="25" t="n">
        <x:f>SUMIFS('2015'!$E$24:$E$96,'2015'!$L$24:$L$96,A77&amp;" / "&amp;B77,'2015'!$C$24:$C$96,A77)+SUMIFS('2015'!$H$24:$H$96,'2015'!$L$24:$L$96,A77&amp;" / "&amp;B77,'2015'!$F$24:$F$96,A77)+SUMIFS('2016'!$E$24:$E$96,'2016'!$L$24:$L$96,A77&amp;" / "&amp;B77,'2016'!$C$24:$C$96,A77)+SUMIFS('2016'!$H$24:$H$96,'2016'!$L$24:$L$96,A77&amp;" / "&amp;B77,'2016'!$F$24:$F$96,A77)+SUMIFS('2017'!$E$24:$E$106,'2017'!$L$24:$L$106,A77&amp;" / "&amp;B77,'2017'!$C$24:$C$106,A77)+SUMIFS('2017'!$H$24:$H$106,'2017'!$L$24:$L$106,A77&amp;" / "&amp;B77,'2017'!$F$24:$F$106,A77)+SUMIFS('2018'!$E$24:$E$106,'2018'!$L$24:$L$106,A77&amp;" / "&amp;B77,'2018'!$C$24:$C$106,A77)+SUMIFS('2018'!$H$24:$H$106,'2018'!$L$24:$L$106,A77&amp;" / "&amp;B77,'2018'!$F$24:$F$106,A77)+SUMIFS('2019'!$E$24:$E$106,'2019'!$L$24:$L$106,A77&amp;" / "&amp;B77,'2019'!$C$24:$C$106,A77)+SUMIFS('2019'!$H$24:$H$106,'2019'!$L$24:$L$106,A77&amp;" / "&amp;B77,'2019'!$F$24:$F$106,A77)+SUMIFS('2020'!$E$24:$E$106,'2020'!$L$24:$L$106,A77&amp;" / "&amp;B77,'2020'!$C$24:$C$106,A77)+SUMIFS('2020'!$H$24:$H$106,'2020'!$L$24:$L$106,A77&amp;" / "&amp;B77,'2020'!$F$24:$F$106,A77)+SUMIFS('2021'!$E$24:$E$112,'2021'!$L$24:$L$112,A77&amp;" / "&amp;B77,'2021'!$C$24:$C$112,A77)+SUMIFS('2021'!$H$24:$H$112,'2021'!$L$24:$L$112,A77&amp;" / "&amp;B77,'2021'!$F$24:$F$112,A77)+SUMIFS('2022'!$E$24:$E$112,'2022'!$L$24:$L$112,A77&amp;" / "&amp;B77,'2022'!$C$24:$C$112,A77)+SUMIFS('2022'!$H$24:$H$112,'2022'!$L$24:$L$112,A77&amp;" / "&amp;B77,'2022'!$F$24:$F$112,A77)+SUMIFS('2023'!$E$24:$E$112,'2023'!$L$24:$L$112,A77&amp;" / "&amp;B77,'2023'!$C$24:$C$112,A77)+SUMIFS('2023'!$H$24:$H$112,'2023'!$L$24:$L$112,A77&amp;" / "&amp;B77,'2023'!$F$24:$F$112,A77)+SUMIFS('2024'!$E$24:$E$112,'2024'!$L$24:$L$112,A77&amp;" / "&amp;B77,'2024'!$C$24:$C$112,A77)+SUMIFS('2024'!$H$24:$H$112,'2024'!$L$24:$L$112,A77&amp;" / "&amp;B77,'2024'!$F$24:$F$112,A77)+SUMIFS('2025'!$E$24:$E$112,'2025'!$L$24:$L$112,A77&amp;" / "&amp;B77,'2025'!$C$24:$C$112,A77)+SUMIFS('2025'!$H$24:$H$112,'2025'!$L$24:$L$112,A77&amp;" / "&amp;B77,'2025'!$F$24:$F$112,A77)</x:f>
        <x:v>67.5</x:v>
      </x:c>
      <x:c r="H77" s="25" t="n">
        <x:f>SUMIFS('2015'!$E$24:$E$96,'2015'!$L$24:$L$96,A77&amp;" / "&amp;B77,'2015'!$C$24:$C$96,B77)+SUMIFS('2015'!$H$24:$H$96,'2015'!$L$24:$L$96,A77&amp;" / "&amp;B77,'2015'!$F$24:$F$96,B77)+SUMIFS('2016'!$E$24:$E$96,'2016'!$L$24:$L$96,A77&amp;" / "&amp;B77,'2016'!$C$24:$C$96,B77)+SUMIFS('2016'!$H$24:$H$96,'2016'!$L$24:$L$96,A77&amp;" / "&amp;B77,'2016'!$F$24:$F$96,B77)+SUMIFS('2017'!$E$24:$E$106,'2017'!$L$24:$L$106,A77&amp;" / "&amp;B77,'2017'!$C$24:$C$106,B77)+SUMIFS('2017'!$H$24:$H$106,'2017'!$L$24:$L$106,A77&amp;" / "&amp;B77,'2017'!$F$24:$F$106,B77)+SUMIFS('2018'!$E$24:$E$106,'2018'!$L$24:$L$106,A77&amp;" / "&amp;B77,'2018'!$C$24:$C$106,B77)+SUMIFS('2018'!$H$24:$H$106,'2018'!$L$24:$L$106,A77&amp;" / "&amp;B77,'2018'!$F$24:$F$106,B77)+SUMIFS('2019'!$E$24:$E$106,'2019'!$L$24:$L$106,A77&amp;" / "&amp;B77,'2019'!$C$24:$C$106,B77)+SUMIFS('2019'!$H$24:$H$106,'2019'!$L$24:$L$106,A77&amp;" / "&amp;B77,'2019'!$F$24:$F$106,B77)+SUMIFS('2020'!$E$24:$E$106,'2020'!$L$24:$L$106,A77&amp;" / "&amp;B77,'2020'!$C$24:$C$106,B77)+SUMIFS('2020'!$H$24:$H$106,'2020'!$L$24:$L$106,A77&amp;" / "&amp;B77,'2020'!$F$24:$F$106,B77)+SUMIFS('2021'!$E$24:$E$112,'2021'!$L$24:$L$112,A77&amp;" / "&amp;B77,'2021'!$C$24:$C$112,B77)+SUMIFS('2021'!$H$24:$H$112,'2021'!$L$24:$L$112,A77&amp;" / "&amp;B77,'2021'!$F$24:$F$112,B77)+SUMIFS('2022'!$E$24:$E$112,'2022'!$L$24:$L$112,A77&amp;" / "&amp;B77,'2022'!$C$24:$C$112,B77)+SUMIFS('2022'!$H$24:$H$112,'2022'!$L$24:$L$112,A77&amp;" / "&amp;B77,'2022'!$F$24:$F$112,B77)+SUMIFS('2023'!$E$24:$E$112,'2023'!$L$24:$L$112,A77&amp;" / "&amp;B77,'2023'!$C$24:$C$112,B77)+SUMIFS('2023'!$H$24:$H$112,'2023'!$L$24:$L$112,A77&amp;" / "&amp;B77,'2023'!$F$24:$F$112,B77)+SUMIFS('2024'!$E$24:$E$112,'2024'!$L$24:$L$112,A77&amp;" / "&amp;B77,'2024'!$C$24:$C$112,B77)+SUMIFS('2024'!$H$24:$H$112,'2024'!$L$24:$L$112,A77&amp;" / "&amp;B77,'2024'!$F$24:$F$112,B77)+SUMIFS('2025'!$E$24:$E$112,'2025'!$L$24:$L$112,A77&amp;" / "&amp;B77,'2025'!$C$24:$C$112,B77)+SUMIFS('2025'!$H$24:$H$112,'2025'!$L$24:$L$112,A77&amp;" / "&amp;B77,'2025'!$F$24:$F$112,B77)</x:f>
        <x:v>143.7</x:v>
      </x:c>
      <x:c r="I77" s="11" t="n">
        <x:f>IF(C77=0,0,(D77+0.5*F77)/C77)</x:f>
        <x:v>0</x:v>
      </x:c>
      <x:c r="J77" s="2" t="n">
        <x:f>COUNTIFS('2015'!$L$24:$L$96,A77&amp;" / "&amp;B77,'2015'!$B$24:$B$96,"Regular")+COUNTIFS('2016'!$L$24:$L$96,A77&amp;" / "&amp;B77,'2016'!$B$24:$B$96,"Regular")+COUNTIFS('2017'!$L$24:$L$106,A77&amp;" / "&amp;B77,'2017'!$B$24:$B$106,"Regular")+COUNTIFS('2018'!$L$24:$L$106,A77&amp;" / "&amp;B77,'2018'!$B$24:$B$106,"Regular")+COUNTIFS('2019'!$L$24:$L$106,A77&amp;" / "&amp;B77,'2019'!$B$24:$B$106,"Regular")+COUNTIFS('2020'!$L$24:$L$106,A77&amp;" / "&amp;B77,'2020'!$B$24:$B$106,"Regular")+COUNTIFS('2021'!$L$24:$L$112,A77&amp;" / "&amp;B77,'2021'!$B$24:$B$112,"Regular")+COUNTIFS('2022'!$L$24:$L$112,A77&amp;" / "&amp;B77,'2022'!$B$24:$B$112,"Regular")+COUNTIFS('2023'!$L$24:$L$112,A77&amp;" / "&amp;B77,'2023'!$B$24:$B$112,"Regular")+COUNTIFS('2024'!$L$24:$L$112,A77&amp;" / "&amp;B77,'2024'!$B$24:$B$112,"Regular")+COUNTIFS('2025'!$L$24:$L$112,A77&amp;" / "&amp;B77,'2025'!$B$24:$B$112,"Regular")</x:f>
        <x:v>1</x:v>
      </x:c>
      <x:c r="K77" s="2" t="n">
        <x:f>COUNTIFS('2015'!$L$24:$L$96,A77&amp;" / "&amp;B77,'2015'!$B$24:$B$96,"Playoffs")+COUNTIFS('2016'!$L$24:$L$96,A77&amp;" / "&amp;B77,'2016'!$B$24:$B$96,"Playoffs")+COUNTIFS('2017'!$L$24:$L$106,A77&amp;" / "&amp;B77,'2017'!$B$24:$B$106,"Playoffs")+COUNTIFS('2018'!$L$24:$L$106,A77&amp;" / "&amp;B77,'2018'!$B$24:$B$106,"Playoffs")+COUNTIFS('2019'!$L$24:$L$106,A77&amp;" / "&amp;B77,'2019'!$B$24:$B$106,"Playoffs")+COUNTIFS('2020'!$L$24:$L$106,A77&amp;" / "&amp;B77,'2020'!$B$24:$B$106,"Playoffs")+COUNTIFS('2021'!$L$24:$L$112,A77&amp;" / "&amp;B77,'2021'!$B$24:$B$112,"Playoffs")+COUNTIFS('2022'!$L$24:$L$112,A77&amp;" / "&amp;B77,'2022'!$B$24:$B$112,"Playoffs")+COUNTIFS('2023'!$L$24:$L$112,A77&amp;" / "&amp;B77,'2023'!$B$24:$B$112,"Playoffs")+COUNTIFS('2024'!$L$24:$L$112,A77&amp;" / "&amp;B77,'2024'!$B$24:$B$112,"Playoffs")+COUNTIFS('2025'!$L$24:$L$112,A77&amp;" / "&amp;B77,'2025'!$B$24:$B$112,"Playoffs")</x:f>
        <x:v>0</x:v>
      </x:c>
      <x:c r="L77" s="2" t="n">
        <x:f>COUNTIFS('2015'!$L$24:$L$96,A77&amp;" / "&amp;B77,'2015'!$B$24:$B$96,"Unconfirmed")+COUNTIFS('2016'!$L$24:$L$96,A77&amp;" / "&amp;B77,'2016'!$B$24:$B$96,"Unconfirmed")+COUNTIFS('2017'!$L$24:$L$106,A77&amp;" / "&amp;B77,'2017'!$B$24:$B$106,"Unconfirmed")+COUNTIFS('2018'!$L$24:$L$106,A77&amp;" / "&amp;B77,'2018'!$B$24:$B$106,"Unconfirmed")+COUNTIFS('2019'!$L$24:$L$106,A77&amp;" / "&amp;B77,'2019'!$B$24:$B$106,"Unconfirmed")+COUNTIFS('2020'!$L$24:$L$106,A77&amp;" / "&amp;B77,'2020'!$B$24:$B$106,"Unconfirmed")+COUNTIFS('2021'!$L$24:$L$112,A77&amp;" / "&amp;B77,'2021'!$B$24:$B$112,"Unconfirmed")+COUNTIFS('2022'!$L$24:$L$112,A77&amp;" / "&amp;B77,'2022'!$B$24:$B$112,"Unconfirmed")+COUNTIFS('2023'!$L$24:$L$112,A77&amp;" / "&amp;B77,'2023'!$B$24:$B$112,"Unconfirmed")+COUNTIFS('2024'!$L$24:$L$112,A77&amp;" / "&amp;B77,'2024'!$B$24:$B$112,"Unconfirmed")+COUNTIFS('2025'!$L$24:$L$112,A77&amp;" / "&amp;B77,'2025'!$B$24:$B$112,"Unconfirmed")</x:f>
        <x:v>0</x:v>
      </x:c>
    </x:row>
    <x:row r="78" ht="22" customHeight="1">
      <x:c r="A78" s="2" t="str">
        <x:v>Craig</x:v>
      </x:c>
      <x:c r="B78" s="2" t="str">
        <x:v>Taylor</x:v>
      </x:c>
      <x:c r="C78" s="2" t="n">
        <x:f>COUNTIFS('2015'!$L$24:$L$96,A78&amp;" / "&amp;B78)+COUNTIFS('2016'!$L$24:$L$96,A78&amp;" / "&amp;B78)+COUNTIFS('2017'!$L$24:$L$106,A78&amp;" / "&amp;B78)+COUNTIFS('2018'!$L$24:$L$106,A78&amp;" / "&amp;B78)+COUNTIFS('2019'!$L$24:$L$106,A78&amp;" / "&amp;B78)+COUNTIFS('2020'!$L$24:$L$106,A78&amp;" / "&amp;B78)+COUNTIFS('2021'!$L$24:$L$112,A78&amp;" / "&amp;B78)+COUNTIFS('2022'!$L$24:$L$112,A78&amp;" / "&amp;B78)+COUNTIFS('2023'!$L$24:$L$112,A78&amp;" / "&amp;B78)+COUNTIFS('2024'!$L$24:$L$112,A78&amp;" / "&amp;B78)+COUNTIFS('2025'!$L$24:$L$112,A78&amp;" / "&amp;B78)</x:f>
        <x:v>5</x:v>
      </x:c>
      <x:c r="D78" s="2" t="n">
        <x:f>COUNTIFS('2015'!$L$24:$L$96,A78&amp;" / "&amp;B78,'2015'!$I$24:$I$96,A78)+COUNTIFS('2016'!$L$24:$L$96,A78&amp;" / "&amp;B78,'2016'!$I$24:$I$96,A78)+COUNTIFS('2017'!$L$24:$L$106,A78&amp;" / "&amp;B78,'2017'!$I$24:$I$106,A78)+COUNTIFS('2018'!$L$24:$L$106,A78&amp;" / "&amp;B78,'2018'!$I$24:$I$106,A78)+COUNTIFS('2019'!$L$24:$L$106,A78&amp;" / "&amp;B78,'2019'!$I$24:$I$106,A78)+COUNTIFS('2020'!$L$24:$L$106,A78&amp;" / "&amp;B78,'2020'!$I$24:$I$106,A78)+COUNTIFS('2021'!$L$24:$L$112,A78&amp;" / "&amp;B78,'2021'!$I$24:$I$112,A78)+COUNTIFS('2022'!$L$24:$L$112,A78&amp;" / "&amp;B78,'2022'!$I$24:$I$112,A78)+COUNTIFS('2023'!$L$24:$L$112,A78&amp;" / "&amp;B78,'2023'!$I$24:$I$112,A78)+COUNTIFS('2024'!$L$24:$L$112,A78&amp;" / "&amp;B78,'2024'!$I$24:$I$112,A78)+COUNTIFS('2025'!$L$24:$L$112,A78&amp;" / "&amp;B78,'2025'!$I$24:$I$112,A78)</x:f>
        <x:v>2</x:v>
      </x:c>
      <x:c r="E78" s="2" t="n">
        <x:f>COUNTIFS('2015'!$L$24:$L$96,A78&amp;" / "&amp;B78,'2015'!$I$24:$I$96,B78)+COUNTIFS('2016'!$L$24:$L$96,A78&amp;" / "&amp;B78,'2016'!$I$24:$I$96,B78)+COUNTIFS('2017'!$L$24:$L$106,A78&amp;" / "&amp;B78,'2017'!$I$24:$I$106,B78)+COUNTIFS('2018'!$L$24:$L$106,A78&amp;" / "&amp;B78,'2018'!$I$24:$I$106,B78)+COUNTIFS('2019'!$L$24:$L$106,A78&amp;" / "&amp;B78,'2019'!$I$24:$I$106,B78)+COUNTIFS('2020'!$L$24:$L$106,A78&amp;" / "&amp;B78,'2020'!$I$24:$I$106,B78)+COUNTIFS('2021'!$L$24:$L$112,A78&amp;" / "&amp;B78,'2021'!$I$24:$I$112,B78)+COUNTIFS('2022'!$L$24:$L$112,A78&amp;" / "&amp;B78,'2022'!$I$24:$I$112,B78)+COUNTIFS('2023'!$L$24:$L$112,A78&amp;" / "&amp;B78,'2023'!$I$24:$I$112,B78)+COUNTIFS('2024'!$L$24:$L$112,A78&amp;" / "&amp;B78,'2024'!$I$24:$I$112,B78)+COUNTIFS('2025'!$L$24:$L$112,A78&amp;" / "&amp;B78,'2025'!$I$24:$I$112,B78)</x:f>
        <x:v>3</x:v>
      </x:c>
      <x:c r="F78" s="2" t="n">
        <x:f>COUNTIFS('2015'!$L$24:$L$96,A78&amp;" / "&amp;B78,'2015'!$K$24:$K$96,1)+COUNTIFS('2016'!$L$24:$L$96,A78&amp;" / "&amp;B78,'2016'!$K$24:$K$96,1)+COUNTIFS('2017'!$L$24:$L$106,A78&amp;" / "&amp;B78,'2017'!$K$24:$K$106,1)+COUNTIFS('2018'!$L$24:$L$106,A78&amp;" / "&amp;B78,'2018'!$K$24:$K$106,1)+COUNTIFS('2019'!$L$24:$L$106,A78&amp;" / "&amp;B78,'2019'!$K$24:$K$106,1)+COUNTIFS('2020'!$L$24:$L$106,A78&amp;" / "&amp;B78,'2020'!$K$24:$K$106,1)+COUNTIFS('2021'!$L$24:$L$112,A78&amp;" / "&amp;B78,'2021'!$K$24:$K$112,1)+COUNTIFS('2022'!$L$24:$L$112,A78&amp;" / "&amp;B78,'2022'!$K$24:$K$112,1)+COUNTIFS('2023'!$L$24:$L$112,A78&amp;" / "&amp;B78,'2023'!$K$24:$K$112,1)+COUNTIFS('2024'!$L$24:$L$112,A78&amp;" / "&amp;B78,'2024'!$K$24:$K$112,1)+COUNTIFS('2025'!$L$24:$L$112,A78&amp;" / "&amp;B78,'2025'!$K$24:$K$112,1)</x:f>
        <x:v>0</x:v>
      </x:c>
      <x:c r="G78" s="25" t="n">
        <x:f>SUMIFS('2015'!$E$24:$E$96,'2015'!$L$24:$L$96,A78&amp;" / "&amp;B78,'2015'!$C$24:$C$96,A78)+SUMIFS('2015'!$H$24:$H$96,'2015'!$L$24:$L$96,A78&amp;" / "&amp;B78,'2015'!$F$24:$F$96,A78)+SUMIFS('2016'!$E$24:$E$96,'2016'!$L$24:$L$96,A78&amp;" / "&amp;B78,'2016'!$C$24:$C$96,A78)+SUMIFS('2016'!$H$24:$H$96,'2016'!$L$24:$L$96,A78&amp;" / "&amp;B78,'2016'!$F$24:$F$96,A78)+SUMIFS('2017'!$E$24:$E$106,'2017'!$L$24:$L$106,A78&amp;" / "&amp;B78,'2017'!$C$24:$C$106,A78)+SUMIFS('2017'!$H$24:$H$106,'2017'!$L$24:$L$106,A78&amp;" / "&amp;B78,'2017'!$F$24:$F$106,A78)+SUMIFS('2018'!$E$24:$E$106,'2018'!$L$24:$L$106,A78&amp;" / "&amp;B78,'2018'!$C$24:$C$106,A78)+SUMIFS('2018'!$H$24:$H$106,'2018'!$L$24:$L$106,A78&amp;" / "&amp;B78,'2018'!$F$24:$F$106,A78)+SUMIFS('2019'!$E$24:$E$106,'2019'!$L$24:$L$106,A78&amp;" / "&amp;B78,'2019'!$C$24:$C$106,A78)+SUMIFS('2019'!$H$24:$H$106,'2019'!$L$24:$L$106,A78&amp;" / "&amp;B78,'2019'!$F$24:$F$106,A78)+SUMIFS('2020'!$E$24:$E$106,'2020'!$L$24:$L$106,A78&amp;" / "&amp;B78,'2020'!$C$24:$C$106,A78)+SUMIFS('2020'!$H$24:$H$106,'2020'!$L$24:$L$106,A78&amp;" / "&amp;B78,'2020'!$F$24:$F$106,A78)+SUMIFS('2021'!$E$24:$E$112,'2021'!$L$24:$L$112,A78&amp;" / "&amp;B78,'2021'!$C$24:$C$112,A78)+SUMIFS('2021'!$H$24:$H$112,'2021'!$L$24:$L$112,A78&amp;" / "&amp;B78,'2021'!$F$24:$F$112,A78)+SUMIFS('2022'!$E$24:$E$112,'2022'!$L$24:$L$112,A78&amp;" / "&amp;B78,'2022'!$C$24:$C$112,A78)+SUMIFS('2022'!$H$24:$H$112,'2022'!$L$24:$L$112,A78&amp;" / "&amp;B78,'2022'!$F$24:$F$112,A78)+SUMIFS('2023'!$E$24:$E$112,'2023'!$L$24:$L$112,A78&amp;" / "&amp;B78,'2023'!$C$24:$C$112,A78)+SUMIFS('2023'!$H$24:$H$112,'2023'!$L$24:$L$112,A78&amp;" / "&amp;B78,'2023'!$F$24:$F$112,A78)+SUMIFS('2024'!$E$24:$E$112,'2024'!$L$24:$L$112,A78&amp;" / "&amp;B78,'2024'!$C$24:$C$112,A78)+SUMIFS('2024'!$H$24:$H$112,'2024'!$L$24:$L$112,A78&amp;" / "&amp;B78,'2024'!$F$24:$F$112,A78)+SUMIFS('2025'!$E$24:$E$112,'2025'!$L$24:$L$112,A78&amp;" / "&amp;B78,'2025'!$C$24:$C$112,A78)+SUMIFS('2025'!$H$24:$H$112,'2025'!$L$24:$L$112,A78&amp;" / "&amp;B78,'2025'!$F$24:$F$112,A78)</x:f>
        <x:v>472</x:v>
      </x:c>
      <x:c r="H78" s="25" t="n">
        <x:f>SUMIFS('2015'!$E$24:$E$96,'2015'!$L$24:$L$96,A78&amp;" / "&amp;B78,'2015'!$C$24:$C$96,B78)+SUMIFS('2015'!$H$24:$H$96,'2015'!$L$24:$L$96,A78&amp;" / "&amp;B78,'2015'!$F$24:$F$96,B78)+SUMIFS('2016'!$E$24:$E$96,'2016'!$L$24:$L$96,A78&amp;" / "&amp;B78,'2016'!$C$24:$C$96,B78)+SUMIFS('2016'!$H$24:$H$96,'2016'!$L$24:$L$96,A78&amp;" / "&amp;B78,'2016'!$F$24:$F$96,B78)+SUMIFS('2017'!$E$24:$E$106,'2017'!$L$24:$L$106,A78&amp;" / "&amp;B78,'2017'!$C$24:$C$106,B78)+SUMIFS('2017'!$H$24:$H$106,'2017'!$L$24:$L$106,A78&amp;" / "&amp;B78,'2017'!$F$24:$F$106,B78)+SUMIFS('2018'!$E$24:$E$106,'2018'!$L$24:$L$106,A78&amp;" / "&amp;B78,'2018'!$C$24:$C$106,B78)+SUMIFS('2018'!$H$24:$H$106,'2018'!$L$24:$L$106,A78&amp;" / "&amp;B78,'2018'!$F$24:$F$106,B78)+SUMIFS('2019'!$E$24:$E$106,'2019'!$L$24:$L$106,A78&amp;" / "&amp;B78,'2019'!$C$24:$C$106,B78)+SUMIFS('2019'!$H$24:$H$106,'2019'!$L$24:$L$106,A78&amp;" / "&amp;B78,'2019'!$F$24:$F$106,B78)+SUMIFS('2020'!$E$24:$E$106,'2020'!$L$24:$L$106,A78&amp;" / "&amp;B78,'2020'!$C$24:$C$106,B78)+SUMIFS('2020'!$H$24:$H$106,'2020'!$L$24:$L$106,A78&amp;" / "&amp;B78,'2020'!$F$24:$F$106,B78)+SUMIFS('2021'!$E$24:$E$112,'2021'!$L$24:$L$112,A78&amp;" / "&amp;B78,'2021'!$C$24:$C$112,B78)+SUMIFS('2021'!$H$24:$H$112,'2021'!$L$24:$L$112,A78&amp;" / "&amp;B78,'2021'!$F$24:$F$112,B78)+SUMIFS('2022'!$E$24:$E$112,'2022'!$L$24:$L$112,A78&amp;" / "&amp;B78,'2022'!$C$24:$C$112,B78)+SUMIFS('2022'!$H$24:$H$112,'2022'!$L$24:$L$112,A78&amp;" / "&amp;B78,'2022'!$F$24:$F$112,B78)+SUMIFS('2023'!$E$24:$E$112,'2023'!$L$24:$L$112,A78&amp;" / "&amp;B78,'2023'!$C$24:$C$112,B78)+SUMIFS('2023'!$H$24:$H$112,'2023'!$L$24:$L$112,A78&amp;" / "&amp;B78,'2023'!$F$24:$F$112,B78)+SUMIFS('2024'!$E$24:$E$112,'2024'!$L$24:$L$112,A78&amp;" / "&amp;B78,'2024'!$C$24:$C$112,B78)+SUMIFS('2024'!$H$24:$H$112,'2024'!$L$24:$L$112,A78&amp;" / "&amp;B78,'2024'!$F$24:$F$112,B78)+SUMIFS('2025'!$E$24:$E$112,'2025'!$L$24:$L$112,A78&amp;" / "&amp;B78,'2025'!$C$24:$C$112,B78)+SUMIFS('2025'!$H$24:$H$112,'2025'!$L$24:$L$112,A78&amp;" / "&amp;B78,'2025'!$F$24:$F$112,B78)</x:f>
        <x:v>521</x:v>
      </x:c>
      <x:c r="I78" s="11" t="n">
        <x:f>IF(C78=0,0,(D78+0.5*F78)/C78)</x:f>
        <x:v>0.4</x:v>
      </x:c>
      <x:c r="J78" s="2" t="n">
        <x:f>COUNTIFS('2015'!$L$24:$L$96,A78&amp;" / "&amp;B78,'2015'!$B$24:$B$96,"Regular")+COUNTIFS('2016'!$L$24:$L$96,A78&amp;" / "&amp;B78,'2016'!$B$24:$B$96,"Regular")+COUNTIFS('2017'!$L$24:$L$106,A78&amp;" / "&amp;B78,'2017'!$B$24:$B$106,"Regular")+COUNTIFS('2018'!$L$24:$L$106,A78&amp;" / "&amp;B78,'2018'!$B$24:$B$106,"Regular")+COUNTIFS('2019'!$L$24:$L$106,A78&amp;" / "&amp;B78,'2019'!$B$24:$B$106,"Regular")+COUNTIFS('2020'!$L$24:$L$106,A78&amp;" / "&amp;B78,'2020'!$B$24:$B$106,"Regular")+COUNTIFS('2021'!$L$24:$L$112,A78&amp;" / "&amp;B78,'2021'!$B$24:$B$112,"Regular")+COUNTIFS('2022'!$L$24:$L$112,A78&amp;" / "&amp;B78,'2022'!$B$24:$B$112,"Regular")+COUNTIFS('2023'!$L$24:$L$112,A78&amp;" / "&amp;B78,'2023'!$B$24:$B$112,"Regular")+COUNTIFS('2024'!$L$24:$L$112,A78&amp;" / "&amp;B78,'2024'!$B$24:$B$112,"Regular")+COUNTIFS('2025'!$L$24:$L$112,A78&amp;" / "&amp;B78,'2025'!$B$24:$B$112,"Regular")</x:f>
        <x:v>4</x:v>
      </x:c>
      <x:c r="K78" s="2" t="n">
        <x:f>COUNTIFS('2015'!$L$24:$L$96,A78&amp;" / "&amp;B78,'2015'!$B$24:$B$96,"Playoffs")+COUNTIFS('2016'!$L$24:$L$96,A78&amp;" / "&amp;B78,'2016'!$B$24:$B$96,"Playoffs")+COUNTIFS('2017'!$L$24:$L$106,A78&amp;" / "&amp;B78,'2017'!$B$24:$B$106,"Playoffs")+COUNTIFS('2018'!$L$24:$L$106,A78&amp;" / "&amp;B78,'2018'!$B$24:$B$106,"Playoffs")+COUNTIFS('2019'!$L$24:$L$106,A78&amp;" / "&amp;B78,'2019'!$B$24:$B$106,"Playoffs")+COUNTIFS('2020'!$L$24:$L$106,A78&amp;" / "&amp;B78,'2020'!$B$24:$B$106,"Playoffs")+COUNTIFS('2021'!$L$24:$L$112,A78&amp;" / "&amp;B78,'2021'!$B$24:$B$112,"Playoffs")+COUNTIFS('2022'!$L$24:$L$112,A78&amp;" / "&amp;B78,'2022'!$B$24:$B$112,"Playoffs")+COUNTIFS('2023'!$L$24:$L$112,A78&amp;" / "&amp;B78,'2023'!$B$24:$B$112,"Playoffs")+COUNTIFS('2024'!$L$24:$L$112,A78&amp;" / "&amp;B78,'2024'!$B$24:$B$112,"Playoffs")+COUNTIFS('2025'!$L$24:$L$112,A78&amp;" / "&amp;B78,'2025'!$B$24:$B$112,"Playoffs")</x:f>
        <x:v>1</x:v>
      </x:c>
      <x:c r="L78" s="2" t="n">
        <x:f>COUNTIFS('2015'!$L$24:$L$96,A78&amp;" / "&amp;B78,'2015'!$B$24:$B$96,"Unconfirmed")+COUNTIFS('2016'!$L$24:$L$96,A78&amp;" / "&amp;B78,'2016'!$B$24:$B$96,"Unconfirmed")+COUNTIFS('2017'!$L$24:$L$106,A78&amp;" / "&amp;B78,'2017'!$B$24:$B$106,"Unconfirmed")+COUNTIFS('2018'!$L$24:$L$106,A78&amp;" / "&amp;B78,'2018'!$B$24:$B$106,"Unconfirmed")+COUNTIFS('2019'!$L$24:$L$106,A78&amp;" / "&amp;B78,'2019'!$B$24:$B$106,"Unconfirmed")+COUNTIFS('2020'!$L$24:$L$106,A78&amp;" / "&amp;B78,'2020'!$B$24:$B$106,"Unconfirmed")+COUNTIFS('2021'!$L$24:$L$112,A78&amp;" / "&amp;B78,'2021'!$B$24:$B$112,"Unconfirmed")+COUNTIFS('2022'!$L$24:$L$112,A78&amp;" / "&amp;B78,'2022'!$B$24:$B$112,"Unconfirmed")+COUNTIFS('2023'!$L$24:$L$112,A78&amp;" / "&amp;B78,'2023'!$B$24:$B$112,"Unconfirmed")+COUNTIFS('2024'!$L$24:$L$112,A78&amp;" / "&amp;B78,'2024'!$B$24:$B$112,"Unconfirmed")+COUNTIFS('2025'!$L$24:$L$112,A78&amp;" / "&amp;B78,'2025'!$B$24:$B$112,"Unconfirmed")</x:f>
        <x:v>0</x:v>
      </x:c>
    </x:row>
    <x:row r="79" ht="22" customHeight="1">
      <x:c r="A79" s="2" t="str">
        <x:v>Craig</x:v>
      </x:c>
      <x:c r="B79" s="2" t="str">
        <x:v>Troy</x:v>
      </x:c>
      <x:c r="C79" s="2" t="n">
        <x:f>COUNTIFS('2015'!$L$24:$L$96,A79&amp;" / "&amp;B79)+COUNTIFS('2016'!$L$24:$L$96,A79&amp;" / "&amp;B79)+COUNTIFS('2017'!$L$24:$L$106,A79&amp;" / "&amp;B79)+COUNTIFS('2018'!$L$24:$L$106,A79&amp;" / "&amp;B79)+COUNTIFS('2019'!$L$24:$L$106,A79&amp;" / "&amp;B79)+COUNTIFS('2020'!$L$24:$L$106,A79&amp;" / "&amp;B79)+COUNTIFS('2021'!$L$24:$L$112,A79&amp;" / "&amp;B79)+COUNTIFS('2022'!$L$24:$L$112,A79&amp;" / "&amp;B79)+COUNTIFS('2023'!$L$24:$L$112,A79&amp;" / "&amp;B79)+COUNTIFS('2024'!$L$24:$L$112,A79&amp;" / "&amp;B79)+COUNTIFS('2025'!$L$24:$L$112,A79&amp;" / "&amp;B79)</x:f>
        <x:v>2</x:v>
      </x:c>
      <x:c r="D79" s="2" t="n">
        <x:f>COUNTIFS('2015'!$L$24:$L$96,A79&amp;" / "&amp;B79,'2015'!$I$24:$I$96,A79)+COUNTIFS('2016'!$L$24:$L$96,A79&amp;" / "&amp;B79,'2016'!$I$24:$I$96,A79)+COUNTIFS('2017'!$L$24:$L$106,A79&amp;" / "&amp;B79,'2017'!$I$24:$I$106,A79)+COUNTIFS('2018'!$L$24:$L$106,A79&amp;" / "&amp;B79,'2018'!$I$24:$I$106,A79)+COUNTIFS('2019'!$L$24:$L$106,A79&amp;" / "&amp;B79,'2019'!$I$24:$I$106,A79)+COUNTIFS('2020'!$L$24:$L$106,A79&amp;" / "&amp;B79,'2020'!$I$24:$I$106,A79)+COUNTIFS('2021'!$L$24:$L$112,A79&amp;" / "&amp;B79,'2021'!$I$24:$I$112,A79)+COUNTIFS('2022'!$L$24:$L$112,A79&amp;" / "&amp;B79,'2022'!$I$24:$I$112,A79)+COUNTIFS('2023'!$L$24:$L$112,A79&amp;" / "&amp;B79,'2023'!$I$24:$I$112,A79)+COUNTIFS('2024'!$L$24:$L$112,A79&amp;" / "&amp;B79,'2024'!$I$24:$I$112,A79)+COUNTIFS('2025'!$L$24:$L$112,A79&amp;" / "&amp;B79,'2025'!$I$24:$I$112,A79)</x:f>
        <x:v>2</x:v>
      </x:c>
      <x:c r="E79" s="2" t="n">
        <x:f>COUNTIFS('2015'!$L$24:$L$96,A79&amp;" / "&amp;B79,'2015'!$I$24:$I$96,B79)+COUNTIFS('2016'!$L$24:$L$96,A79&amp;" / "&amp;B79,'2016'!$I$24:$I$96,B79)+COUNTIFS('2017'!$L$24:$L$106,A79&amp;" / "&amp;B79,'2017'!$I$24:$I$106,B79)+COUNTIFS('2018'!$L$24:$L$106,A79&amp;" / "&amp;B79,'2018'!$I$24:$I$106,B79)+COUNTIFS('2019'!$L$24:$L$106,A79&amp;" / "&amp;B79,'2019'!$I$24:$I$106,B79)+COUNTIFS('2020'!$L$24:$L$106,A79&amp;" / "&amp;B79,'2020'!$I$24:$I$106,B79)+COUNTIFS('2021'!$L$24:$L$112,A79&amp;" / "&amp;B79,'2021'!$I$24:$I$112,B79)+COUNTIFS('2022'!$L$24:$L$112,A79&amp;" / "&amp;B79,'2022'!$I$24:$I$112,B79)+COUNTIFS('2023'!$L$24:$L$112,A79&amp;" / "&amp;B79,'2023'!$I$24:$I$112,B79)+COUNTIFS('2024'!$L$24:$L$112,A79&amp;" / "&amp;B79,'2024'!$I$24:$I$112,B79)+COUNTIFS('2025'!$L$24:$L$112,A79&amp;" / "&amp;B79,'2025'!$I$24:$I$112,B79)</x:f>
        <x:v>0</x:v>
      </x:c>
      <x:c r="F79" s="2" t="n">
        <x:f>COUNTIFS('2015'!$L$24:$L$96,A79&amp;" / "&amp;B79,'2015'!$K$24:$K$96,1)+COUNTIFS('2016'!$L$24:$L$96,A79&amp;" / "&amp;B79,'2016'!$K$24:$K$96,1)+COUNTIFS('2017'!$L$24:$L$106,A79&amp;" / "&amp;B79,'2017'!$K$24:$K$106,1)+COUNTIFS('2018'!$L$24:$L$106,A79&amp;" / "&amp;B79,'2018'!$K$24:$K$106,1)+COUNTIFS('2019'!$L$24:$L$106,A79&amp;" / "&amp;B79,'2019'!$K$24:$K$106,1)+COUNTIFS('2020'!$L$24:$L$106,A79&amp;" / "&amp;B79,'2020'!$K$24:$K$106,1)+COUNTIFS('2021'!$L$24:$L$112,A79&amp;" / "&amp;B79,'2021'!$K$24:$K$112,1)+COUNTIFS('2022'!$L$24:$L$112,A79&amp;" / "&amp;B79,'2022'!$K$24:$K$112,1)+COUNTIFS('2023'!$L$24:$L$112,A79&amp;" / "&amp;B79,'2023'!$K$24:$K$112,1)+COUNTIFS('2024'!$L$24:$L$112,A79&amp;" / "&amp;B79,'2024'!$K$24:$K$112,1)+COUNTIFS('2025'!$L$24:$L$112,A79&amp;" / "&amp;B79,'2025'!$K$24:$K$112,1)</x:f>
        <x:v>0</x:v>
      </x:c>
      <x:c r="G79" s="25" t="n">
        <x:f>SUMIFS('2015'!$E$24:$E$96,'2015'!$L$24:$L$96,A79&amp;" / "&amp;B79,'2015'!$C$24:$C$96,A79)+SUMIFS('2015'!$H$24:$H$96,'2015'!$L$24:$L$96,A79&amp;" / "&amp;B79,'2015'!$F$24:$F$96,A79)+SUMIFS('2016'!$E$24:$E$96,'2016'!$L$24:$L$96,A79&amp;" / "&amp;B79,'2016'!$C$24:$C$96,A79)+SUMIFS('2016'!$H$24:$H$96,'2016'!$L$24:$L$96,A79&amp;" / "&amp;B79,'2016'!$F$24:$F$96,A79)+SUMIFS('2017'!$E$24:$E$106,'2017'!$L$24:$L$106,A79&amp;" / "&amp;B79,'2017'!$C$24:$C$106,A79)+SUMIFS('2017'!$H$24:$H$106,'2017'!$L$24:$L$106,A79&amp;" / "&amp;B79,'2017'!$F$24:$F$106,A79)+SUMIFS('2018'!$E$24:$E$106,'2018'!$L$24:$L$106,A79&amp;" / "&amp;B79,'2018'!$C$24:$C$106,A79)+SUMIFS('2018'!$H$24:$H$106,'2018'!$L$24:$L$106,A79&amp;" / "&amp;B79,'2018'!$F$24:$F$106,A79)+SUMIFS('2019'!$E$24:$E$106,'2019'!$L$24:$L$106,A79&amp;" / "&amp;B79,'2019'!$C$24:$C$106,A79)+SUMIFS('2019'!$H$24:$H$106,'2019'!$L$24:$L$106,A79&amp;" / "&amp;B79,'2019'!$F$24:$F$106,A79)+SUMIFS('2020'!$E$24:$E$106,'2020'!$L$24:$L$106,A79&amp;" / "&amp;B79,'2020'!$C$24:$C$106,A79)+SUMIFS('2020'!$H$24:$H$106,'2020'!$L$24:$L$106,A79&amp;" / "&amp;B79,'2020'!$F$24:$F$106,A79)+SUMIFS('2021'!$E$24:$E$112,'2021'!$L$24:$L$112,A79&amp;" / "&amp;B79,'2021'!$C$24:$C$112,A79)+SUMIFS('2021'!$H$24:$H$112,'2021'!$L$24:$L$112,A79&amp;" / "&amp;B79,'2021'!$F$24:$F$112,A79)+SUMIFS('2022'!$E$24:$E$112,'2022'!$L$24:$L$112,A79&amp;" / "&amp;B79,'2022'!$C$24:$C$112,A79)+SUMIFS('2022'!$H$24:$H$112,'2022'!$L$24:$L$112,A79&amp;" / "&amp;B79,'2022'!$F$24:$F$112,A79)+SUMIFS('2023'!$E$24:$E$112,'2023'!$L$24:$L$112,A79&amp;" / "&amp;B79,'2023'!$C$24:$C$112,A79)+SUMIFS('2023'!$H$24:$H$112,'2023'!$L$24:$L$112,A79&amp;" / "&amp;B79,'2023'!$F$24:$F$112,A79)+SUMIFS('2024'!$E$24:$E$112,'2024'!$L$24:$L$112,A79&amp;" / "&amp;B79,'2024'!$C$24:$C$112,A79)+SUMIFS('2024'!$H$24:$H$112,'2024'!$L$24:$L$112,A79&amp;" / "&amp;B79,'2024'!$F$24:$F$112,A79)+SUMIFS('2025'!$E$24:$E$112,'2025'!$L$24:$L$112,A79&amp;" / "&amp;B79,'2025'!$C$24:$C$112,A79)+SUMIFS('2025'!$H$24:$H$112,'2025'!$L$24:$L$112,A79&amp;" / "&amp;B79,'2025'!$F$24:$F$112,A79)</x:f>
        <x:v>264</x:v>
      </x:c>
      <x:c r="H79" s="25" t="n">
        <x:f>SUMIFS('2015'!$E$24:$E$96,'2015'!$L$24:$L$96,A79&amp;" / "&amp;B79,'2015'!$C$24:$C$96,B79)+SUMIFS('2015'!$H$24:$H$96,'2015'!$L$24:$L$96,A79&amp;" / "&amp;B79,'2015'!$F$24:$F$96,B79)+SUMIFS('2016'!$E$24:$E$96,'2016'!$L$24:$L$96,A79&amp;" / "&amp;B79,'2016'!$C$24:$C$96,B79)+SUMIFS('2016'!$H$24:$H$96,'2016'!$L$24:$L$96,A79&amp;" / "&amp;B79,'2016'!$F$24:$F$96,B79)+SUMIFS('2017'!$E$24:$E$106,'2017'!$L$24:$L$106,A79&amp;" / "&amp;B79,'2017'!$C$24:$C$106,B79)+SUMIFS('2017'!$H$24:$H$106,'2017'!$L$24:$L$106,A79&amp;" / "&amp;B79,'2017'!$F$24:$F$106,B79)+SUMIFS('2018'!$E$24:$E$106,'2018'!$L$24:$L$106,A79&amp;" / "&amp;B79,'2018'!$C$24:$C$106,B79)+SUMIFS('2018'!$H$24:$H$106,'2018'!$L$24:$L$106,A79&amp;" / "&amp;B79,'2018'!$F$24:$F$106,B79)+SUMIFS('2019'!$E$24:$E$106,'2019'!$L$24:$L$106,A79&amp;" / "&amp;B79,'2019'!$C$24:$C$106,B79)+SUMIFS('2019'!$H$24:$H$106,'2019'!$L$24:$L$106,A79&amp;" / "&amp;B79,'2019'!$F$24:$F$106,B79)+SUMIFS('2020'!$E$24:$E$106,'2020'!$L$24:$L$106,A79&amp;" / "&amp;B79,'2020'!$C$24:$C$106,B79)+SUMIFS('2020'!$H$24:$H$106,'2020'!$L$24:$L$106,A79&amp;" / "&amp;B79,'2020'!$F$24:$F$106,B79)+SUMIFS('2021'!$E$24:$E$112,'2021'!$L$24:$L$112,A79&amp;" / "&amp;B79,'2021'!$C$24:$C$112,B79)+SUMIFS('2021'!$H$24:$H$112,'2021'!$L$24:$L$112,A79&amp;" / "&amp;B79,'2021'!$F$24:$F$112,B79)+SUMIFS('2022'!$E$24:$E$112,'2022'!$L$24:$L$112,A79&amp;" / "&amp;B79,'2022'!$C$24:$C$112,B79)+SUMIFS('2022'!$H$24:$H$112,'2022'!$L$24:$L$112,A79&amp;" / "&amp;B79,'2022'!$F$24:$F$112,B79)+SUMIFS('2023'!$E$24:$E$112,'2023'!$L$24:$L$112,A79&amp;" / "&amp;B79,'2023'!$C$24:$C$112,B79)+SUMIFS('2023'!$H$24:$H$112,'2023'!$L$24:$L$112,A79&amp;" / "&amp;B79,'2023'!$F$24:$F$112,B79)+SUMIFS('2024'!$E$24:$E$112,'2024'!$L$24:$L$112,A79&amp;" / "&amp;B79,'2024'!$C$24:$C$112,B79)+SUMIFS('2024'!$H$24:$H$112,'2024'!$L$24:$L$112,A79&amp;" / "&amp;B79,'2024'!$F$24:$F$112,B79)+SUMIFS('2025'!$E$24:$E$112,'2025'!$L$24:$L$112,A79&amp;" / "&amp;B79,'2025'!$C$24:$C$112,B79)+SUMIFS('2025'!$H$24:$H$112,'2025'!$L$24:$L$112,A79&amp;" / "&amp;B79,'2025'!$F$24:$F$112,B79)</x:f>
        <x:v>202</x:v>
      </x:c>
      <x:c r="I79" s="11" t="n">
        <x:f>IF(C79=0,0,(D79+0.5*F79)/C79)</x:f>
        <x:v>1</x:v>
      </x:c>
      <x:c r="J79" s="2" t="n">
        <x:f>COUNTIFS('2015'!$L$24:$L$96,A79&amp;" / "&amp;B79,'2015'!$B$24:$B$96,"Regular")+COUNTIFS('2016'!$L$24:$L$96,A79&amp;" / "&amp;B79,'2016'!$B$24:$B$96,"Regular")+COUNTIFS('2017'!$L$24:$L$106,A79&amp;" / "&amp;B79,'2017'!$B$24:$B$106,"Regular")+COUNTIFS('2018'!$L$24:$L$106,A79&amp;" / "&amp;B79,'2018'!$B$24:$B$106,"Regular")+COUNTIFS('2019'!$L$24:$L$106,A79&amp;" / "&amp;B79,'2019'!$B$24:$B$106,"Regular")+COUNTIFS('2020'!$L$24:$L$106,A79&amp;" / "&amp;B79,'2020'!$B$24:$B$106,"Regular")+COUNTIFS('2021'!$L$24:$L$112,A79&amp;" / "&amp;B79,'2021'!$B$24:$B$112,"Regular")+COUNTIFS('2022'!$L$24:$L$112,A79&amp;" / "&amp;B79,'2022'!$B$24:$B$112,"Regular")+COUNTIFS('2023'!$L$24:$L$112,A79&amp;" / "&amp;B79,'2023'!$B$24:$B$112,"Regular")+COUNTIFS('2024'!$L$24:$L$112,A79&amp;" / "&amp;B79,'2024'!$B$24:$B$112,"Regular")+COUNTIFS('2025'!$L$24:$L$112,A79&amp;" / "&amp;B79,'2025'!$B$24:$B$112,"Regular")</x:f>
        <x:v>2</x:v>
      </x:c>
      <x:c r="K79" s="2" t="n">
        <x:f>COUNTIFS('2015'!$L$24:$L$96,A79&amp;" / "&amp;B79,'2015'!$B$24:$B$96,"Playoffs")+COUNTIFS('2016'!$L$24:$L$96,A79&amp;" / "&amp;B79,'2016'!$B$24:$B$96,"Playoffs")+COUNTIFS('2017'!$L$24:$L$106,A79&amp;" / "&amp;B79,'2017'!$B$24:$B$106,"Playoffs")+COUNTIFS('2018'!$L$24:$L$106,A79&amp;" / "&amp;B79,'2018'!$B$24:$B$106,"Playoffs")+COUNTIFS('2019'!$L$24:$L$106,A79&amp;" / "&amp;B79,'2019'!$B$24:$B$106,"Playoffs")+COUNTIFS('2020'!$L$24:$L$106,A79&amp;" / "&amp;B79,'2020'!$B$24:$B$106,"Playoffs")+COUNTIFS('2021'!$L$24:$L$112,A79&amp;" / "&amp;B79,'2021'!$B$24:$B$112,"Playoffs")+COUNTIFS('2022'!$L$24:$L$112,A79&amp;" / "&amp;B79,'2022'!$B$24:$B$112,"Playoffs")+COUNTIFS('2023'!$L$24:$L$112,A79&amp;" / "&amp;B79,'2023'!$B$24:$B$112,"Playoffs")+COUNTIFS('2024'!$L$24:$L$112,A79&amp;" / "&amp;B79,'2024'!$B$24:$B$112,"Playoffs")+COUNTIFS('2025'!$L$24:$L$112,A79&amp;" / "&amp;B79,'2025'!$B$24:$B$112,"Playoffs")</x:f>
        <x:v>0</x:v>
      </x:c>
      <x:c r="L79" s="2" t="n">
        <x:f>COUNTIFS('2015'!$L$24:$L$96,A79&amp;" / "&amp;B79,'2015'!$B$24:$B$96,"Unconfirmed")+COUNTIFS('2016'!$L$24:$L$96,A79&amp;" / "&amp;B79,'2016'!$B$24:$B$96,"Unconfirmed")+COUNTIFS('2017'!$L$24:$L$106,A79&amp;" / "&amp;B79,'2017'!$B$24:$B$106,"Unconfirmed")+COUNTIFS('2018'!$L$24:$L$106,A79&amp;" / "&amp;B79,'2018'!$B$24:$B$106,"Unconfirmed")+COUNTIFS('2019'!$L$24:$L$106,A79&amp;" / "&amp;B79,'2019'!$B$24:$B$106,"Unconfirmed")+COUNTIFS('2020'!$L$24:$L$106,A79&amp;" / "&amp;B79,'2020'!$B$24:$B$106,"Unconfirmed")+COUNTIFS('2021'!$L$24:$L$112,A79&amp;" / "&amp;B79,'2021'!$B$24:$B$112,"Unconfirmed")+COUNTIFS('2022'!$L$24:$L$112,A79&amp;" / "&amp;B79,'2022'!$B$24:$B$112,"Unconfirmed")+COUNTIFS('2023'!$L$24:$L$112,A79&amp;" / "&amp;B79,'2023'!$B$24:$B$112,"Unconfirmed")+COUNTIFS('2024'!$L$24:$L$112,A79&amp;" / "&amp;B79,'2024'!$B$24:$B$112,"Unconfirmed")+COUNTIFS('2025'!$L$24:$L$112,A79&amp;" / "&amp;B79,'2025'!$B$24:$B$112,"Unconfirmed")</x:f>
        <x:v>0</x:v>
      </x:c>
    </x:row>
    <x:row r="80" ht="22" customHeight="1">
      <x:c r="A80" s="2" t="str">
        <x:v>Dave</x:v>
      </x:c>
      <x:c r="B80" s="2" t="str">
        <x:v>Ed</x:v>
      </x:c>
      <x:c r="C80" s="2" t="n">
        <x:f>COUNTIFS('2015'!$L$24:$L$96,A80&amp;" / "&amp;B80)+COUNTIFS('2016'!$L$24:$L$96,A80&amp;" / "&amp;B80)+COUNTIFS('2017'!$L$24:$L$106,A80&amp;" / "&amp;B80)+COUNTIFS('2018'!$L$24:$L$106,A80&amp;" / "&amp;B80)+COUNTIFS('2019'!$L$24:$L$106,A80&amp;" / "&amp;B80)+COUNTIFS('2020'!$L$24:$L$106,A80&amp;" / "&amp;B80)+COUNTIFS('2021'!$L$24:$L$112,A80&amp;" / "&amp;B80)+COUNTIFS('2022'!$L$24:$L$112,A80&amp;" / "&amp;B80)+COUNTIFS('2023'!$L$24:$L$112,A80&amp;" / "&amp;B80)+COUNTIFS('2024'!$L$24:$L$112,A80&amp;" / "&amp;B80)+COUNTIFS('2025'!$L$24:$L$112,A80&amp;" / "&amp;B80)</x:f>
        <x:v>9</x:v>
      </x:c>
      <x:c r="D80" s="2" t="n">
        <x:f>COUNTIFS('2015'!$L$24:$L$96,A80&amp;" / "&amp;B80,'2015'!$I$24:$I$96,A80)+COUNTIFS('2016'!$L$24:$L$96,A80&amp;" / "&amp;B80,'2016'!$I$24:$I$96,A80)+COUNTIFS('2017'!$L$24:$L$106,A80&amp;" / "&amp;B80,'2017'!$I$24:$I$106,A80)+COUNTIFS('2018'!$L$24:$L$106,A80&amp;" / "&amp;B80,'2018'!$I$24:$I$106,A80)+COUNTIFS('2019'!$L$24:$L$106,A80&amp;" / "&amp;B80,'2019'!$I$24:$I$106,A80)+COUNTIFS('2020'!$L$24:$L$106,A80&amp;" / "&amp;B80,'2020'!$I$24:$I$106,A80)+COUNTIFS('2021'!$L$24:$L$112,A80&amp;" / "&amp;B80,'2021'!$I$24:$I$112,A80)+COUNTIFS('2022'!$L$24:$L$112,A80&amp;" / "&amp;B80,'2022'!$I$24:$I$112,A80)+COUNTIFS('2023'!$L$24:$L$112,A80&amp;" / "&amp;B80,'2023'!$I$24:$I$112,A80)+COUNTIFS('2024'!$L$24:$L$112,A80&amp;" / "&amp;B80,'2024'!$I$24:$I$112,A80)+COUNTIFS('2025'!$L$24:$L$112,A80&amp;" / "&amp;B80,'2025'!$I$24:$I$112,A80)</x:f>
        <x:v>6</x:v>
      </x:c>
      <x:c r="E80" s="2" t="n">
        <x:f>COUNTIFS('2015'!$L$24:$L$96,A80&amp;" / "&amp;B80,'2015'!$I$24:$I$96,B80)+COUNTIFS('2016'!$L$24:$L$96,A80&amp;" / "&amp;B80,'2016'!$I$24:$I$96,B80)+COUNTIFS('2017'!$L$24:$L$106,A80&amp;" / "&amp;B80,'2017'!$I$24:$I$106,B80)+COUNTIFS('2018'!$L$24:$L$106,A80&amp;" / "&amp;B80,'2018'!$I$24:$I$106,B80)+COUNTIFS('2019'!$L$24:$L$106,A80&amp;" / "&amp;B80,'2019'!$I$24:$I$106,B80)+COUNTIFS('2020'!$L$24:$L$106,A80&amp;" / "&amp;B80,'2020'!$I$24:$I$106,B80)+COUNTIFS('2021'!$L$24:$L$112,A80&amp;" / "&amp;B80,'2021'!$I$24:$I$112,B80)+COUNTIFS('2022'!$L$24:$L$112,A80&amp;" / "&amp;B80,'2022'!$I$24:$I$112,B80)+COUNTIFS('2023'!$L$24:$L$112,A80&amp;" / "&amp;B80,'2023'!$I$24:$I$112,B80)+COUNTIFS('2024'!$L$24:$L$112,A80&amp;" / "&amp;B80,'2024'!$I$24:$I$112,B80)+COUNTIFS('2025'!$L$24:$L$112,A80&amp;" / "&amp;B80,'2025'!$I$24:$I$112,B80)</x:f>
        <x:v>3</x:v>
      </x:c>
      <x:c r="F80" s="2" t="n">
        <x:f>COUNTIFS('2015'!$L$24:$L$96,A80&amp;" / "&amp;B80,'2015'!$K$24:$K$96,1)+COUNTIFS('2016'!$L$24:$L$96,A80&amp;" / "&amp;B80,'2016'!$K$24:$K$96,1)+COUNTIFS('2017'!$L$24:$L$106,A80&amp;" / "&amp;B80,'2017'!$K$24:$K$106,1)+COUNTIFS('2018'!$L$24:$L$106,A80&amp;" / "&amp;B80,'2018'!$K$24:$K$106,1)+COUNTIFS('2019'!$L$24:$L$106,A80&amp;" / "&amp;B80,'2019'!$K$24:$K$106,1)+COUNTIFS('2020'!$L$24:$L$106,A80&amp;" / "&amp;B80,'2020'!$K$24:$K$106,1)+COUNTIFS('2021'!$L$24:$L$112,A80&amp;" / "&amp;B80,'2021'!$K$24:$K$112,1)+COUNTIFS('2022'!$L$24:$L$112,A80&amp;" / "&amp;B80,'2022'!$K$24:$K$112,1)+COUNTIFS('2023'!$L$24:$L$112,A80&amp;" / "&amp;B80,'2023'!$K$24:$K$112,1)+COUNTIFS('2024'!$L$24:$L$112,A80&amp;" / "&amp;B80,'2024'!$K$24:$K$112,1)+COUNTIFS('2025'!$L$24:$L$112,A80&amp;" / "&amp;B80,'2025'!$K$24:$K$112,1)</x:f>
        <x:v>0</x:v>
      </x:c>
      <x:c r="G80" s="25" t="n">
        <x:f>SUMIFS('2015'!$E$24:$E$96,'2015'!$L$24:$L$96,A80&amp;" / "&amp;B80,'2015'!$C$24:$C$96,A80)+SUMIFS('2015'!$H$24:$H$96,'2015'!$L$24:$L$96,A80&amp;" / "&amp;B80,'2015'!$F$24:$F$96,A80)+SUMIFS('2016'!$E$24:$E$96,'2016'!$L$24:$L$96,A80&amp;" / "&amp;B80,'2016'!$C$24:$C$96,A80)+SUMIFS('2016'!$H$24:$H$96,'2016'!$L$24:$L$96,A80&amp;" / "&amp;B80,'2016'!$F$24:$F$96,A80)+SUMIFS('2017'!$E$24:$E$106,'2017'!$L$24:$L$106,A80&amp;" / "&amp;B80,'2017'!$C$24:$C$106,A80)+SUMIFS('2017'!$H$24:$H$106,'2017'!$L$24:$L$106,A80&amp;" / "&amp;B80,'2017'!$F$24:$F$106,A80)+SUMIFS('2018'!$E$24:$E$106,'2018'!$L$24:$L$106,A80&amp;" / "&amp;B80,'2018'!$C$24:$C$106,A80)+SUMIFS('2018'!$H$24:$H$106,'2018'!$L$24:$L$106,A80&amp;" / "&amp;B80,'2018'!$F$24:$F$106,A80)+SUMIFS('2019'!$E$24:$E$106,'2019'!$L$24:$L$106,A80&amp;" / "&amp;B80,'2019'!$C$24:$C$106,A80)+SUMIFS('2019'!$H$24:$H$106,'2019'!$L$24:$L$106,A80&amp;" / "&amp;B80,'2019'!$F$24:$F$106,A80)+SUMIFS('2020'!$E$24:$E$106,'2020'!$L$24:$L$106,A80&amp;" / "&amp;B80,'2020'!$C$24:$C$106,A80)+SUMIFS('2020'!$H$24:$H$106,'2020'!$L$24:$L$106,A80&amp;" / "&amp;B80,'2020'!$F$24:$F$106,A80)+SUMIFS('2021'!$E$24:$E$112,'2021'!$L$24:$L$112,A80&amp;" / "&amp;B80,'2021'!$C$24:$C$112,A80)+SUMIFS('2021'!$H$24:$H$112,'2021'!$L$24:$L$112,A80&amp;" / "&amp;B80,'2021'!$F$24:$F$112,A80)+SUMIFS('2022'!$E$24:$E$112,'2022'!$L$24:$L$112,A80&amp;" / "&amp;B80,'2022'!$C$24:$C$112,A80)+SUMIFS('2022'!$H$24:$H$112,'2022'!$L$24:$L$112,A80&amp;" / "&amp;B80,'2022'!$F$24:$F$112,A80)+SUMIFS('2023'!$E$24:$E$112,'2023'!$L$24:$L$112,A80&amp;" / "&amp;B80,'2023'!$C$24:$C$112,A80)+SUMIFS('2023'!$H$24:$H$112,'2023'!$L$24:$L$112,A80&amp;" / "&amp;B80,'2023'!$F$24:$F$112,A80)+SUMIFS('2024'!$E$24:$E$112,'2024'!$L$24:$L$112,A80&amp;" / "&amp;B80,'2024'!$C$24:$C$112,A80)+SUMIFS('2024'!$H$24:$H$112,'2024'!$L$24:$L$112,A80&amp;" / "&amp;B80,'2024'!$F$24:$F$112,A80)+SUMIFS('2025'!$E$24:$E$112,'2025'!$L$24:$L$112,A80&amp;" / "&amp;B80,'2025'!$C$24:$C$112,A80)+SUMIFS('2025'!$H$24:$H$112,'2025'!$L$24:$L$112,A80&amp;" / "&amp;B80,'2025'!$F$24:$F$112,A80)</x:f>
        <x:v>1088.8999999999999</x:v>
      </x:c>
      <x:c r="H80" s="25" t="n">
        <x:f>SUMIFS('2015'!$E$24:$E$96,'2015'!$L$24:$L$96,A80&amp;" / "&amp;B80,'2015'!$C$24:$C$96,B80)+SUMIFS('2015'!$H$24:$H$96,'2015'!$L$24:$L$96,A80&amp;" / "&amp;B80,'2015'!$F$24:$F$96,B80)+SUMIFS('2016'!$E$24:$E$96,'2016'!$L$24:$L$96,A80&amp;" / "&amp;B80,'2016'!$C$24:$C$96,B80)+SUMIFS('2016'!$H$24:$H$96,'2016'!$L$24:$L$96,A80&amp;" / "&amp;B80,'2016'!$F$24:$F$96,B80)+SUMIFS('2017'!$E$24:$E$106,'2017'!$L$24:$L$106,A80&amp;" / "&amp;B80,'2017'!$C$24:$C$106,B80)+SUMIFS('2017'!$H$24:$H$106,'2017'!$L$24:$L$106,A80&amp;" / "&amp;B80,'2017'!$F$24:$F$106,B80)+SUMIFS('2018'!$E$24:$E$106,'2018'!$L$24:$L$106,A80&amp;" / "&amp;B80,'2018'!$C$24:$C$106,B80)+SUMIFS('2018'!$H$24:$H$106,'2018'!$L$24:$L$106,A80&amp;" / "&amp;B80,'2018'!$F$24:$F$106,B80)+SUMIFS('2019'!$E$24:$E$106,'2019'!$L$24:$L$106,A80&amp;" / "&amp;B80,'2019'!$C$24:$C$106,B80)+SUMIFS('2019'!$H$24:$H$106,'2019'!$L$24:$L$106,A80&amp;" / "&amp;B80,'2019'!$F$24:$F$106,B80)+SUMIFS('2020'!$E$24:$E$106,'2020'!$L$24:$L$106,A80&amp;" / "&amp;B80,'2020'!$C$24:$C$106,B80)+SUMIFS('2020'!$H$24:$H$106,'2020'!$L$24:$L$106,A80&amp;" / "&amp;B80,'2020'!$F$24:$F$106,B80)+SUMIFS('2021'!$E$24:$E$112,'2021'!$L$24:$L$112,A80&amp;" / "&amp;B80,'2021'!$C$24:$C$112,B80)+SUMIFS('2021'!$H$24:$H$112,'2021'!$L$24:$L$112,A80&amp;" / "&amp;B80,'2021'!$F$24:$F$112,B80)+SUMIFS('2022'!$E$24:$E$112,'2022'!$L$24:$L$112,A80&amp;" / "&amp;B80,'2022'!$C$24:$C$112,B80)+SUMIFS('2022'!$H$24:$H$112,'2022'!$L$24:$L$112,A80&amp;" / "&amp;B80,'2022'!$F$24:$F$112,B80)+SUMIFS('2023'!$E$24:$E$112,'2023'!$L$24:$L$112,A80&amp;" / "&amp;B80,'2023'!$C$24:$C$112,B80)+SUMIFS('2023'!$H$24:$H$112,'2023'!$L$24:$L$112,A80&amp;" / "&amp;B80,'2023'!$F$24:$F$112,B80)+SUMIFS('2024'!$E$24:$E$112,'2024'!$L$24:$L$112,A80&amp;" / "&amp;B80,'2024'!$C$24:$C$112,B80)+SUMIFS('2024'!$H$24:$H$112,'2024'!$L$24:$L$112,A80&amp;" / "&amp;B80,'2024'!$F$24:$F$112,B80)+SUMIFS('2025'!$E$24:$E$112,'2025'!$L$24:$L$112,A80&amp;" / "&amp;B80,'2025'!$C$24:$C$112,B80)+SUMIFS('2025'!$H$24:$H$112,'2025'!$L$24:$L$112,A80&amp;" / "&amp;B80,'2025'!$F$24:$F$112,B80)</x:f>
        <x:v>1003.3000000000001</x:v>
      </x:c>
      <x:c r="I80" s="11" t="n">
        <x:f>IF(C80=0,0,(D80+0.5*F80)/C80)</x:f>
        <x:v>0.6666666666666666</x:v>
      </x:c>
      <x:c r="J80" s="2" t="n">
        <x:f>COUNTIFS('2015'!$L$24:$L$96,A80&amp;" / "&amp;B80,'2015'!$B$24:$B$96,"Regular")+COUNTIFS('2016'!$L$24:$L$96,A80&amp;" / "&amp;B80,'2016'!$B$24:$B$96,"Regular")+COUNTIFS('2017'!$L$24:$L$106,A80&amp;" / "&amp;B80,'2017'!$B$24:$B$106,"Regular")+COUNTIFS('2018'!$L$24:$L$106,A80&amp;" / "&amp;B80,'2018'!$B$24:$B$106,"Regular")+COUNTIFS('2019'!$L$24:$L$106,A80&amp;" / "&amp;B80,'2019'!$B$24:$B$106,"Regular")+COUNTIFS('2020'!$L$24:$L$106,A80&amp;" / "&amp;B80,'2020'!$B$24:$B$106,"Regular")+COUNTIFS('2021'!$L$24:$L$112,A80&amp;" / "&amp;B80,'2021'!$B$24:$B$112,"Regular")+COUNTIFS('2022'!$L$24:$L$112,A80&amp;" / "&amp;B80,'2022'!$B$24:$B$112,"Regular")+COUNTIFS('2023'!$L$24:$L$112,A80&amp;" / "&amp;B80,'2023'!$B$24:$B$112,"Regular")+COUNTIFS('2024'!$L$24:$L$112,A80&amp;" / "&amp;B80,'2024'!$B$24:$B$112,"Regular")+COUNTIFS('2025'!$L$24:$L$112,A80&amp;" / "&amp;B80,'2025'!$B$24:$B$112,"Regular")</x:f>
        <x:v>9</x:v>
      </x:c>
      <x:c r="K80" s="2" t="n">
        <x:f>COUNTIFS('2015'!$L$24:$L$96,A80&amp;" / "&amp;B80,'2015'!$B$24:$B$96,"Playoffs")+COUNTIFS('2016'!$L$24:$L$96,A80&amp;" / "&amp;B80,'2016'!$B$24:$B$96,"Playoffs")+COUNTIFS('2017'!$L$24:$L$106,A80&amp;" / "&amp;B80,'2017'!$B$24:$B$106,"Playoffs")+COUNTIFS('2018'!$L$24:$L$106,A80&amp;" / "&amp;B80,'2018'!$B$24:$B$106,"Playoffs")+COUNTIFS('2019'!$L$24:$L$106,A80&amp;" / "&amp;B80,'2019'!$B$24:$B$106,"Playoffs")+COUNTIFS('2020'!$L$24:$L$106,A80&amp;" / "&amp;B80,'2020'!$B$24:$B$106,"Playoffs")+COUNTIFS('2021'!$L$24:$L$112,A80&amp;" / "&amp;B80,'2021'!$B$24:$B$112,"Playoffs")+COUNTIFS('2022'!$L$24:$L$112,A80&amp;" / "&amp;B80,'2022'!$B$24:$B$112,"Playoffs")+COUNTIFS('2023'!$L$24:$L$112,A80&amp;" / "&amp;B80,'2023'!$B$24:$B$112,"Playoffs")+COUNTIFS('2024'!$L$24:$L$112,A80&amp;" / "&amp;B80,'2024'!$B$24:$B$112,"Playoffs")+COUNTIFS('2025'!$L$24:$L$112,A80&amp;" / "&amp;B80,'2025'!$B$24:$B$112,"Playoffs")</x:f>
        <x:v>0</x:v>
      </x:c>
      <x:c r="L80" s="2" t="n">
        <x:f>COUNTIFS('2015'!$L$24:$L$96,A80&amp;" / "&amp;B80,'2015'!$B$24:$B$96,"Unconfirmed")+COUNTIFS('2016'!$L$24:$L$96,A80&amp;" / "&amp;B80,'2016'!$B$24:$B$96,"Unconfirmed")+COUNTIFS('2017'!$L$24:$L$106,A80&amp;" / "&amp;B80,'2017'!$B$24:$B$106,"Unconfirmed")+COUNTIFS('2018'!$L$24:$L$106,A80&amp;" / "&amp;B80,'2018'!$B$24:$B$106,"Unconfirmed")+COUNTIFS('2019'!$L$24:$L$106,A80&amp;" / "&amp;B80,'2019'!$B$24:$B$106,"Unconfirmed")+COUNTIFS('2020'!$L$24:$L$106,A80&amp;" / "&amp;B80,'2020'!$B$24:$B$106,"Unconfirmed")+COUNTIFS('2021'!$L$24:$L$112,A80&amp;" / "&amp;B80,'2021'!$B$24:$B$112,"Unconfirmed")+COUNTIFS('2022'!$L$24:$L$112,A80&amp;" / "&amp;B80,'2022'!$B$24:$B$112,"Unconfirmed")+COUNTIFS('2023'!$L$24:$L$112,A80&amp;" / "&amp;B80,'2023'!$B$24:$B$112,"Unconfirmed")+COUNTIFS('2024'!$L$24:$L$112,A80&amp;" / "&amp;B80,'2024'!$B$24:$B$112,"Unconfirmed")+COUNTIFS('2025'!$L$24:$L$112,A80&amp;" / "&amp;B80,'2025'!$B$24:$B$112,"Unconfirmed")</x:f>
        <x:v>0</x:v>
      </x:c>
    </x:row>
    <x:row r="81" ht="22" customHeight="1">
      <x:c r="A81" s="2" t="str">
        <x:v>Dave</x:v>
      </x:c>
      <x:c r="B81" s="2" t="str">
        <x:v>Frank</x:v>
      </x:c>
      <x:c r="C81" s="2" t="n">
        <x:f>COUNTIFS('2015'!$L$24:$L$96,A81&amp;" / "&amp;B81)+COUNTIFS('2016'!$L$24:$L$96,A81&amp;" / "&amp;B81)+COUNTIFS('2017'!$L$24:$L$106,A81&amp;" / "&amp;B81)+COUNTIFS('2018'!$L$24:$L$106,A81&amp;" / "&amp;B81)+COUNTIFS('2019'!$L$24:$L$106,A81&amp;" / "&amp;B81)+COUNTIFS('2020'!$L$24:$L$106,A81&amp;" / "&amp;B81)+COUNTIFS('2021'!$L$24:$L$112,A81&amp;" / "&amp;B81)+COUNTIFS('2022'!$L$24:$L$112,A81&amp;" / "&amp;B81)+COUNTIFS('2023'!$L$24:$L$112,A81&amp;" / "&amp;B81)+COUNTIFS('2024'!$L$24:$L$112,A81&amp;" / "&amp;B81)+COUNTIFS('2025'!$L$24:$L$112,A81&amp;" / "&amp;B81)</x:f>
        <x:v>10</x:v>
      </x:c>
      <x:c r="D81" s="2" t="n">
        <x:f>COUNTIFS('2015'!$L$24:$L$96,A81&amp;" / "&amp;B81,'2015'!$I$24:$I$96,A81)+COUNTIFS('2016'!$L$24:$L$96,A81&amp;" / "&amp;B81,'2016'!$I$24:$I$96,A81)+COUNTIFS('2017'!$L$24:$L$106,A81&amp;" / "&amp;B81,'2017'!$I$24:$I$106,A81)+COUNTIFS('2018'!$L$24:$L$106,A81&amp;" / "&amp;B81,'2018'!$I$24:$I$106,A81)+COUNTIFS('2019'!$L$24:$L$106,A81&amp;" / "&amp;B81,'2019'!$I$24:$I$106,A81)+COUNTIFS('2020'!$L$24:$L$106,A81&amp;" / "&amp;B81,'2020'!$I$24:$I$106,A81)+COUNTIFS('2021'!$L$24:$L$112,A81&amp;" / "&amp;B81,'2021'!$I$24:$I$112,A81)+COUNTIFS('2022'!$L$24:$L$112,A81&amp;" / "&amp;B81,'2022'!$I$24:$I$112,A81)+COUNTIFS('2023'!$L$24:$L$112,A81&amp;" / "&amp;B81,'2023'!$I$24:$I$112,A81)+COUNTIFS('2024'!$L$24:$L$112,A81&amp;" / "&amp;B81,'2024'!$I$24:$I$112,A81)+COUNTIFS('2025'!$L$24:$L$112,A81&amp;" / "&amp;B81,'2025'!$I$24:$I$112,A81)</x:f>
        <x:v>6</x:v>
      </x:c>
      <x:c r="E81" s="2" t="n">
        <x:f>COUNTIFS('2015'!$L$24:$L$96,A81&amp;" / "&amp;B81,'2015'!$I$24:$I$96,B81)+COUNTIFS('2016'!$L$24:$L$96,A81&amp;" / "&amp;B81,'2016'!$I$24:$I$96,B81)+COUNTIFS('2017'!$L$24:$L$106,A81&amp;" / "&amp;B81,'2017'!$I$24:$I$106,B81)+COUNTIFS('2018'!$L$24:$L$106,A81&amp;" / "&amp;B81,'2018'!$I$24:$I$106,B81)+COUNTIFS('2019'!$L$24:$L$106,A81&amp;" / "&amp;B81,'2019'!$I$24:$I$106,B81)+COUNTIFS('2020'!$L$24:$L$106,A81&amp;" / "&amp;B81,'2020'!$I$24:$I$106,B81)+COUNTIFS('2021'!$L$24:$L$112,A81&amp;" / "&amp;B81,'2021'!$I$24:$I$112,B81)+COUNTIFS('2022'!$L$24:$L$112,A81&amp;" / "&amp;B81,'2022'!$I$24:$I$112,B81)+COUNTIFS('2023'!$L$24:$L$112,A81&amp;" / "&amp;B81,'2023'!$I$24:$I$112,B81)+COUNTIFS('2024'!$L$24:$L$112,A81&amp;" / "&amp;B81,'2024'!$I$24:$I$112,B81)+COUNTIFS('2025'!$L$24:$L$112,A81&amp;" / "&amp;B81,'2025'!$I$24:$I$112,B81)</x:f>
        <x:v>4</x:v>
      </x:c>
      <x:c r="F81" s="2" t="n">
        <x:f>COUNTIFS('2015'!$L$24:$L$96,A81&amp;" / "&amp;B81,'2015'!$K$24:$K$96,1)+COUNTIFS('2016'!$L$24:$L$96,A81&amp;" / "&amp;B81,'2016'!$K$24:$K$96,1)+COUNTIFS('2017'!$L$24:$L$106,A81&amp;" / "&amp;B81,'2017'!$K$24:$K$106,1)+COUNTIFS('2018'!$L$24:$L$106,A81&amp;" / "&amp;B81,'2018'!$K$24:$K$106,1)+COUNTIFS('2019'!$L$24:$L$106,A81&amp;" / "&amp;B81,'2019'!$K$24:$K$106,1)+COUNTIFS('2020'!$L$24:$L$106,A81&amp;" / "&amp;B81,'2020'!$K$24:$K$106,1)+COUNTIFS('2021'!$L$24:$L$112,A81&amp;" / "&amp;B81,'2021'!$K$24:$K$112,1)+COUNTIFS('2022'!$L$24:$L$112,A81&amp;" / "&amp;B81,'2022'!$K$24:$K$112,1)+COUNTIFS('2023'!$L$24:$L$112,A81&amp;" / "&amp;B81,'2023'!$K$24:$K$112,1)+COUNTIFS('2024'!$L$24:$L$112,A81&amp;" / "&amp;B81,'2024'!$K$24:$K$112,1)+COUNTIFS('2025'!$L$24:$L$112,A81&amp;" / "&amp;B81,'2025'!$K$24:$K$112,1)</x:f>
        <x:v>0</x:v>
      </x:c>
      <x:c r="G81" s="25" t="n">
        <x:f>SUMIFS('2015'!$E$24:$E$96,'2015'!$L$24:$L$96,A81&amp;" / "&amp;B81,'2015'!$C$24:$C$96,A81)+SUMIFS('2015'!$H$24:$H$96,'2015'!$L$24:$L$96,A81&amp;" / "&amp;B81,'2015'!$F$24:$F$96,A81)+SUMIFS('2016'!$E$24:$E$96,'2016'!$L$24:$L$96,A81&amp;" / "&amp;B81,'2016'!$C$24:$C$96,A81)+SUMIFS('2016'!$H$24:$H$96,'2016'!$L$24:$L$96,A81&amp;" / "&amp;B81,'2016'!$F$24:$F$96,A81)+SUMIFS('2017'!$E$24:$E$106,'2017'!$L$24:$L$106,A81&amp;" / "&amp;B81,'2017'!$C$24:$C$106,A81)+SUMIFS('2017'!$H$24:$H$106,'2017'!$L$24:$L$106,A81&amp;" / "&amp;B81,'2017'!$F$24:$F$106,A81)+SUMIFS('2018'!$E$24:$E$106,'2018'!$L$24:$L$106,A81&amp;" / "&amp;B81,'2018'!$C$24:$C$106,A81)+SUMIFS('2018'!$H$24:$H$106,'2018'!$L$24:$L$106,A81&amp;" / "&amp;B81,'2018'!$F$24:$F$106,A81)+SUMIFS('2019'!$E$24:$E$106,'2019'!$L$24:$L$106,A81&amp;" / "&amp;B81,'2019'!$C$24:$C$106,A81)+SUMIFS('2019'!$H$24:$H$106,'2019'!$L$24:$L$106,A81&amp;" / "&amp;B81,'2019'!$F$24:$F$106,A81)+SUMIFS('2020'!$E$24:$E$106,'2020'!$L$24:$L$106,A81&amp;" / "&amp;B81,'2020'!$C$24:$C$106,A81)+SUMIFS('2020'!$H$24:$H$106,'2020'!$L$24:$L$106,A81&amp;" / "&amp;B81,'2020'!$F$24:$F$106,A81)+SUMIFS('2021'!$E$24:$E$112,'2021'!$L$24:$L$112,A81&amp;" / "&amp;B81,'2021'!$C$24:$C$112,A81)+SUMIFS('2021'!$H$24:$H$112,'2021'!$L$24:$L$112,A81&amp;" / "&amp;B81,'2021'!$F$24:$F$112,A81)+SUMIFS('2022'!$E$24:$E$112,'2022'!$L$24:$L$112,A81&amp;" / "&amp;B81,'2022'!$C$24:$C$112,A81)+SUMIFS('2022'!$H$24:$H$112,'2022'!$L$24:$L$112,A81&amp;" / "&amp;B81,'2022'!$F$24:$F$112,A81)+SUMIFS('2023'!$E$24:$E$112,'2023'!$L$24:$L$112,A81&amp;" / "&amp;B81,'2023'!$C$24:$C$112,A81)+SUMIFS('2023'!$H$24:$H$112,'2023'!$L$24:$L$112,A81&amp;" / "&amp;B81,'2023'!$F$24:$F$112,A81)+SUMIFS('2024'!$E$24:$E$112,'2024'!$L$24:$L$112,A81&amp;" / "&amp;B81,'2024'!$C$24:$C$112,A81)+SUMIFS('2024'!$H$24:$H$112,'2024'!$L$24:$L$112,A81&amp;" / "&amp;B81,'2024'!$F$24:$F$112,A81)+SUMIFS('2025'!$E$24:$E$112,'2025'!$L$24:$L$112,A81&amp;" / "&amp;B81,'2025'!$C$24:$C$112,A81)+SUMIFS('2025'!$H$24:$H$112,'2025'!$L$24:$L$112,A81&amp;" / "&amp;B81,'2025'!$F$24:$F$112,A81)</x:f>
        <x:v>1119.05</x:v>
      </x:c>
      <x:c r="H81" s="25" t="n">
        <x:f>SUMIFS('2015'!$E$24:$E$96,'2015'!$L$24:$L$96,A81&amp;" / "&amp;B81,'2015'!$C$24:$C$96,B81)+SUMIFS('2015'!$H$24:$H$96,'2015'!$L$24:$L$96,A81&amp;" / "&amp;B81,'2015'!$F$24:$F$96,B81)+SUMIFS('2016'!$E$24:$E$96,'2016'!$L$24:$L$96,A81&amp;" / "&amp;B81,'2016'!$C$24:$C$96,B81)+SUMIFS('2016'!$H$24:$H$96,'2016'!$L$24:$L$96,A81&amp;" / "&amp;B81,'2016'!$F$24:$F$96,B81)+SUMIFS('2017'!$E$24:$E$106,'2017'!$L$24:$L$106,A81&amp;" / "&amp;B81,'2017'!$C$24:$C$106,B81)+SUMIFS('2017'!$H$24:$H$106,'2017'!$L$24:$L$106,A81&amp;" / "&amp;B81,'2017'!$F$24:$F$106,B81)+SUMIFS('2018'!$E$24:$E$106,'2018'!$L$24:$L$106,A81&amp;" / "&amp;B81,'2018'!$C$24:$C$106,B81)+SUMIFS('2018'!$H$24:$H$106,'2018'!$L$24:$L$106,A81&amp;" / "&amp;B81,'2018'!$F$24:$F$106,B81)+SUMIFS('2019'!$E$24:$E$106,'2019'!$L$24:$L$106,A81&amp;" / "&amp;B81,'2019'!$C$24:$C$106,B81)+SUMIFS('2019'!$H$24:$H$106,'2019'!$L$24:$L$106,A81&amp;" / "&amp;B81,'2019'!$F$24:$F$106,B81)+SUMIFS('2020'!$E$24:$E$106,'2020'!$L$24:$L$106,A81&amp;" / "&amp;B81,'2020'!$C$24:$C$106,B81)+SUMIFS('2020'!$H$24:$H$106,'2020'!$L$24:$L$106,A81&amp;" / "&amp;B81,'2020'!$F$24:$F$106,B81)+SUMIFS('2021'!$E$24:$E$112,'2021'!$L$24:$L$112,A81&amp;" / "&amp;B81,'2021'!$C$24:$C$112,B81)+SUMIFS('2021'!$H$24:$H$112,'2021'!$L$24:$L$112,A81&amp;" / "&amp;B81,'2021'!$F$24:$F$112,B81)+SUMIFS('2022'!$E$24:$E$112,'2022'!$L$24:$L$112,A81&amp;" / "&amp;B81,'2022'!$C$24:$C$112,B81)+SUMIFS('2022'!$H$24:$H$112,'2022'!$L$24:$L$112,A81&amp;" / "&amp;B81,'2022'!$F$24:$F$112,B81)+SUMIFS('2023'!$E$24:$E$112,'2023'!$L$24:$L$112,A81&amp;" / "&amp;B81,'2023'!$C$24:$C$112,B81)+SUMIFS('2023'!$H$24:$H$112,'2023'!$L$24:$L$112,A81&amp;" / "&amp;B81,'2023'!$F$24:$F$112,B81)+SUMIFS('2024'!$E$24:$E$112,'2024'!$L$24:$L$112,A81&amp;" / "&amp;B81,'2024'!$C$24:$C$112,B81)+SUMIFS('2024'!$H$24:$H$112,'2024'!$L$24:$L$112,A81&amp;" / "&amp;B81,'2024'!$F$24:$F$112,B81)+SUMIFS('2025'!$E$24:$E$112,'2025'!$L$24:$L$112,A81&amp;" / "&amp;B81,'2025'!$C$24:$C$112,B81)+SUMIFS('2025'!$H$24:$H$112,'2025'!$L$24:$L$112,A81&amp;" / "&amp;B81,'2025'!$F$24:$F$112,B81)</x:f>
        <x:v>1128.4</x:v>
      </x:c>
      <x:c r="I81" s="11" t="n">
        <x:f>IF(C81=0,0,(D81+0.5*F81)/C81)</x:f>
        <x:v>0.6</x:v>
      </x:c>
      <x:c r="J81" s="2" t="n">
        <x:f>COUNTIFS('2015'!$L$24:$L$96,A81&amp;" / "&amp;B81,'2015'!$B$24:$B$96,"Regular")+COUNTIFS('2016'!$L$24:$L$96,A81&amp;" / "&amp;B81,'2016'!$B$24:$B$96,"Regular")+COUNTIFS('2017'!$L$24:$L$106,A81&amp;" / "&amp;B81,'2017'!$B$24:$B$106,"Regular")+COUNTIFS('2018'!$L$24:$L$106,A81&amp;" / "&amp;B81,'2018'!$B$24:$B$106,"Regular")+COUNTIFS('2019'!$L$24:$L$106,A81&amp;" / "&amp;B81,'2019'!$B$24:$B$106,"Regular")+COUNTIFS('2020'!$L$24:$L$106,A81&amp;" / "&amp;B81,'2020'!$B$24:$B$106,"Regular")+COUNTIFS('2021'!$L$24:$L$112,A81&amp;" / "&amp;B81,'2021'!$B$24:$B$112,"Regular")+COUNTIFS('2022'!$L$24:$L$112,A81&amp;" / "&amp;B81,'2022'!$B$24:$B$112,"Regular")+COUNTIFS('2023'!$L$24:$L$112,A81&amp;" / "&amp;B81,'2023'!$B$24:$B$112,"Regular")+COUNTIFS('2024'!$L$24:$L$112,A81&amp;" / "&amp;B81,'2024'!$B$24:$B$112,"Regular")+COUNTIFS('2025'!$L$24:$L$112,A81&amp;" / "&amp;B81,'2025'!$B$24:$B$112,"Regular")</x:f>
        <x:v>9</x:v>
      </x:c>
      <x:c r="K81" s="2" t="n">
        <x:f>COUNTIFS('2015'!$L$24:$L$96,A81&amp;" / "&amp;B81,'2015'!$B$24:$B$96,"Playoffs")+COUNTIFS('2016'!$L$24:$L$96,A81&amp;" / "&amp;B81,'2016'!$B$24:$B$96,"Playoffs")+COUNTIFS('2017'!$L$24:$L$106,A81&amp;" / "&amp;B81,'2017'!$B$24:$B$106,"Playoffs")+COUNTIFS('2018'!$L$24:$L$106,A81&amp;" / "&amp;B81,'2018'!$B$24:$B$106,"Playoffs")+COUNTIFS('2019'!$L$24:$L$106,A81&amp;" / "&amp;B81,'2019'!$B$24:$B$106,"Playoffs")+COUNTIFS('2020'!$L$24:$L$106,A81&amp;" / "&amp;B81,'2020'!$B$24:$B$106,"Playoffs")+COUNTIFS('2021'!$L$24:$L$112,A81&amp;" / "&amp;B81,'2021'!$B$24:$B$112,"Playoffs")+COUNTIFS('2022'!$L$24:$L$112,A81&amp;" / "&amp;B81,'2022'!$B$24:$B$112,"Playoffs")+COUNTIFS('2023'!$L$24:$L$112,A81&amp;" / "&amp;B81,'2023'!$B$24:$B$112,"Playoffs")+COUNTIFS('2024'!$L$24:$L$112,A81&amp;" / "&amp;B81,'2024'!$B$24:$B$112,"Playoffs")+COUNTIFS('2025'!$L$24:$L$112,A81&amp;" / "&amp;B81,'2025'!$B$24:$B$112,"Playoffs")</x:f>
        <x:v>1</x:v>
      </x:c>
      <x:c r="L81" s="2" t="n">
        <x:f>COUNTIFS('2015'!$L$24:$L$96,A81&amp;" / "&amp;B81,'2015'!$B$24:$B$96,"Unconfirmed")+COUNTIFS('2016'!$L$24:$L$96,A81&amp;" / "&amp;B81,'2016'!$B$24:$B$96,"Unconfirmed")+COUNTIFS('2017'!$L$24:$L$106,A81&amp;" / "&amp;B81,'2017'!$B$24:$B$106,"Unconfirmed")+COUNTIFS('2018'!$L$24:$L$106,A81&amp;" / "&amp;B81,'2018'!$B$24:$B$106,"Unconfirmed")+COUNTIFS('2019'!$L$24:$L$106,A81&amp;" / "&amp;B81,'2019'!$B$24:$B$106,"Unconfirmed")+COUNTIFS('2020'!$L$24:$L$106,A81&amp;" / "&amp;B81,'2020'!$B$24:$B$106,"Unconfirmed")+COUNTIFS('2021'!$L$24:$L$112,A81&amp;" / "&amp;B81,'2021'!$B$24:$B$112,"Unconfirmed")+COUNTIFS('2022'!$L$24:$L$112,A81&amp;" / "&amp;B81,'2022'!$B$24:$B$112,"Unconfirmed")+COUNTIFS('2023'!$L$24:$L$112,A81&amp;" / "&amp;B81,'2023'!$B$24:$B$112,"Unconfirmed")+COUNTIFS('2024'!$L$24:$L$112,A81&amp;" / "&amp;B81,'2024'!$B$24:$B$112,"Unconfirmed")+COUNTIFS('2025'!$L$24:$L$112,A81&amp;" / "&amp;B81,'2025'!$B$24:$B$112,"Unconfirmed")</x:f>
        <x:v>0</x:v>
      </x:c>
    </x:row>
    <x:row r="82" ht="22" customHeight="1">
      <x:c r="A82" s="2" t="str">
        <x:v>Dave</x:v>
      </x:c>
      <x:c r="B82" s="2" t="str">
        <x:v>Josh</x:v>
      </x:c>
      <x:c r="C82" s="2" t="n">
        <x:f>COUNTIFS('2015'!$L$24:$L$96,A82&amp;" / "&amp;B82)+COUNTIFS('2016'!$L$24:$L$96,A82&amp;" / "&amp;B82)+COUNTIFS('2017'!$L$24:$L$106,A82&amp;" / "&amp;B82)+COUNTIFS('2018'!$L$24:$L$106,A82&amp;" / "&amp;B82)+COUNTIFS('2019'!$L$24:$L$106,A82&amp;" / "&amp;B82)+COUNTIFS('2020'!$L$24:$L$106,A82&amp;" / "&amp;B82)+COUNTIFS('2021'!$L$24:$L$112,A82&amp;" / "&amp;B82)+COUNTIFS('2022'!$L$24:$L$112,A82&amp;" / "&amp;B82)+COUNTIFS('2023'!$L$24:$L$112,A82&amp;" / "&amp;B82)+COUNTIFS('2024'!$L$24:$L$112,A82&amp;" / "&amp;B82)+COUNTIFS('2025'!$L$24:$L$112,A82&amp;" / "&amp;B82)</x:f>
        <x:v>9</x:v>
      </x:c>
      <x:c r="D82" s="2" t="n">
        <x:f>COUNTIFS('2015'!$L$24:$L$96,A82&amp;" / "&amp;B82,'2015'!$I$24:$I$96,A82)+COUNTIFS('2016'!$L$24:$L$96,A82&amp;" / "&amp;B82,'2016'!$I$24:$I$96,A82)+COUNTIFS('2017'!$L$24:$L$106,A82&amp;" / "&amp;B82,'2017'!$I$24:$I$106,A82)+COUNTIFS('2018'!$L$24:$L$106,A82&amp;" / "&amp;B82,'2018'!$I$24:$I$106,A82)+COUNTIFS('2019'!$L$24:$L$106,A82&amp;" / "&amp;B82,'2019'!$I$24:$I$106,A82)+COUNTIFS('2020'!$L$24:$L$106,A82&amp;" / "&amp;B82,'2020'!$I$24:$I$106,A82)+COUNTIFS('2021'!$L$24:$L$112,A82&amp;" / "&amp;B82,'2021'!$I$24:$I$112,A82)+COUNTIFS('2022'!$L$24:$L$112,A82&amp;" / "&amp;B82,'2022'!$I$24:$I$112,A82)+COUNTIFS('2023'!$L$24:$L$112,A82&amp;" / "&amp;B82,'2023'!$I$24:$I$112,A82)+COUNTIFS('2024'!$L$24:$L$112,A82&amp;" / "&amp;B82,'2024'!$I$24:$I$112,A82)+COUNTIFS('2025'!$L$24:$L$112,A82&amp;" / "&amp;B82,'2025'!$I$24:$I$112,A82)</x:f>
        <x:v>2</x:v>
      </x:c>
      <x:c r="E82" s="2" t="n">
        <x:f>COUNTIFS('2015'!$L$24:$L$96,A82&amp;" / "&amp;B82,'2015'!$I$24:$I$96,B82)+COUNTIFS('2016'!$L$24:$L$96,A82&amp;" / "&amp;B82,'2016'!$I$24:$I$96,B82)+COUNTIFS('2017'!$L$24:$L$106,A82&amp;" / "&amp;B82,'2017'!$I$24:$I$106,B82)+COUNTIFS('2018'!$L$24:$L$106,A82&amp;" / "&amp;B82,'2018'!$I$24:$I$106,B82)+COUNTIFS('2019'!$L$24:$L$106,A82&amp;" / "&amp;B82,'2019'!$I$24:$I$106,B82)+COUNTIFS('2020'!$L$24:$L$106,A82&amp;" / "&amp;B82,'2020'!$I$24:$I$106,B82)+COUNTIFS('2021'!$L$24:$L$112,A82&amp;" / "&amp;B82,'2021'!$I$24:$I$112,B82)+COUNTIFS('2022'!$L$24:$L$112,A82&amp;" / "&amp;B82,'2022'!$I$24:$I$112,B82)+COUNTIFS('2023'!$L$24:$L$112,A82&amp;" / "&amp;B82,'2023'!$I$24:$I$112,B82)+COUNTIFS('2024'!$L$24:$L$112,A82&amp;" / "&amp;B82,'2024'!$I$24:$I$112,B82)+COUNTIFS('2025'!$L$24:$L$112,A82&amp;" / "&amp;B82,'2025'!$I$24:$I$112,B82)</x:f>
        <x:v>6</x:v>
      </x:c>
      <x:c r="F82" s="2" t="n">
        <x:f>COUNTIFS('2015'!$L$24:$L$96,A82&amp;" / "&amp;B82,'2015'!$K$24:$K$96,1)+COUNTIFS('2016'!$L$24:$L$96,A82&amp;" / "&amp;B82,'2016'!$K$24:$K$96,1)+COUNTIFS('2017'!$L$24:$L$106,A82&amp;" / "&amp;B82,'2017'!$K$24:$K$106,1)+COUNTIFS('2018'!$L$24:$L$106,A82&amp;" / "&amp;B82,'2018'!$K$24:$K$106,1)+COUNTIFS('2019'!$L$24:$L$106,A82&amp;" / "&amp;B82,'2019'!$K$24:$K$106,1)+COUNTIFS('2020'!$L$24:$L$106,A82&amp;" / "&amp;B82,'2020'!$K$24:$K$106,1)+COUNTIFS('2021'!$L$24:$L$112,A82&amp;" / "&amp;B82,'2021'!$K$24:$K$112,1)+COUNTIFS('2022'!$L$24:$L$112,A82&amp;" / "&amp;B82,'2022'!$K$24:$K$112,1)+COUNTIFS('2023'!$L$24:$L$112,A82&amp;" / "&amp;B82,'2023'!$K$24:$K$112,1)+COUNTIFS('2024'!$L$24:$L$112,A82&amp;" / "&amp;B82,'2024'!$K$24:$K$112,1)+COUNTIFS('2025'!$L$24:$L$112,A82&amp;" / "&amp;B82,'2025'!$K$24:$K$112,1)</x:f>
        <x:v>1</x:v>
      </x:c>
      <x:c r="G82" s="25" t="n">
        <x:f>SUMIFS('2015'!$E$24:$E$96,'2015'!$L$24:$L$96,A82&amp;" / "&amp;B82,'2015'!$C$24:$C$96,A82)+SUMIFS('2015'!$H$24:$H$96,'2015'!$L$24:$L$96,A82&amp;" / "&amp;B82,'2015'!$F$24:$F$96,A82)+SUMIFS('2016'!$E$24:$E$96,'2016'!$L$24:$L$96,A82&amp;" / "&amp;B82,'2016'!$C$24:$C$96,A82)+SUMIFS('2016'!$H$24:$H$96,'2016'!$L$24:$L$96,A82&amp;" / "&amp;B82,'2016'!$F$24:$F$96,A82)+SUMIFS('2017'!$E$24:$E$106,'2017'!$L$24:$L$106,A82&amp;" / "&amp;B82,'2017'!$C$24:$C$106,A82)+SUMIFS('2017'!$H$24:$H$106,'2017'!$L$24:$L$106,A82&amp;" / "&amp;B82,'2017'!$F$24:$F$106,A82)+SUMIFS('2018'!$E$24:$E$106,'2018'!$L$24:$L$106,A82&amp;" / "&amp;B82,'2018'!$C$24:$C$106,A82)+SUMIFS('2018'!$H$24:$H$106,'2018'!$L$24:$L$106,A82&amp;" / "&amp;B82,'2018'!$F$24:$F$106,A82)+SUMIFS('2019'!$E$24:$E$106,'2019'!$L$24:$L$106,A82&amp;" / "&amp;B82,'2019'!$C$24:$C$106,A82)+SUMIFS('2019'!$H$24:$H$106,'2019'!$L$24:$L$106,A82&amp;" / "&amp;B82,'2019'!$F$24:$F$106,A82)+SUMIFS('2020'!$E$24:$E$106,'2020'!$L$24:$L$106,A82&amp;" / "&amp;B82,'2020'!$C$24:$C$106,A82)+SUMIFS('2020'!$H$24:$H$106,'2020'!$L$24:$L$106,A82&amp;" / "&amp;B82,'2020'!$F$24:$F$106,A82)+SUMIFS('2021'!$E$24:$E$112,'2021'!$L$24:$L$112,A82&amp;" / "&amp;B82,'2021'!$C$24:$C$112,A82)+SUMIFS('2021'!$H$24:$H$112,'2021'!$L$24:$L$112,A82&amp;" / "&amp;B82,'2021'!$F$24:$F$112,A82)+SUMIFS('2022'!$E$24:$E$112,'2022'!$L$24:$L$112,A82&amp;" / "&amp;B82,'2022'!$C$24:$C$112,A82)+SUMIFS('2022'!$H$24:$H$112,'2022'!$L$24:$L$112,A82&amp;" / "&amp;B82,'2022'!$F$24:$F$112,A82)+SUMIFS('2023'!$E$24:$E$112,'2023'!$L$24:$L$112,A82&amp;" / "&amp;B82,'2023'!$C$24:$C$112,A82)+SUMIFS('2023'!$H$24:$H$112,'2023'!$L$24:$L$112,A82&amp;" / "&amp;B82,'2023'!$F$24:$F$112,A82)+SUMIFS('2024'!$E$24:$E$112,'2024'!$L$24:$L$112,A82&amp;" / "&amp;B82,'2024'!$C$24:$C$112,A82)+SUMIFS('2024'!$H$24:$H$112,'2024'!$L$24:$L$112,A82&amp;" / "&amp;B82,'2024'!$F$24:$F$112,A82)+SUMIFS('2025'!$E$24:$E$112,'2025'!$L$24:$L$112,A82&amp;" / "&amp;B82,'2025'!$C$24:$C$112,A82)+SUMIFS('2025'!$H$24:$H$112,'2025'!$L$24:$L$112,A82&amp;" / "&amp;B82,'2025'!$F$24:$F$112,A82)</x:f>
        <x:v>1001.65</x:v>
      </x:c>
      <x:c r="H82" s="25" t="n">
        <x:f>SUMIFS('2015'!$E$24:$E$96,'2015'!$L$24:$L$96,A82&amp;" / "&amp;B82,'2015'!$C$24:$C$96,B82)+SUMIFS('2015'!$H$24:$H$96,'2015'!$L$24:$L$96,A82&amp;" / "&amp;B82,'2015'!$F$24:$F$96,B82)+SUMIFS('2016'!$E$24:$E$96,'2016'!$L$24:$L$96,A82&amp;" / "&amp;B82,'2016'!$C$24:$C$96,B82)+SUMIFS('2016'!$H$24:$H$96,'2016'!$L$24:$L$96,A82&amp;" / "&amp;B82,'2016'!$F$24:$F$96,B82)+SUMIFS('2017'!$E$24:$E$106,'2017'!$L$24:$L$106,A82&amp;" / "&amp;B82,'2017'!$C$24:$C$106,B82)+SUMIFS('2017'!$H$24:$H$106,'2017'!$L$24:$L$106,A82&amp;" / "&amp;B82,'2017'!$F$24:$F$106,B82)+SUMIFS('2018'!$E$24:$E$106,'2018'!$L$24:$L$106,A82&amp;" / "&amp;B82,'2018'!$C$24:$C$106,B82)+SUMIFS('2018'!$H$24:$H$106,'2018'!$L$24:$L$106,A82&amp;" / "&amp;B82,'2018'!$F$24:$F$106,B82)+SUMIFS('2019'!$E$24:$E$106,'2019'!$L$24:$L$106,A82&amp;" / "&amp;B82,'2019'!$C$24:$C$106,B82)+SUMIFS('2019'!$H$24:$H$106,'2019'!$L$24:$L$106,A82&amp;" / "&amp;B82,'2019'!$F$24:$F$106,B82)+SUMIFS('2020'!$E$24:$E$106,'2020'!$L$24:$L$106,A82&amp;" / "&amp;B82,'2020'!$C$24:$C$106,B82)+SUMIFS('2020'!$H$24:$H$106,'2020'!$L$24:$L$106,A82&amp;" / "&amp;B82,'2020'!$F$24:$F$106,B82)+SUMIFS('2021'!$E$24:$E$112,'2021'!$L$24:$L$112,A82&amp;" / "&amp;B82,'2021'!$C$24:$C$112,B82)+SUMIFS('2021'!$H$24:$H$112,'2021'!$L$24:$L$112,A82&amp;" / "&amp;B82,'2021'!$F$24:$F$112,B82)+SUMIFS('2022'!$E$24:$E$112,'2022'!$L$24:$L$112,A82&amp;" / "&amp;B82,'2022'!$C$24:$C$112,B82)+SUMIFS('2022'!$H$24:$H$112,'2022'!$L$24:$L$112,A82&amp;" / "&amp;B82,'2022'!$F$24:$F$112,B82)+SUMIFS('2023'!$E$24:$E$112,'2023'!$L$24:$L$112,A82&amp;" / "&amp;B82,'2023'!$C$24:$C$112,B82)+SUMIFS('2023'!$H$24:$H$112,'2023'!$L$24:$L$112,A82&amp;" / "&amp;B82,'2023'!$F$24:$F$112,B82)+SUMIFS('2024'!$E$24:$E$112,'2024'!$L$24:$L$112,A82&amp;" / "&amp;B82,'2024'!$C$24:$C$112,B82)+SUMIFS('2024'!$H$24:$H$112,'2024'!$L$24:$L$112,A82&amp;" / "&amp;B82,'2024'!$F$24:$F$112,B82)+SUMIFS('2025'!$E$24:$E$112,'2025'!$L$24:$L$112,A82&amp;" / "&amp;B82,'2025'!$C$24:$C$112,B82)+SUMIFS('2025'!$H$24:$H$112,'2025'!$L$24:$L$112,A82&amp;" / "&amp;B82,'2025'!$F$24:$F$112,B82)</x:f>
        <x:v>1186.05</x:v>
      </x:c>
      <x:c r="I82" s="11" t="n">
        <x:f>IF(C82=0,0,(D82+0.5*F82)/C82)</x:f>
        <x:v>0.2777777777777778</x:v>
      </x:c>
      <x:c r="J82" s="2" t="n">
        <x:f>COUNTIFS('2015'!$L$24:$L$96,A82&amp;" / "&amp;B82,'2015'!$B$24:$B$96,"Regular")+COUNTIFS('2016'!$L$24:$L$96,A82&amp;" / "&amp;B82,'2016'!$B$24:$B$96,"Regular")+COUNTIFS('2017'!$L$24:$L$106,A82&amp;" / "&amp;B82,'2017'!$B$24:$B$106,"Regular")+COUNTIFS('2018'!$L$24:$L$106,A82&amp;" / "&amp;B82,'2018'!$B$24:$B$106,"Regular")+COUNTIFS('2019'!$L$24:$L$106,A82&amp;" / "&amp;B82,'2019'!$B$24:$B$106,"Regular")+COUNTIFS('2020'!$L$24:$L$106,A82&amp;" / "&amp;B82,'2020'!$B$24:$B$106,"Regular")+COUNTIFS('2021'!$L$24:$L$112,A82&amp;" / "&amp;B82,'2021'!$B$24:$B$112,"Regular")+COUNTIFS('2022'!$L$24:$L$112,A82&amp;" / "&amp;B82,'2022'!$B$24:$B$112,"Regular")+COUNTIFS('2023'!$L$24:$L$112,A82&amp;" / "&amp;B82,'2023'!$B$24:$B$112,"Regular")+COUNTIFS('2024'!$L$24:$L$112,A82&amp;" / "&amp;B82,'2024'!$B$24:$B$112,"Regular")+COUNTIFS('2025'!$L$24:$L$112,A82&amp;" / "&amp;B82,'2025'!$B$24:$B$112,"Regular")</x:f>
        <x:v>9</x:v>
      </x:c>
      <x:c r="K82" s="2" t="n">
        <x:f>COUNTIFS('2015'!$L$24:$L$96,A82&amp;" / "&amp;B82,'2015'!$B$24:$B$96,"Playoffs")+COUNTIFS('2016'!$L$24:$L$96,A82&amp;" / "&amp;B82,'2016'!$B$24:$B$96,"Playoffs")+COUNTIFS('2017'!$L$24:$L$106,A82&amp;" / "&amp;B82,'2017'!$B$24:$B$106,"Playoffs")+COUNTIFS('2018'!$L$24:$L$106,A82&amp;" / "&amp;B82,'2018'!$B$24:$B$106,"Playoffs")+COUNTIFS('2019'!$L$24:$L$106,A82&amp;" / "&amp;B82,'2019'!$B$24:$B$106,"Playoffs")+COUNTIFS('2020'!$L$24:$L$106,A82&amp;" / "&amp;B82,'2020'!$B$24:$B$106,"Playoffs")+COUNTIFS('2021'!$L$24:$L$112,A82&amp;" / "&amp;B82,'2021'!$B$24:$B$112,"Playoffs")+COUNTIFS('2022'!$L$24:$L$112,A82&amp;" / "&amp;B82,'2022'!$B$24:$B$112,"Playoffs")+COUNTIFS('2023'!$L$24:$L$112,A82&amp;" / "&amp;B82,'2023'!$B$24:$B$112,"Playoffs")+COUNTIFS('2024'!$L$24:$L$112,A82&amp;" / "&amp;B82,'2024'!$B$24:$B$112,"Playoffs")+COUNTIFS('2025'!$L$24:$L$112,A82&amp;" / "&amp;B82,'2025'!$B$24:$B$112,"Playoffs")</x:f>
        <x:v>0</x:v>
      </x:c>
      <x:c r="L82" s="2" t="n">
        <x:f>COUNTIFS('2015'!$L$24:$L$96,A82&amp;" / "&amp;B82,'2015'!$B$24:$B$96,"Unconfirmed")+COUNTIFS('2016'!$L$24:$L$96,A82&amp;" / "&amp;B82,'2016'!$B$24:$B$96,"Unconfirmed")+COUNTIFS('2017'!$L$24:$L$106,A82&amp;" / "&amp;B82,'2017'!$B$24:$B$106,"Unconfirmed")+COUNTIFS('2018'!$L$24:$L$106,A82&amp;" / "&amp;B82,'2018'!$B$24:$B$106,"Unconfirmed")+COUNTIFS('2019'!$L$24:$L$106,A82&amp;" / "&amp;B82,'2019'!$B$24:$B$106,"Unconfirmed")+COUNTIFS('2020'!$L$24:$L$106,A82&amp;" / "&amp;B82,'2020'!$B$24:$B$106,"Unconfirmed")+COUNTIFS('2021'!$L$24:$L$112,A82&amp;" / "&amp;B82,'2021'!$B$24:$B$112,"Unconfirmed")+COUNTIFS('2022'!$L$24:$L$112,A82&amp;" / "&amp;B82,'2022'!$B$24:$B$112,"Unconfirmed")+COUNTIFS('2023'!$L$24:$L$112,A82&amp;" / "&amp;B82,'2023'!$B$24:$B$112,"Unconfirmed")+COUNTIFS('2024'!$L$24:$L$112,A82&amp;" / "&amp;B82,'2024'!$B$24:$B$112,"Unconfirmed")+COUNTIFS('2025'!$L$24:$L$112,A82&amp;" / "&amp;B82,'2025'!$B$24:$B$112,"Unconfirmed")</x:f>
        <x:v>0</x:v>
      </x:c>
    </x:row>
    <x:row r="83" ht="22" customHeight="1">
      <x:c r="A83" s="2" t="str">
        <x:v>Dave</x:v>
      </x:c>
      <x:c r="B83" s="2" t="str">
        <x:v>Mark</x:v>
      </x:c>
      <x:c r="C83" s="2" t="n">
        <x:f>COUNTIFS('2015'!$L$24:$L$96,A83&amp;" / "&amp;B83)+COUNTIFS('2016'!$L$24:$L$96,A83&amp;" / "&amp;B83)+COUNTIFS('2017'!$L$24:$L$106,A83&amp;" / "&amp;B83)+COUNTIFS('2018'!$L$24:$L$106,A83&amp;" / "&amp;B83)+COUNTIFS('2019'!$L$24:$L$106,A83&amp;" / "&amp;B83)+COUNTIFS('2020'!$L$24:$L$106,A83&amp;" / "&amp;B83)+COUNTIFS('2021'!$L$24:$L$112,A83&amp;" / "&amp;B83)+COUNTIFS('2022'!$L$24:$L$112,A83&amp;" / "&amp;B83)+COUNTIFS('2023'!$L$24:$L$112,A83&amp;" / "&amp;B83)+COUNTIFS('2024'!$L$24:$L$112,A83&amp;" / "&amp;B83)+COUNTIFS('2025'!$L$24:$L$112,A83&amp;" / "&amp;B83)</x:f>
        <x:v>10</x:v>
      </x:c>
      <x:c r="D83" s="2" t="n">
        <x:f>COUNTIFS('2015'!$L$24:$L$96,A83&amp;" / "&amp;B83,'2015'!$I$24:$I$96,A83)+COUNTIFS('2016'!$L$24:$L$96,A83&amp;" / "&amp;B83,'2016'!$I$24:$I$96,A83)+COUNTIFS('2017'!$L$24:$L$106,A83&amp;" / "&amp;B83,'2017'!$I$24:$I$106,A83)+COUNTIFS('2018'!$L$24:$L$106,A83&amp;" / "&amp;B83,'2018'!$I$24:$I$106,A83)+COUNTIFS('2019'!$L$24:$L$106,A83&amp;" / "&amp;B83,'2019'!$I$24:$I$106,A83)+COUNTIFS('2020'!$L$24:$L$106,A83&amp;" / "&amp;B83,'2020'!$I$24:$I$106,A83)+COUNTIFS('2021'!$L$24:$L$112,A83&amp;" / "&amp;B83,'2021'!$I$24:$I$112,A83)+COUNTIFS('2022'!$L$24:$L$112,A83&amp;" / "&amp;B83,'2022'!$I$24:$I$112,A83)+COUNTIFS('2023'!$L$24:$L$112,A83&amp;" / "&amp;B83,'2023'!$I$24:$I$112,A83)+COUNTIFS('2024'!$L$24:$L$112,A83&amp;" / "&amp;B83,'2024'!$I$24:$I$112,A83)+COUNTIFS('2025'!$L$24:$L$112,A83&amp;" / "&amp;B83,'2025'!$I$24:$I$112,A83)</x:f>
        <x:v>6</x:v>
      </x:c>
      <x:c r="E83" s="2" t="n">
        <x:f>COUNTIFS('2015'!$L$24:$L$96,A83&amp;" / "&amp;B83,'2015'!$I$24:$I$96,B83)+COUNTIFS('2016'!$L$24:$L$96,A83&amp;" / "&amp;B83,'2016'!$I$24:$I$96,B83)+COUNTIFS('2017'!$L$24:$L$106,A83&amp;" / "&amp;B83,'2017'!$I$24:$I$106,B83)+COUNTIFS('2018'!$L$24:$L$106,A83&amp;" / "&amp;B83,'2018'!$I$24:$I$106,B83)+COUNTIFS('2019'!$L$24:$L$106,A83&amp;" / "&amp;B83,'2019'!$I$24:$I$106,B83)+COUNTIFS('2020'!$L$24:$L$106,A83&amp;" / "&amp;B83,'2020'!$I$24:$I$106,B83)+COUNTIFS('2021'!$L$24:$L$112,A83&amp;" / "&amp;B83,'2021'!$I$24:$I$112,B83)+COUNTIFS('2022'!$L$24:$L$112,A83&amp;" / "&amp;B83,'2022'!$I$24:$I$112,B83)+COUNTIFS('2023'!$L$24:$L$112,A83&amp;" / "&amp;B83,'2023'!$I$24:$I$112,B83)+COUNTIFS('2024'!$L$24:$L$112,A83&amp;" / "&amp;B83,'2024'!$I$24:$I$112,B83)+COUNTIFS('2025'!$L$24:$L$112,A83&amp;" / "&amp;B83,'2025'!$I$24:$I$112,B83)</x:f>
        <x:v>4</x:v>
      </x:c>
      <x:c r="F83" s="2" t="n">
        <x:f>COUNTIFS('2015'!$L$24:$L$96,A83&amp;" / "&amp;B83,'2015'!$K$24:$K$96,1)+COUNTIFS('2016'!$L$24:$L$96,A83&amp;" / "&amp;B83,'2016'!$K$24:$K$96,1)+COUNTIFS('2017'!$L$24:$L$106,A83&amp;" / "&amp;B83,'2017'!$K$24:$K$106,1)+COUNTIFS('2018'!$L$24:$L$106,A83&amp;" / "&amp;B83,'2018'!$K$24:$K$106,1)+COUNTIFS('2019'!$L$24:$L$106,A83&amp;" / "&amp;B83,'2019'!$K$24:$K$106,1)+COUNTIFS('2020'!$L$24:$L$106,A83&amp;" / "&amp;B83,'2020'!$K$24:$K$106,1)+COUNTIFS('2021'!$L$24:$L$112,A83&amp;" / "&amp;B83,'2021'!$K$24:$K$112,1)+COUNTIFS('2022'!$L$24:$L$112,A83&amp;" / "&amp;B83,'2022'!$K$24:$K$112,1)+COUNTIFS('2023'!$L$24:$L$112,A83&amp;" / "&amp;B83,'2023'!$K$24:$K$112,1)+COUNTIFS('2024'!$L$24:$L$112,A83&amp;" / "&amp;B83,'2024'!$K$24:$K$112,1)+COUNTIFS('2025'!$L$24:$L$112,A83&amp;" / "&amp;B83,'2025'!$K$24:$K$112,1)</x:f>
        <x:v>0</x:v>
      </x:c>
      <x:c r="G83" s="25" t="n">
        <x:f>SUMIFS('2015'!$E$24:$E$96,'2015'!$L$24:$L$96,A83&amp;" / "&amp;B83,'2015'!$C$24:$C$96,A83)+SUMIFS('2015'!$H$24:$H$96,'2015'!$L$24:$L$96,A83&amp;" / "&amp;B83,'2015'!$F$24:$F$96,A83)+SUMIFS('2016'!$E$24:$E$96,'2016'!$L$24:$L$96,A83&amp;" / "&amp;B83,'2016'!$C$24:$C$96,A83)+SUMIFS('2016'!$H$24:$H$96,'2016'!$L$24:$L$96,A83&amp;" / "&amp;B83,'2016'!$F$24:$F$96,A83)+SUMIFS('2017'!$E$24:$E$106,'2017'!$L$24:$L$106,A83&amp;" / "&amp;B83,'2017'!$C$24:$C$106,A83)+SUMIFS('2017'!$H$24:$H$106,'2017'!$L$24:$L$106,A83&amp;" / "&amp;B83,'2017'!$F$24:$F$106,A83)+SUMIFS('2018'!$E$24:$E$106,'2018'!$L$24:$L$106,A83&amp;" / "&amp;B83,'2018'!$C$24:$C$106,A83)+SUMIFS('2018'!$H$24:$H$106,'2018'!$L$24:$L$106,A83&amp;" / "&amp;B83,'2018'!$F$24:$F$106,A83)+SUMIFS('2019'!$E$24:$E$106,'2019'!$L$24:$L$106,A83&amp;" / "&amp;B83,'2019'!$C$24:$C$106,A83)+SUMIFS('2019'!$H$24:$H$106,'2019'!$L$24:$L$106,A83&amp;" / "&amp;B83,'2019'!$F$24:$F$106,A83)+SUMIFS('2020'!$E$24:$E$106,'2020'!$L$24:$L$106,A83&amp;" / "&amp;B83,'2020'!$C$24:$C$106,A83)+SUMIFS('2020'!$H$24:$H$106,'2020'!$L$24:$L$106,A83&amp;" / "&amp;B83,'2020'!$F$24:$F$106,A83)+SUMIFS('2021'!$E$24:$E$112,'2021'!$L$24:$L$112,A83&amp;" / "&amp;B83,'2021'!$C$24:$C$112,A83)+SUMIFS('2021'!$H$24:$H$112,'2021'!$L$24:$L$112,A83&amp;" / "&amp;B83,'2021'!$F$24:$F$112,A83)+SUMIFS('2022'!$E$24:$E$112,'2022'!$L$24:$L$112,A83&amp;" / "&amp;B83,'2022'!$C$24:$C$112,A83)+SUMIFS('2022'!$H$24:$H$112,'2022'!$L$24:$L$112,A83&amp;" / "&amp;B83,'2022'!$F$24:$F$112,A83)+SUMIFS('2023'!$E$24:$E$112,'2023'!$L$24:$L$112,A83&amp;" / "&amp;B83,'2023'!$C$24:$C$112,A83)+SUMIFS('2023'!$H$24:$H$112,'2023'!$L$24:$L$112,A83&amp;" / "&amp;B83,'2023'!$F$24:$F$112,A83)+SUMIFS('2024'!$E$24:$E$112,'2024'!$L$24:$L$112,A83&amp;" / "&amp;B83,'2024'!$C$24:$C$112,A83)+SUMIFS('2024'!$H$24:$H$112,'2024'!$L$24:$L$112,A83&amp;" / "&amp;B83,'2024'!$F$24:$F$112,A83)+SUMIFS('2025'!$E$24:$E$112,'2025'!$L$24:$L$112,A83&amp;" / "&amp;B83,'2025'!$C$24:$C$112,A83)+SUMIFS('2025'!$H$24:$H$112,'2025'!$L$24:$L$112,A83&amp;" / "&amp;B83,'2025'!$F$24:$F$112,A83)</x:f>
        <x:v>1119.55</x:v>
      </x:c>
      <x:c r="H83" s="25" t="n">
        <x:f>SUMIFS('2015'!$E$24:$E$96,'2015'!$L$24:$L$96,A83&amp;" / "&amp;B83,'2015'!$C$24:$C$96,B83)+SUMIFS('2015'!$H$24:$H$96,'2015'!$L$24:$L$96,A83&amp;" / "&amp;B83,'2015'!$F$24:$F$96,B83)+SUMIFS('2016'!$E$24:$E$96,'2016'!$L$24:$L$96,A83&amp;" / "&amp;B83,'2016'!$C$24:$C$96,B83)+SUMIFS('2016'!$H$24:$H$96,'2016'!$L$24:$L$96,A83&amp;" / "&amp;B83,'2016'!$F$24:$F$96,B83)+SUMIFS('2017'!$E$24:$E$106,'2017'!$L$24:$L$106,A83&amp;" / "&amp;B83,'2017'!$C$24:$C$106,B83)+SUMIFS('2017'!$H$24:$H$106,'2017'!$L$24:$L$106,A83&amp;" / "&amp;B83,'2017'!$F$24:$F$106,B83)+SUMIFS('2018'!$E$24:$E$106,'2018'!$L$24:$L$106,A83&amp;" / "&amp;B83,'2018'!$C$24:$C$106,B83)+SUMIFS('2018'!$H$24:$H$106,'2018'!$L$24:$L$106,A83&amp;" / "&amp;B83,'2018'!$F$24:$F$106,B83)+SUMIFS('2019'!$E$24:$E$106,'2019'!$L$24:$L$106,A83&amp;" / "&amp;B83,'2019'!$C$24:$C$106,B83)+SUMIFS('2019'!$H$24:$H$106,'2019'!$L$24:$L$106,A83&amp;" / "&amp;B83,'2019'!$F$24:$F$106,B83)+SUMIFS('2020'!$E$24:$E$106,'2020'!$L$24:$L$106,A83&amp;" / "&amp;B83,'2020'!$C$24:$C$106,B83)+SUMIFS('2020'!$H$24:$H$106,'2020'!$L$24:$L$106,A83&amp;" / "&amp;B83,'2020'!$F$24:$F$106,B83)+SUMIFS('2021'!$E$24:$E$112,'2021'!$L$24:$L$112,A83&amp;" / "&amp;B83,'2021'!$C$24:$C$112,B83)+SUMIFS('2021'!$H$24:$H$112,'2021'!$L$24:$L$112,A83&amp;" / "&amp;B83,'2021'!$F$24:$F$112,B83)+SUMIFS('2022'!$E$24:$E$112,'2022'!$L$24:$L$112,A83&amp;" / "&amp;B83,'2022'!$C$24:$C$112,B83)+SUMIFS('2022'!$H$24:$H$112,'2022'!$L$24:$L$112,A83&amp;" / "&amp;B83,'2022'!$F$24:$F$112,B83)+SUMIFS('2023'!$E$24:$E$112,'2023'!$L$24:$L$112,A83&amp;" / "&amp;B83,'2023'!$C$24:$C$112,B83)+SUMIFS('2023'!$H$24:$H$112,'2023'!$L$24:$L$112,A83&amp;" / "&amp;B83,'2023'!$F$24:$F$112,B83)+SUMIFS('2024'!$E$24:$E$112,'2024'!$L$24:$L$112,A83&amp;" / "&amp;B83,'2024'!$C$24:$C$112,B83)+SUMIFS('2024'!$H$24:$H$112,'2024'!$L$24:$L$112,A83&amp;" / "&amp;B83,'2024'!$F$24:$F$112,B83)+SUMIFS('2025'!$E$24:$E$112,'2025'!$L$24:$L$112,A83&amp;" / "&amp;B83,'2025'!$C$24:$C$112,B83)+SUMIFS('2025'!$H$24:$H$112,'2025'!$L$24:$L$112,A83&amp;" / "&amp;B83,'2025'!$F$24:$F$112,B83)</x:f>
        <x:v>1088.9</x:v>
      </x:c>
      <x:c r="I83" s="11" t="n">
        <x:f>IF(C83=0,0,(D83+0.5*F83)/C83)</x:f>
        <x:v>0.6</x:v>
      </x:c>
      <x:c r="J83" s="2" t="n">
        <x:f>COUNTIFS('2015'!$L$24:$L$96,A83&amp;" / "&amp;B83,'2015'!$B$24:$B$96,"Regular")+COUNTIFS('2016'!$L$24:$L$96,A83&amp;" / "&amp;B83,'2016'!$B$24:$B$96,"Regular")+COUNTIFS('2017'!$L$24:$L$106,A83&amp;" / "&amp;B83,'2017'!$B$24:$B$106,"Regular")+COUNTIFS('2018'!$L$24:$L$106,A83&amp;" / "&amp;B83,'2018'!$B$24:$B$106,"Regular")+COUNTIFS('2019'!$L$24:$L$106,A83&amp;" / "&amp;B83,'2019'!$B$24:$B$106,"Regular")+COUNTIFS('2020'!$L$24:$L$106,A83&amp;" / "&amp;B83,'2020'!$B$24:$B$106,"Regular")+COUNTIFS('2021'!$L$24:$L$112,A83&amp;" / "&amp;B83,'2021'!$B$24:$B$112,"Regular")+COUNTIFS('2022'!$L$24:$L$112,A83&amp;" / "&amp;B83,'2022'!$B$24:$B$112,"Regular")+COUNTIFS('2023'!$L$24:$L$112,A83&amp;" / "&amp;B83,'2023'!$B$24:$B$112,"Regular")+COUNTIFS('2024'!$L$24:$L$112,A83&amp;" / "&amp;B83,'2024'!$B$24:$B$112,"Regular")+COUNTIFS('2025'!$L$24:$L$112,A83&amp;" / "&amp;B83,'2025'!$B$24:$B$112,"Regular")</x:f>
        <x:v>10</x:v>
      </x:c>
      <x:c r="K83" s="2" t="n">
        <x:f>COUNTIFS('2015'!$L$24:$L$96,A83&amp;" / "&amp;B83,'2015'!$B$24:$B$96,"Playoffs")+COUNTIFS('2016'!$L$24:$L$96,A83&amp;" / "&amp;B83,'2016'!$B$24:$B$96,"Playoffs")+COUNTIFS('2017'!$L$24:$L$106,A83&amp;" / "&amp;B83,'2017'!$B$24:$B$106,"Playoffs")+COUNTIFS('2018'!$L$24:$L$106,A83&amp;" / "&amp;B83,'2018'!$B$24:$B$106,"Playoffs")+COUNTIFS('2019'!$L$24:$L$106,A83&amp;" / "&amp;B83,'2019'!$B$24:$B$106,"Playoffs")+COUNTIFS('2020'!$L$24:$L$106,A83&amp;" / "&amp;B83,'2020'!$B$24:$B$106,"Playoffs")+COUNTIFS('2021'!$L$24:$L$112,A83&amp;" / "&amp;B83,'2021'!$B$24:$B$112,"Playoffs")+COUNTIFS('2022'!$L$24:$L$112,A83&amp;" / "&amp;B83,'2022'!$B$24:$B$112,"Playoffs")+COUNTIFS('2023'!$L$24:$L$112,A83&amp;" / "&amp;B83,'2023'!$B$24:$B$112,"Playoffs")+COUNTIFS('2024'!$L$24:$L$112,A83&amp;" / "&amp;B83,'2024'!$B$24:$B$112,"Playoffs")+COUNTIFS('2025'!$L$24:$L$112,A83&amp;" / "&amp;B83,'2025'!$B$24:$B$112,"Playoffs")</x:f>
        <x:v>0</x:v>
      </x:c>
      <x:c r="L83" s="2" t="n">
        <x:f>COUNTIFS('2015'!$L$24:$L$96,A83&amp;" / "&amp;B83,'2015'!$B$24:$B$96,"Unconfirmed")+COUNTIFS('2016'!$L$24:$L$96,A83&amp;" / "&amp;B83,'2016'!$B$24:$B$96,"Unconfirmed")+COUNTIFS('2017'!$L$24:$L$106,A83&amp;" / "&amp;B83,'2017'!$B$24:$B$106,"Unconfirmed")+COUNTIFS('2018'!$L$24:$L$106,A83&amp;" / "&amp;B83,'2018'!$B$24:$B$106,"Unconfirmed")+COUNTIFS('2019'!$L$24:$L$106,A83&amp;" / "&amp;B83,'2019'!$B$24:$B$106,"Unconfirmed")+COUNTIFS('2020'!$L$24:$L$106,A83&amp;" / "&amp;B83,'2020'!$B$24:$B$106,"Unconfirmed")+COUNTIFS('2021'!$L$24:$L$112,A83&amp;" / "&amp;B83,'2021'!$B$24:$B$112,"Unconfirmed")+COUNTIFS('2022'!$L$24:$L$112,A83&amp;" / "&amp;B83,'2022'!$B$24:$B$112,"Unconfirmed")+COUNTIFS('2023'!$L$24:$L$112,A83&amp;" / "&amp;B83,'2023'!$B$24:$B$112,"Unconfirmed")+COUNTIFS('2024'!$L$24:$L$112,A83&amp;" / "&amp;B83,'2024'!$B$24:$B$112,"Unconfirmed")+COUNTIFS('2025'!$L$24:$L$112,A83&amp;" / "&amp;B83,'2025'!$B$24:$B$112,"Unconfirmed")</x:f>
        <x:v>0</x:v>
      </x:c>
    </x:row>
    <x:row r="84" ht="22" customHeight="1">
      <x:c r="A84" s="2" t="str">
        <x:v>Dave</x:v>
      </x:c>
      <x:c r="B84" s="2" t="str">
        <x:v>Matt</x:v>
      </x:c>
      <x:c r="C84" s="2" t="n">
        <x:f>COUNTIFS('2015'!$L$24:$L$96,A84&amp;" / "&amp;B84)+COUNTIFS('2016'!$L$24:$L$96,A84&amp;" / "&amp;B84)+COUNTIFS('2017'!$L$24:$L$106,A84&amp;" / "&amp;B84)+COUNTIFS('2018'!$L$24:$L$106,A84&amp;" / "&amp;B84)+COUNTIFS('2019'!$L$24:$L$106,A84&amp;" / "&amp;B84)+COUNTIFS('2020'!$L$24:$L$106,A84&amp;" / "&amp;B84)+COUNTIFS('2021'!$L$24:$L$112,A84&amp;" / "&amp;B84)+COUNTIFS('2022'!$L$24:$L$112,A84&amp;" / "&amp;B84)+COUNTIFS('2023'!$L$24:$L$112,A84&amp;" / "&amp;B84)+COUNTIFS('2024'!$L$24:$L$112,A84&amp;" / "&amp;B84)+COUNTIFS('2025'!$L$24:$L$112,A84&amp;" / "&amp;B84)</x:f>
        <x:v>8</x:v>
      </x:c>
      <x:c r="D84" s="2" t="n">
        <x:f>COUNTIFS('2015'!$L$24:$L$96,A84&amp;" / "&amp;B84,'2015'!$I$24:$I$96,A84)+COUNTIFS('2016'!$L$24:$L$96,A84&amp;" / "&amp;B84,'2016'!$I$24:$I$96,A84)+COUNTIFS('2017'!$L$24:$L$106,A84&amp;" / "&amp;B84,'2017'!$I$24:$I$106,A84)+COUNTIFS('2018'!$L$24:$L$106,A84&amp;" / "&amp;B84,'2018'!$I$24:$I$106,A84)+COUNTIFS('2019'!$L$24:$L$106,A84&amp;" / "&amp;B84,'2019'!$I$24:$I$106,A84)+COUNTIFS('2020'!$L$24:$L$106,A84&amp;" / "&amp;B84,'2020'!$I$24:$I$106,A84)+COUNTIFS('2021'!$L$24:$L$112,A84&amp;" / "&amp;B84,'2021'!$I$24:$I$112,A84)+COUNTIFS('2022'!$L$24:$L$112,A84&amp;" / "&amp;B84,'2022'!$I$24:$I$112,A84)+COUNTIFS('2023'!$L$24:$L$112,A84&amp;" / "&amp;B84,'2023'!$I$24:$I$112,A84)+COUNTIFS('2024'!$L$24:$L$112,A84&amp;" / "&amp;B84,'2024'!$I$24:$I$112,A84)+COUNTIFS('2025'!$L$24:$L$112,A84&amp;" / "&amp;B84,'2025'!$I$24:$I$112,A84)</x:f>
        <x:v>4</x:v>
      </x:c>
      <x:c r="E84" s="2" t="n">
        <x:f>COUNTIFS('2015'!$L$24:$L$96,A84&amp;" / "&amp;B84,'2015'!$I$24:$I$96,B84)+COUNTIFS('2016'!$L$24:$L$96,A84&amp;" / "&amp;B84,'2016'!$I$24:$I$96,B84)+COUNTIFS('2017'!$L$24:$L$106,A84&amp;" / "&amp;B84,'2017'!$I$24:$I$106,B84)+COUNTIFS('2018'!$L$24:$L$106,A84&amp;" / "&amp;B84,'2018'!$I$24:$I$106,B84)+COUNTIFS('2019'!$L$24:$L$106,A84&amp;" / "&amp;B84,'2019'!$I$24:$I$106,B84)+COUNTIFS('2020'!$L$24:$L$106,A84&amp;" / "&amp;B84,'2020'!$I$24:$I$106,B84)+COUNTIFS('2021'!$L$24:$L$112,A84&amp;" / "&amp;B84,'2021'!$I$24:$I$112,B84)+COUNTIFS('2022'!$L$24:$L$112,A84&amp;" / "&amp;B84,'2022'!$I$24:$I$112,B84)+COUNTIFS('2023'!$L$24:$L$112,A84&amp;" / "&amp;B84,'2023'!$I$24:$I$112,B84)+COUNTIFS('2024'!$L$24:$L$112,A84&amp;" / "&amp;B84,'2024'!$I$24:$I$112,B84)+COUNTIFS('2025'!$L$24:$L$112,A84&amp;" / "&amp;B84,'2025'!$I$24:$I$112,B84)</x:f>
        <x:v>4</x:v>
      </x:c>
      <x:c r="F84" s="2" t="n">
        <x:f>COUNTIFS('2015'!$L$24:$L$96,A84&amp;" / "&amp;B84,'2015'!$K$24:$K$96,1)+COUNTIFS('2016'!$L$24:$L$96,A84&amp;" / "&amp;B84,'2016'!$K$24:$K$96,1)+COUNTIFS('2017'!$L$24:$L$106,A84&amp;" / "&amp;B84,'2017'!$K$24:$K$106,1)+COUNTIFS('2018'!$L$24:$L$106,A84&amp;" / "&amp;B84,'2018'!$K$24:$K$106,1)+COUNTIFS('2019'!$L$24:$L$106,A84&amp;" / "&amp;B84,'2019'!$K$24:$K$106,1)+COUNTIFS('2020'!$L$24:$L$106,A84&amp;" / "&amp;B84,'2020'!$K$24:$K$106,1)+COUNTIFS('2021'!$L$24:$L$112,A84&amp;" / "&amp;B84,'2021'!$K$24:$K$112,1)+COUNTIFS('2022'!$L$24:$L$112,A84&amp;" / "&amp;B84,'2022'!$K$24:$K$112,1)+COUNTIFS('2023'!$L$24:$L$112,A84&amp;" / "&amp;B84,'2023'!$K$24:$K$112,1)+COUNTIFS('2024'!$L$24:$L$112,A84&amp;" / "&amp;B84,'2024'!$K$24:$K$112,1)+COUNTIFS('2025'!$L$24:$L$112,A84&amp;" / "&amp;B84,'2025'!$K$24:$K$112,1)</x:f>
        <x:v>0</x:v>
      </x:c>
      <x:c r="G84" s="25" t="n">
        <x:f>SUMIFS('2015'!$E$24:$E$96,'2015'!$L$24:$L$96,A84&amp;" / "&amp;B84,'2015'!$C$24:$C$96,A84)+SUMIFS('2015'!$H$24:$H$96,'2015'!$L$24:$L$96,A84&amp;" / "&amp;B84,'2015'!$F$24:$F$96,A84)+SUMIFS('2016'!$E$24:$E$96,'2016'!$L$24:$L$96,A84&amp;" / "&amp;B84,'2016'!$C$24:$C$96,A84)+SUMIFS('2016'!$H$24:$H$96,'2016'!$L$24:$L$96,A84&amp;" / "&amp;B84,'2016'!$F$24:$F$96,A84)+SUMIFS('2017'!$E$24:$E$106,'2017'!$L$24:$L$106,A84&amp;" / "&amp;B84,'2017'!$C$24:$C$106,A84)+SUMIFS('2017'!$H$24:$H$106,'2017'!$L$24:$L$106,A84&amp;" / "&amp;B84,'2017'!$F$24:$F$106,A84)+SUMIFS('2018'!$E$24:$E$106,'2018'!$L$24:$L$106,A84&amp;" / "&amp;B84,'2018'!$C$24:$C$106,A84)+SUMIFS('2018'!$H$24:$H$106,'2018'!$L$24:$L$106,A84&amp;" / "&amp;B84,'2018'!$F$24:$F$106,A84)+SUMIFS('2019'!$E$24:$E$106,'2019'!$L$24:$L$106,A84&amp;" / "&amp;B84,'2019'!$C$24:$C$106,A84)+SUMIFS('2019'!$H$24:$H$106,'2019'!$L$24:$L$106,A84&amp;" / "&amp;B84,'2019'!$F$24:$F$106,A84)+SUMIFS('2020'!$E$24:$E$106,'2020'!$L$24:$L$106,A84&amp;" / "&amp;B84,'2020'!$C$24:$C$106,A84)+SUMIFS('2020'!$H$24:$H$106,'2020'!$L$24:$L$106,A84&amp;" / "&amp;B84,'2020'!$F$24:$F$106,A84)+SUMIFS('2021'!$E$24:$E$112,'2021'!$L$24:$L$112,A84&amp;" / "&amp;B84,'2021'!$C$24:$C$112,A84)+SUMIFS('2021'!$H$24:$H$112,'2021'!$L$24:$L$112,A84&amp;" / "&amp;B84,'2021'!$F$24:$F$112,A84)+SUMIFS('2022'!$E$24:$E$112,'2022'!$L$24:$L$112,A84&amp;" / "&amp;B84,'2022'!$C$24:$C$112,A84)+SUMIFS('2022'!$H$24:$H$112,'2022'!$L$24:$L$112,A84&amp;" / "&amp;B84,'2022'!$F$24:$F$112,A84)+SUMIFS('2023'!$E$24:$E$112,'2023'!$L$24:$L$112,A84&amp;" / "&amp;B84,'2023'!$C$24:$C$112,A84)+SUMIFS('2023'!$H$24:$H$112,'2023'!$L$24:$L$112,A84&amp;" / "&amp;B84,'2023'!$F$24:$F$112,A84)+SUMIFS('2024'!$E$24:$E$112,'2024'!$L$24:$L$112,A84&amp;" / "&amp;B84,'2024'!$C$24:$C$112,A84)+SUMIFS('2024'!$H$24:$H$112,'2024'!$L$24:$L$112,A84&amp;" / "&amp;B84,'2024'!$F$24:$F$112,A84)+SUMIFS('2025'!$E$24:$E$112,'2025'!$L$24:$L$112,A84&amp;" / "&amp;B84,'2025'!$C$24:$C$112,A84)+SUMIFS('2025'!$H$24:$H$112,'2025'!$L$24:$L$112,A84&amp;" / "&amp;B84,'2025'!$F$24:$F$112,A84)</x:f>
        <x:v>902.4499999999999</x:v>
      </x:c>
      <x:c r="H84" s="25" t="n">
        <x:f>SUMIFS('2015'!$E$24:$E$96,'2015'!$L$24:$L$96,A84&amp;" / "&amp;B84,'2015'!$C$24:$C$96,B84)+SUMIFS('2015'!$H$24:$H$96,'2015'!$L$24:$L$96,A84&amp;" / "&amp;B84,'2015'!$F$24:$F$96,B84)+SUMIFS('2016'!$E$24:$E$96,'2016'!$L$24:$L$96,A84&amp;" / "&amp;B84,'2016'!$C$24:$C$96,B84)+SUMIFS('2016'!$H$24:$H$96,'2016'!$L$24:$L$96,A84&amp;" / "&amp;B84,'2016'!$F$24:$F$96,B84)+SUMIFS('2017'!$E$24:$E$106,'2017'!$L$24:$L$106,A84&amp;" / "&amp;B84,'2017'!$C$24:$C$106,B84)+SUMIFS('2017'!$H$24:$H$106,'2017'!$L$24:$L$106,A84&amp;" / "&amp;B84,'2017'!$F$24:$F$106,B84)+SUMIFS('2018'!$E$24:$E$106,'2018'!$L$24:$L$106,A84&amp;" / "&amp;B84,'2018'!$C$24:$C$106,B84)+SUMIFS('2018'!$H$24:$H$106,'2018'!$L$24:$L$106,A84&amp;" / "&amp;B84,'2018'!$F$24:$F$106,B84)+SUMIFS('2019'!$E$24:$E$106,'2019'!$L$24:$L$106,A84&amp;" / "&amp;B84,'2019'!$C$24:$C$106,B84)+SUMIFS('2019'!$H$24:$H$106,'2019'!$L$24:$L$106,A84&amp;" / "&amp;B84,'2019'!$F$24:$F$106,B84)+SUMIFS('2020'!$E$24:$E$106,'2020'!$L$24:$L$106,A84&amp;" / "&amp;B84,'2020'!$C$24:$C$106,B84)+SUMIFS('2020'!$H$24:$H$106,'2020'!$L$24:$L$106,A84&amp;" / "&amp;B84,'2020'!$F$24:$F$106,B84)+SUMIFS('2021'!$E$24:$E$112,'2021'!$L$24:$L$112,A84&amp;" / "&amp;B84,'2021'!$C$24:$C$112,B84)+SUMIFS('2021'!$H$24:$H$112,'2021'!$L$24:$L$112,A84&amp;" / "&amp;B84,'2021'!$F$24:$F$112,B84)+SUMIFS('2022'!$E$24:$E$112,'2022'!$L$24:$L$112,A84&amp;" / "&amp;B84,'2022'!$C$24:$C$112,B84)+SUMIFS('2022'!$H$24:$H$112,'2022'!$L$24:$L$112,A84&amp;" / "&amp;B84,'2022'!$F$24:$F$112,B84)+SUMIFS('2023'!$E$24:$E$112,'2023'!$L$24:$L$112,A84&amp;" / "&amp;B84,'2023'!$C$24:$C$112,B84)+SUMIFS('2023'!$H$24:$H$112,'2023'!$L$24:$L$112,A84&amp;" / "&amp;B84,'2023'!$F$24:$F$112,B84)+SUMIFS('2024'!$E$24:$E$112,'2024'!$L$24:$L$112,A84&amp;" / "&amp;B84,'2024'!$C$24:$C$112,B84)+SUMIFS('2024'!$H$24:$H$112,'2024'!$L$24:$L$112,A84&amp;" / "&amp;B84,'2024'!$F$24:$F$112,B84)+SUMIFS('2025'!$E$24:$E$112,'2025'!$L$24:$L$112,A84&amp;" / "&amp;B84,'2025'!$C$24:$C$112,B84)+SUMIFS('2025'!$H$24:$H$112,'2025'!$L$24:$L$112,A84&amp;" / "&amp;B84,'2025'!$F$24:$F$112,B84)</x:f>
        <x:v>887.2</x:v>
      </x:c>
      <x:c r="I84" s="11" t="n">
        <x:f>IF(C84=0,0,(D84+0.5*F84)/C84)</x:f>
        <x:v>0.5</x:v>
      </x:c>
      <x:c r="J84" s="2" t="n">
        <x:f>COUNTIFS('2015'!$L$24:$L$96,A84&amp;" / "&amp;B84,'2015'!$B$24:$B$96,"Regular")+COUNTIFS('2016'!$L$24:$L$96,A84&amp;" / "&amp;B84,'2016'!$B$24:$B$96,"Regular")+COUNTIFS('2017'!$L$24:$L$106,A84&amp;" / "&amp;B84,'2017'!$B$24:$B$106,"Regular")+COUNTIFS('2018'!$L$24:$L$106,A84&amp;" / "&amp;B84,'2018'!$B$24:$B$106,"Regular")+COUNTIFS('2019'!$L$24:$L$106,A84&amp;" / "&amp;B84,'2019'!$B$24:$B$106,"Regular")+COUNTIFS('2020'!$L$24:$L$106,A84&amp;" / "&amp;B84,'2020'!$B$24:$B$106,"Regular")+COUNTIFS('2021'!$L$24:$L$112,A84&amp;" / "&amp;B84,'2021'!$B$24:$B$112,"Regular")+COUNTIFS('2022'!$L$24:$L$112,A84&amp;" / "&amp;B84,'2022'!$B$24:$B$112,"Regular")+COUNTIFS('2023'!$L$24:$L$112,A84&amp;" / "&amp;B84,'2023'!$B$24:$B$112,"Regular")+COUNTIFS('2024'!$L$24:$L$112,A84&amp;" / "&amp;B84,'2024'!$B$24:$B$112,"Regular")+COUNTIFS('2025'!$L$24:$L$112,A84&amp;" / "&amp;B84,'2025'!$B$24:$B$112,"Regular")</x:f>
        <x:v>8</x:v>
      </x:c>
      <x:c r="K84" s="2" t="n">
        <x:f>COUNTIFS('2015'!$L$24:$L$96,A84&amp;" / "&amp;B84,'2015'!$B$24:$B$96,"Playoffs")+COUNTIFS('2016'!$L$24:$L$96,A84&amp;" / "&amp;B84,'2016'!$B$24:$B$96,"Playoffs")+COUNTIFS('2017'!$L$24:$L$106,A84&amp;" / "&amp;B84,'2017'!$B$24:$B$106,"Playoffs")+COUNTIFS('2018'!$L$24:$L$106,A84&amp;" / "&amp;B84,'2018'!$B$24:$B$106,"Playoffs")+COUNTIFS('2019'!$L$24:$L$106,A84&amp;" / "&amp;B84,'2019'!$B$24:$B$106,"Playoffs")+COUNTIFS('2020'!$L$24:$L$106,A84&amp;" / "&amp;B84,'2020'!$B$24:$B$106,"Playoffs")+COUNTIFS('2021'!$L$24:$L$112,A84&amp;" / "&amp;B84,'2021'!$B$24:$B$112,"Playoffs")+COUNTIFS('2022'!$L$24:$L$112,A84&amp;" / "&amp;B84,'2022'!$B$24:$B$112,"Playoffs")+COUNTIFS('2023'!$L$24:$L$112,A84&amp;" / "&amp;B84,'2023'!$B$24:$B$112,"Playoffs")+COUNTIFS('2024'!$L$24:$L$112,A84&amp;" / "&amp;B84,'2024'!$B$24:$B$112,"Playoffs")+COUNTIFS('2025'!$L$24:$L$112,A84&amp;" / "&amp;B84,'2025'!$B$24:$B$112,"Playoffs")</x:f>
        <x:v>0</x:v>
      </x:c>
      <x:c r="L84" s="2" t="n">
        <x:f>COUNTIFS('2015'!$L$24:$L$96,A84&amp;" / "&amp;B84,'2015'!$B$24:$B$96,"Unconfirmed")+COUNTIFS('2016'!$L$24:$L$96,A84&amp;" / "&amp;B84,'2016'!$B$24:$B$96,"Unconfirmed")+COUNTIFS('2017'!$L$24:$L$106,A84&amp;" / "&amp;B84,'2017'!$B$24:$B$106,"Unconfirmed")+COUNTIFS('2018'!$L$24:$L$106,A84&amp;" / "&amp;B84,'2018'!$B$24:$B$106,"Unconfirmed")+COUNTIFS('2019'!$L$24:$L$106,A84&amp;" / "&amp;B84,'2019'!$B$24:$B$106,"Unconfirmed")+COUNTIFS('2020'!$L$24:$L$106,A84&amp;" / "&amp;B84,'2020'!$B$24:$B$106,"Unconfirmed")+COUNTIFS('2021'!$L$24:$L$112,A84&amp;" / "&amp;B84,'2021'!$B$24:$B$112,"Unconfirmed")+COUNTIFS('2022'!$L$24:$L$112,A84&amp;" / "&amp;B84,'2022'!$B$24:$B$112,"Unconfirmed")+COUNTIFS('2023'!$L$24:$L$112,A84&amp;" / "&amp;B84,'2023'!$B$24:$B$112,"Unconfirmed")+COUNTIFS('2024'!$L$24:$L$112,A84&amp;" / "&amp;B84,'2024'!$B$24:$B$112,"Unconfirmed")+COUNTIFS('2025'!$L$24:$L$112,A84&amp;" / "&amp;B84,'2025'!$B$24:$B$112,"Unconfirmed")</x:f>
        <x:v>0</x:v>
      </x:c>
    </x:row>
    <x:row r="85" ht="22" customHeight="1">
      <x:c r="A85" s="2" t="str">
        <x:v>Dave</x:v>
      </x:c>
      <x:c r="B85" s="2" t="str">
        <x:v>Michael</x:v>
      </x:c>
      <x:c r="C85" s="2" t="n">
        <x:f>COUNTIFS('2015'!$L$24:$L$96,A85&amp;" / "&amp;B85)+COUNTIFS('2016'!$L$24:$L$96,A85&amp;" / "&amp;B85)+COUNTIFS('2017'!$L$24:$L$106,A85&amp;" / "&amp;B85)+COUNTIFS('2018'!$L$24:$L$106,A85&amp;" / "&amp;B85)+COUNTIFS('2019'!$L$24:$L$106,A85&amp;" / "&amp;B85)+COUNTIFS('2020'!$L$24:$L$106,A85&amp;" / "&amp;B85)+COUNTIFS('2021'!$L$24:$L$112,A85&amp;" / "&amp;B85)+COUNTIFS('2022'!$L$24:$L$112,A85&amp;" / "&amp;B85)+COUNTIFS('2023'!$L$24:$L$112,A85&amp;" / "&amp;B85)+COUNTIFS('2024'!$L$24:$L$112,A85&amp;" / "&amp;B85)+COUNTIFS('2025'!$L$24:$L$112,A85&amp;" / "&amp;B85)</x:f>
        <x:v>5</x:v>
      </x:c>
      <x:c r="D85" s="2" t="n">
        <x:f>COUNTIFS('2015'!$L$24:$L$96,A85&amp;" / "&amp;B85,'2015'!$I$24:$I$96,A85)+COUNTIFS('2016'!$L$24:$L$96,A85&amp;" / "&amp;B85,'2016'!$I$24:$I$96,A85)+COUNTIFS('2017'!$L$24:$L$106,A85&amp;" / "&amp;B85,'2017'!$I$24:$I$106,A85)+COUNTIFS('2018'!$L$24:$L$106,A85&amp;" / "&amp;B85,'2018'!$I$24:$I$106,A85)+COUNTIFS('2019'!$L$24:$L$106,A85&amp;" / "&amp;B85,'2019'!$I$24:$I$106,A85)+COUNTIFS('2020'!$L$24:$L$106,A85&amp;" / "&amp;B85,'2020'!$I$24:$I$106,A85)+COUNTIFS('2021'!$L$24:$L$112,A85&amp;" / "&amp;B85,'2021'!$I$24:$I$112,A85)+COUNTIFS('2022'!$L$24:$L$112,A85&amp;" / "&amp;B85,'2022'!$I$24:$I$112,A85)+COUNTIFS('2023'!$L$24:$L$112,A85&amp;" / "&amp;B85,'2023'!$I$24:$I$112,A85)+COUNTIFS('2024'!$L$24:$L$112,A85&amp;" / "&amp;B85,'2024'!$I$24:$I$112,A85)+COUNTIFS('2025'!$L$24:$L$112,A85&amp;" / "&amp;B85,'2025'!$I$24:$I$112,A85)</x:f>
        <x:v>1</x:v>
      </x:c>
      <x:c r="E85" s="2" t="n">
        <x:f>COUNTIFS('2015'!$L$24:$L$96,A85&amp;" / "&amp;B85,'2015'!$I$24:$I$96,B85)+COUNTIFS('2016'!$L$24:$L$96,A85&amp;" / "&amp;B85,'2016'!$I$24:$I$96,B85)+COUNTIFS('2017'!$L$24:$L$106,A85&amp;" / "&amp;B85,'2017'!$I$24:$I$106,B85)+COUNTIFS('2018'!$L$24:$L$106,A85&amp;" / "&amp;B85,'2018'!$I$24:$I$106,B85)+COUNTIFS('2019'!$L$24:$L$106,A85&amp;" / "&amp;B85,'2019'!$I$24:$I$106,B85)+COUNTIFS('2020'!$L$24:$L$106,A85&amp;" / "&amp;B85,'2020'!$I$24:$I$106,B85)+COUNTIFS('2021'!$L$24:$L$112,A85&amp;" / "&amp;B85,'2021'!$I$24:$I$112,B85)+COUNTIFS('2022'!$L$24:$L$112,A85&amp;" / "&amp;B85,'2022'!$I$24:$I$112,B85)+COUNTIFS('2023'!$L$24:$L$112,A85&amp;" / "&amp;B85,'2023'!$I$24:$I$112,B85)+COUNTIFS('2024'!$L$24:$L$112,A85&amp;" / "&amp;B85,'2024'!$I$24:$I$112,B85)+COUNTIFS('2025'!$L$24:$L$112,A85&amp;" / "&amp;B85,'2025'!$I$24:$I$112,B85)</x:f>
        <x:v>4</x:v>
      </x:c>
      <x:c r="F85" s="2" t="n">
        <x:f>COUNTIFS('2015'!$L$24:$L$96,A85&amp;" / "&amp;B85,'2015'!$K$24:$K$96,1)+COUNTIFS('2016'!$L$24:$L$96,A85&amp;" / "&amp;B85,'2016'!$K$24:$K$96,1)+COUNTIFS('2017'!$L$24:$L$106,A85&amp;" / "&amp;B85,'2017'!$K$24:$K$106,1)+COUNTIFS('2018'!$L$24:$L$106,A85&amp;" / "&amp;B85,'2018'!$K$24:$K$106,1)+COUNTIFS('2019'!$L$24:$L$106,A85&amp;" / "&amp;B85,'2019'!$K$24:$K$106,1)+COUNTIFS('2020'!$L$24:$L$106,A85&amp;" / "&amp;B85,'2020'!$K$24:$K$106,1)+COUNTIFS('2021'!$L$24:$L$112,A85&amp;" / "&amp;B85,'2021'!$K$24:$K$112,1)+COUNTIFS('2022'!$L$24:$L$112,A85&amp;" / "&amp;B85,'2022'!$K$24:$K$112,1)+COUNTIFS('2023'!$L$24:$L$112,A85&amp;" / "&amp;B85,'2023'!$K$24:$K$112,1)+COUNTIFS('2024'!$L$24:$L$112,A85&amp;" / "&amp;B85,'2024'!$K$24:$K$112,1)+COUNTIFS('2025'!$L$24:$L$112,A85&amp;" / "&amp;B85,'2025'!$K$24:$K$112,1)</x:f>
        <x:v>0</x:v>
      </x:c>
      <x:c r="G85" s="25" t="n">
        <x:f>SUMIFS('2015'!$E$24:$E$96,'2015'!$L$24:$L$96,A85&amp;" / "&amp;B85,'2015'!$C$24:$C$96,A85)+SUMIFS('2015'!$H$24:$H$96,'2015'!$L$24:$L$96,A85&amp;" / "&amp;B85,'2015'!$F$24:$F$96,A85)+SUMIFS('2016'!$E$24:$E$96,'2016'!$L$24:$L$96,A85&amp;" / "&amp;B85,'2016'!$C$24:$C$96,A85)+SUMIFS('2016'!$H$24:$H$96,'2016'!$L$24:$L$96,A85&amp;" / "&amp;B85,'2016'!$F$24:$F$96,A85)+SUMIFS('2017'!$E$24:$E$106,'2017'!$L$24:$L$106,A85&amp;" / "&amp;B85,'2017'!$C$24:$C$106,A85)+SUMIFS('2017'!$H$24:$H$106,'2017'!$L$24:$L$106,A85&amp;" / "&amp;B85,'2017'!$F$24:$F$106,A85)+SUMIFS('2018'!$E$24:$E$106,'2018'!$L$24:$L$106,A85&amp;" / "&amp;B85,'2018'!$C$24:$C$106,A85)+SUMIFS('2018'!$H$24:$H$106,'2018'!$L$24:$L$106,A85&amp;" / "&amp;B85,'2018'!$F$24:$F$106,A85)+SUMIFS('2019'!$E$24:$E$106,'2019'!$L$24:$L$106,A85&amp;" / "&amp;B85,'2019'!$C$24:$C$106,A85)+SUMIFS('2019'!$H$24:$H$106,'2019'!$L$24:$L$106,A85&amp;" / "&amp;B85,'2019'!$F$24:$F$106,A85)+SUMIFS('2020'!$E$24:$E$106,'2020'!$L$24:$L$106,A85&amp;" / "&amp;B85,'2020'!$C$24:$C$106,A85)+SUMIFS('2020'!$H$24:$H$106,'2020'!$L$24:$L$106,A85&amp;" / "&amp;B85,'2020'!$F$24:$F$106,A85)+SUMIFS('2021'!$E$24:$E$112,'2021'!$L$24:$L$112,A85&amp;" / "&amp;B85,'2021'!$C$24:$C$112,A85)+SUMIFS('2021'!$H$24:$H$112,'2021'!$L$24:$L$112,A85&amp;" / "&amp;B85,'2021'!$F$24:$F$112,A85)+SUMIFS('2022'!$E$24:$E$112,'2022'!$L$24:$L$112,A85&amp;" / "&amp;B85,'2022'!$C$24:$C$112,A85)+SUMIFS('2022'!$H$24:$H$112,'2022'!$L$24:$L$112,A85&amp;" / "&amp;B85,'2022'!$F$24:$F$112,A85)+SUMIFS('2023'!$E$24:$E$112,'2023'!$L$24:$L$112,A85&amp;" / "&amp;B85,'2023'!$C$24:$C$112,A85)+SUMIFS('2023'!$H$24:$H$112,'2023'!$L$24:$L$112,A85&amp;" / "&amp;B85,'2023'!$F$24:$F$112,A85)+SUMIFS('2024'!$E$24:$E$112,'2024'!$L$24:$L$112,A85&amp;" / "&amp;B85,'2024'!$C$24:$C$112,A85)+SUMIFS('2024'!$H$24:$H$112,'2024'!$L$24:$L$112,A85&amp;" / "&amp;B85,'2024'!$F$24:$F$112,A85)+SUMIFS('2025'!$E$24:$E$112,'2025'!$L$24:$L$112,A85&amp;" / "&amp;B85,'2025'!$C$24:$C$112,A85)+SUMIFS('2025'!$H$24:$H$112,'2025'!$L$24:$L$112,A85&amp;" / "&amp;B85,'2025'!$F$24:$F$112,A85)</x:f>
        <x:v>577.85</x:v>
      </x:c>
      <x:c r="H85" s="25" t="n">
        <x:f>SUMIFS('2015'!$E$24:$E$96,'2015'!$L$24:$L$96,A85&amp;" / "&amp;B85,'2015'!$C$24:$C$96,B85)+SUMIFS('2015'!$H$24:$H$96,'2015'!$L$24:$L$96,A85&amp;" / "&amp;B85,'2015'!$F$24:$F$96,B85)+SUMIFS('2016'!$E$24:$E$96,'2016'!$L$24:$L$96,A85&amp;" / "&amp;B85,'2016'!$C$24:$C$96,B85)+SUMIFS('2016'!$H$24:$H$96,'2016'!$L$24:$L$96,A85&amp;" / "&amp;B85,'2016'!$F$24:$F$96,B85)+SUMIFS('2017'!$E$24:$E$106,'2017'!$L$24:$L$106,A85&amp;" / "&amp;B85,'2017'!$C$24:$C$106,B85)+SUMIFS('2017'!$H$24:$H$106,'2017'!$L$24:$L$106,A85&amp;" / "&amp;B85,'2017'!$F$24:$F$106,B85)+SUMIFS('2018'!$E$24:$E$106,'2018'!$L$24:$L$106,A85&amp;" / "&amp;B85,'2018'!$C$24:$C$106,B85)+SUMIFS('2018'!$H$24:$H$106,'2018'!$L$24:$L$106,A85&amp;" / "&amp;B85,'2018'!$F$24:$F$106,B85)+SUMIFS('2019'!$E$24:$E$106,'2019'!$L$24:$L$106,A85&amp;" / "&amp;B85,'2019'!$C$24:$C$106,B85)+SUMIFS('2019'!$H$24:$H$106,'2019'!$L$24:$L$106,A85&amp;" / "&amp;B85,'2019'!$F$24:$F$106,B85)+SUMIFS('2020'!$E$24:$E$106,'2020'!$L$24:$L$106,A85&amp;" / "&amp;B85,'2020'!$C$24:$C$106,B85)+SUMIFS('2020'!$H$24:$H$106,'2020'!$L$24:$L$106,A85&amp;" / "&amp;B85,'2020'!$F$24:$F$106,B85)+SUMIFS('2021'!$E$24:$E$112,'2021'!$L$24:$L$112,A85&amp;" / "&amp;B85,'2021'!$C$24:$C$112,B85)+SUMIFS('2021'!$H$24:$H$112,'2021'!$L$24:$L$112,A85&amp;" / "&amp;B85,'2021'!$F$24:$F$112,B85)+SUMIFS('2022'!$E$24:$E$112,'2022'!$L$24:$L$112,A85&amp;" / "&amp;B85,'2022'!$C$24:$C$112,B85)+SUMIFS('2022'!$H$24:$H$112,'2022'!$L$24:$L$112,A85&amp;" / "&amp;B85,'2022'!$F$24:$F$112,B85)+SUMIFS('2023'!$E$24:$E$112,'2023'!$L$24:$L$112,A85&amp;" / "&amp;B85,'2023'!$C$24:$C$112,B85)+SUMIFS('2023'!$H$24:$H$112,'2023'!$L$24:$L$112,A85&amp;" / "&amp;B85,'2023'!$F$24:$F$112,B85)+SUMIFS('2024'!$E$24:$E$112,'2024'!$L$24:$L$112,A85&amp;" / "&amp;B85,'2024'!$C$24:$C$112,B85)+SUMIFS('2024'!$H$24:$H$112,'2024'!$L$24:$L$112,A85&amp;" / "&amp;B85,'2024'!$F$24:$F$112,B85)+SUMIFS('2025'!$E$24:$E$112,'2025'!$L$24:$L$112,A85&amp;" / "&amp;B85,'2025'!$C$24:$C$112,B85)+SUMIFS('2025'!$H$24:$H$112,'2025'!$L$24:$L$112,A85&amp;" / "&amp;B85,'2025'!$F$24:$F$112,B85)</x:f>
        <x:v>611.2</x:v>
      </x:c>
      <x:c r="I85" s="11" t="n">
        <x:f>IF(C85=0,0,(D85+0.5*F85)/C85)</x:f>
        <x:v>0.2</x:v>
      </x:c>
      <x:c r="J85" s="2" t="n">
        <x:f>COUNTIFS('2015'!$L$24:$L$96,A85&amp;" / "&amp;B85,'2015'!$B$24:$B$96,"Regular")+COUNTIFS('2016'!$L$24:$L$96,A85&amp;" / "&amp;B85,'2016'!$B$24:$B$96,"Regular")+COUNTIFS('2017'!$L$24:$L$106,A85&amp;" / "&amp;B85,'2017'!$B$24:$B$106,"Regular")+COUNTIFS('2018'!$L$24:$L$106,A85&amp;" / "&amp;B85,'2018'!$B$24:$B$106,"Regular")+COUNTIFS('2019'!$L$24:$L$106,A85&amp;" / "&amp;B85,'2019'!$B$24:$B$106,"Regular")+COUNTIFS('2020'!$L$24:$L$106,A85&amp;" / "&amp;B85,'2020'!$B$24:$B$106,"Regular")+COUNTIFS('2021'!$L$24:$L$112,A85&amp;" / "&amp;B85,'2021'!$B$24:$B$112,"Regular")+COUNTIFS('2022'!$L$24:$L$112,A85&amp;" / "&amp;B85,'2022'!$B$24:$B$112,"Regular")+COUNTIFS('2023'!$L$24:$L$112,A85&amp;" / "&amp;B85,'2023'!$B$24:$B$112,"Regular")+COUNTIFS('2024'!$L$24:$L$112,A85&amp;" / "&amp;B85,'2024'!$B$24:$B$112,"Regular")+COUNTIFS('2025'!$L$24:$L$112,A85&amp;" / "&amp;B85,'2025'!$B$24:$B$112,"Regular")</x:f>
        <x:v>5</x:v>
      </x:c>
      <x:c r="K85" s="2" t="n">
        <x:f>COUNTIFS('2015'!$L$24:$L$96,A85&amp;" / "&amp;B85,'2015'!$B$24:$B$96,"Playoffs")+COUNTIFS('2016'!$L$24:$L$96,A85&amp;" / "&amp;B85,'2016'!$B$24:$B$96,"Playoffs")+COUNTIFS('2017'!$L$24:$L$106,A85&amp;" / "&amp;B85,'2017'!$B$24:$B$106,"Playoffs")+COUNTIFS('2018'!$L$24:$L$106,A85&amp;" / "&amp;B85,'2018'!$B$24:$B$106,"Playoffs")+COUNTIFS('2019'!$L$24:$L$106,A85&amp;" / "&amp;B85,'2019'!$B$24:$B$106,"Playoffs")+COUNTIFS('2020'!$L$24:$L$106,A85&amp;" / "&amp;B85,'2020'!$B$24:$B$106,"Playoffs")+COUNTIFS('2021'!$L$24:$L$112,A85&amp;" / "&amp;B85,'2021'!$B$24:$B$112,"Playoffs")+COUNTIFS('2022'!$L$24:$L$112,A85&amp;" / "&amp;B85,'2022'!$B$24:$B$112,"Playoffs")+COUNTIFS('2023'!$L$24:$L$112,A85&amp;" / "&amp;B85,'2023'!$B$24:$B$112,"Playoffs")+COUNTIFS('2024'!$L$24:$L$112,A85&amp;" / "&amp;B85,'2024'!$B$24:$B$112,"Playoffs")+COUNTIFS('2025'!$L$24:$L$112,A85&amp;" / "&amp;B85,'2025'!$B$24:$B$112,"Playoffs")</x:f>
        <x:v>0</x:v>
      </x:c>
      <x:c r="L85" s="2" t="n">
        <x:f>COUNTIFS('2015'!$L$24:$L$96,A85&amp;" / "&amp;B85,'2015'!$B$24:$B$96,"Unconfirmed")+COUNTIFS('2016'!$L$24:$L$96,A85&amp;" / "&amp;B85,'2016'!$B$24:$B$96,"Unconfirmed")+COUNTIFS('2017'!$L$24:$L$106,A85&amp;" / "&amp;B85,'2017'!$B$24:$B$106,"Unconfirmed")+COUNTIFS('2018'!$L$24:$L$106,A85&amp;" / "&amp;B85,'2018'!$B$24:$B$106,"Unconfirmed")+COUNTIFS('2019'!$L$24:$L$106,A85&amp;" / "&amp;B85,'2019'!$B$24:$B$106,"Unconfirmed")+COUNTIFS('2020'!$L$24:$L$106,A85&amp;" / "&amp;B85,'2020'!$B$24:$B$106,"Unconfirmed")+COUNTIFS('2021'!$L$24:$L$112,A85&amp;" / "&amp;B85,'2021'!$B$24:$B$112,"Unconfirmed")+COUNTIFS('2022'!$L$24:$L$112,A85&amp;" / "&amp;B85,'2022'!$B$24:$B$112,"Unconfirmed")+COUNTIFS('2023'!$L$24:$L$112,A85&amp;" / "&amp;B85,'2023'!$B$24:$B$112,"Unconfirmed")+COUNTIFS('2024'!$L$24:$L$112,A85&amp;" / "&amp;B85,'2024'!$B$24:$B$112,"Unconfirmed")+COUNTIFS('2025'!$L$24:$L$112,A85&amp;" / "&amp;B85,'2025'!$B$24:$B$112,"Unconfirmed")</x:f>
        <x:v>0</x:v>
      </x:c>
    </x:row>
    <x:row r="86" ht="22" customHeight="1">
      <x:c r="A86" s="2" t="str">
        <x:v>Dave</x:v>
      </x:c>
      <x:c r="B86" s="2" t="str">
        <x:v>Mike</x:v>
      </x:c>
      <x:c r="C86" s="2" t="n">
        <x:f>COUNTIFS('2015'!$L$24:$L$96,A86&amp;" / "&amp;B86)+COUNTIFS('2016'!$L$24:$L$96,A86&amp;" / "&amp;B86)+COUNTIFS('2017'!$L$24:$L$106,A86&amp;" / "&amp;B86)+COUNTIFS('2018'!$L$24:$L$106,A86&amp;" / "&amp;B86)+COUNTIFS('2019'!$L$24:$L$106,A86&amp;" / "&amp;B86)+COUNTIFS('2020'!$L$24:$L$106,A86&amp;" / "&amp;B86)+COUNTIFS('2021'!$L$24:$L$112,A86&amp;" / "&amp;B86)+COUNTIFS('2022'!$L$24:$L$112,A86&amp;" / "&amp;B86)+COUNTIFS('2023'!$L$24:$L$112,A86&amp;" / "&amp;B86)+COUNTIFS('2024'!$L$24:$L$112,A86&amp;" / "&amp;B86)+COUNTIFS('2025'!$L$24:$L$112,A86&amp;" / "&amp;B86)</x:f>
        <x:v>10</x:v>
      </x:c>
      <x:c r="D86" s="2" t="n">
        <x:f>COUNTIFS('2015'!$L$24:$L$96,A86&amp;" / "&amp;B86,'2015'!$I$24:$I$96,A86)+COUNTIFS('2016'!$L$24:$L$96,A86&amp;" / "&amp;B86,'2016'!$I$24:$I$96,A86)+COUNTIFS('2017'!$L$24:$L$106,A86&amp;" / "&amp;B86,'2017'!$I$24:$I$106,A86)+COUNTIFS('2018'!$L$24:$L$106,A86&amp;" / "&amp;B86,'2018'!$I$24:$I$106,A86)+COUNTIFS('2019'!$L$24:$L$106,A86&amp;" / "&amp;B86,'2019'!$I$24:$I$106,A86)+COUNTIFS('2020'!$L$24:$L$106,A86&amp;" / "&amp;B86,'2020'!$I$24:$I$106,A86)+COUNTIFS('2021'!$L$24:$L$112,A86&amp;" / "&amp;B86,'2021'!$I$24:$I$112,A86)+COUNTIFS('2022'!$L$24:$L$112,A86&amp;" / "&amp;B86,'2022'!$I$24:$I$112,A86)+COUNTIFS('2023'!$L$24:$L$112,A86&amp;" / "&amp;B86,'2023'!$I$24:$I$112,A86)+COUNTIFS('2024'!$L$24:$L$112,A86&amp;" / "&amp;B86,'2024'!$I$24:$I$112,A86)+COUNTIFS('2025'!$L$24:$L$112,A86&amp;" / "&amp;B86,'2025'!$I$24:$I$112,A86)</x:f>
        <x:v>3</x:v>
      </x:c>
      <x:c r="E86" s="2" t="n">
        <x:f>COUNTIFS('2015'!$L$24:$L$96,A86&amp;" / "&amp;B86,'2015'!$I$24:$I$96,B86)+COUNTIFS('2016'!$L$24:$L$96,A86&amp;" / "&amp;B86,'2016'!$I$24:$I$96,B86)+COUNTIFS('2017'!$L$24:$L$106,A86&amp;" / "&amp;B86,'2017'!$I$24:$I$106,B86)+COUNTIFS('2018'!$L$24:$L$106,A86&amp;" / "&amp;B86,'2018'!$I$24:$I$106,B86)+COUNTIFS('2019'!$L$24:$L$106,A86&amp;" / "&amp;B86,'2019'!$I$24:$I$106,B86)+COUNTIFS('2020'!$L$24:$L$106,A86&amp;" / "&amp;B86,'2020'!$I$24:$I$106,B86)+COUNTIFS('2021'!$L$24:$L$112,A86&amp;" / "&amp;B86,'2021'!$I$24:$I$112,B86)+COUNTIFS('2022'!$L$24:$L$112,A86&amp;" / "&amp;B86,'2022'!$I$24:$I$112,B86)+COUNTIFS('2023'!$L$24:$L$112,A86&amp;" / "&amp;B86,'2023'!$I$24:$I$112,B86)+COUNTIFS('2024'!$L$24:$L$112,A86&amp;" / "&amp;B86,'2024'!$I$24:$I$112,B86)+COUNTIFS('2025'!$L$24:$L$112,A86&amp;" / "&amp;B86,'2025'!$I$24:$I$112,B86)</x:f>
        <x:v>7</x:v>
      </x:c>
      <x:c r="F86" s="2" t="n">
        <x:f>COUNTIFS('2015'!$L$24:$L$96,A86&amp;" / "&amp;B86,'2015'!$K$24:$K$96,1)+COUNTIFS('2016'!$L$24:$L$96,A86&amp;" / "&amp;B86,'2016'!$K$24:$K$96,1)+COUNTIFS('2017'!$L$24:$L$106,A86&amp;" / "&amp;B86,'2017'!$K$24:$K$106,1)+COUNTIFS('2018'!$L$24:$L$106,A86&amp;" / "&amp;B86,'2018'!$K$24:$K$106,1)+COUNTIFS('2019'!$L$24:$L$106,A86&amp;" / "&amp;B86,'2019'!$K$24:$K$106,1)+COUNTIFS('2020'!$L$24:$L$106,A86&amp;" / "&amp;B86,'2020'!$K$24:$K$106,1)+COUNTIFS('2021'!$L$24:$L$112,A86&amp;" / "&amp;B86,'2021'!$K$24:$K$112,1)+COUNTIFS('2022'!$L$24:$L$112,A86&amp;" / "&amp;B86,'2022'!$K$24:$K$112,1)+COUNTIFS('2023'!$L$24:$L$112,A86&amp;" / "&amp;B86,'2023'!$K$24:$K$112,1)+COUNTIFS('2024'!$L$24:$L$112,A86&amp;" / "&amp;B86,'2024'!$K$24:$K$112,1)+COUNTIFS('2025'!$L$24:$L$112,A86&amp;" / "&amp;B86,'2025'!$K$24:$K$112,1)</x:f>
        <x:v>0</x:v>
      </x:c>
      <x:c r="G86" s="25" t="n">
        <x:f>SUMIFS('2015'!$E$24:$E$96,'2015'!$L$24:$L$96,A86&amp;" / "&amp;B86,'2015'!$C$24:$C$96,A86)+SUMIFS('2015'!$H$24:$H$96,'2015'!$L$24:$L$96,A86&amp;" / "&amp;B86,'2015'!$F$24:$F$96,A86)+SUMIFS('2016'!$E$24:$E$96,'2016'!$L$24:$L$96,A86&amp;" / "&amp;B86,'2016'!$C$24:$C$96,A86)+SUMIFS('2016'!$H$24:$H$96,'2016'!$L$24:$L$96,A86&amp;" / "&amp;B86,'2016'!$F$24:$F$96,A86)+SUMIFS('2017'!$E$24:$E$106,'2017'!$L$24:$L$106,A86&amp;" / "&amp;B86,'2017'!$C$24:$C$106,A86)+SUMIFS('2017'!$H$24:$H$106,'2017'!$L$24:$L$106,A86&amp;" / "&amp;B86,'2017'!$F$24:$F$106,A86)+SUMIFS('2018'!$E$24:$E$106,'2018'!$L$24:$L$106,A86&amp;" / "&amp;B86,'2018'!$C$24:$C$106,A86)+SUMIFS('2018'!$H$24:$H$106,'2018'!$L$24:$L$106,A86&amp;" / "&amp;B86,'2018'!$F$24:$F$106,A86)+SUMIFS('2019'!$E$24:$E$106,'2019'!$L$24:$L$106,A86&amp;" / "&amp;B86,'2019'!$C$24:$C$106,A86)+SUMIFS('2019'!$H$24:$H$106,'2019'!$L$24:$L$106,A86&amp;" / "&amp;B86,'2019'!$F$24:$F$106,A86)+SUMIFS('2020'!$E$24:$E$106,'2020'!$L$24:$L$106,A86&amp;" / "&amp;B86,'2020'!$C$24:$C$106,A86)+SUMIFS('2020'!$H$24:$H$106,'2020'!$L$24:$L$106,A86&amp;" / "&amp;B86,'2020'!$F$24:$F$106,A86)+SUMIFS('2021'!$E$24:$E$112,'2021'!$L$24:$L$112,A86&amp;" / "&amp;B86,'2021'!$C$24:$C$112,A86)+SUMIFS('2021'!$H$24:$H$112,'2021'!$L$24:$L$112,A86&amp;" / "&amp;B86,'2021'!$F$24:$F$112,A86)+SUMIFS('2022'!$E$24:$E$112,'2022'!$L$24:$L$112,A86&amp;" / "&amp;B86,'2022'!$C$24:$C$112,A86)+SUMIFS('2022'!$H$24:$H$112,'2022'!$L$24:$L$112,A86&amp;" / "&amp;B86,'2022'!$F$24:$F$112,A86)+SUMIFS('2023'!$E$24:$E$112,'2023'!$L$24:$L$112,A86&amp;" / "&amp;B86,'2023'!$C$24:$C$112,A86)+SUMIFS('2023'!$H$24:$H$112,'2023'!$L$24:$L$112,A86&amp;" / "&amp;B86,'2023'!$F$24:$F$112,A86)+SUMIFS('2024'!$E$24:$E$112,'2024'!$L$24:$L$112,A86&amp;" / "&amp;B86,'2024'!$C$24:$C$112,A86)+SUMIFS('2024'!$H$24:$H$112,'2024'!$L$24:$L$112,A86&amp;" / "&amp;B86,'2024'!$F$24:$F$112,A86)+SUMIFS('2025'!$E$24:$E$112,'2025'!$L$24:$L$112,A86&amp;" / "&amp;B86,'2025'!$C$24:$C$112,A86)+SUMIFS('2025'!$H$24:$H$112,'2025'!$L$24:$L$112,A86&amp;" / "&amp;B86,'2025'!$F$24:$F$112,A86)</x:f>
        <x:v>1031.4</x:v>
      </x:c>
      <x:c r="H86" s="25" t="n">
        <x:f>SUMIFS('2015'!$E$24:$E$96,'2015'!$L$24:$L$96,A86&amp;" / "&amp;B86,'2015'!$C$24:$C$96,B86)+SUMIFS('2015'!$H$24:$H$96,'2015'!$L$24:$L$96,A86&amp;" / "&amp;B86,'2015'!$F$24:$F$96,B86)+SUMIFS('2016'!$E$24:$E$96,'2016'!$L$24:$L$96,A86&amp;" / "&amp;B86,'2016'!$C$24:$C$96,B86)+SUMIFS('2016'!$H$24:$H$96,'2016'!$L$24:$L$96,A86&amp;" / "&amp;B86,'2016'!$F$24:$F$96,B86)+SUMIFS('2017'!$E$24:$E$106,'2017'!$L$24:$L$106,A86&amp;" / "&amp;B86,'2017'!$C$24:$C$106,B86)+SUMIFS('2017'!$H$24:$H$106,'2017'!$L$24:$L$106,A86&amp;" / "&amp;B86,'2017'!$F$24:$F$106,B86)+SUMIFS('2018'!$E$24:$E$106,'2018'!$L$24:$L$106,A86&amp;" / "&amp;B86,'2018'!$C$24:$C$106,B86)+SUMIFS('2018'!$H$24:$H$106,'2018'!$L$24:$L$106,A86&amp;" / "&amp;B86,'2018'!$F$24:$F$106,B86)+SUMIFS('2019'!$E$24:$E$106,'2019'!$L$24:$L$106,A86&amp;" / "&amp;B86,'2019'!$C$24:$C$106,B86)+SUMIFS('2019'!$H$24:$H$106,'2019'!$L$24:$L$106,A86&amp;" / "&amp;B86,'2019'!$F$24:$F$106,B86)+SUMIFS('2020'!$E$24:$E$106,'2020'!$L$24:$L$106,A86&amp;" / "&amp;B86,'2020'!$C$24:$C$106,B86)+SUMIFS('2020'!$H$24:$H$106,'2020'!$L$24:$L$106,A86&amp;" / "&amp;B86,'2020'!$F$24:$F$106,B86)+SUMIFS('2021'!$E$24:$E$112,'2021'!$L$24:$L$112,A86&amp;" / "&amp;B86,'2021'!$C$24:$C$112,B86)+SUMIFS('2021'!$H$24:$H$112,'2021'!$L$24:$L$112,A86&amp;" / "&amp;B86,'2021'!$F$24:$F$112,B86)+SUMIFS('2022'!$E$24:$E$112,'2022'!$L$24:$L$112,A86&amp;" / "&amp;B86,'2022'!$C$24:$C$112,B86)+SUMIFS('2022'!$H$24:$H$112,'2022'!$L$24:$L$112,A86&amp;" / "&amp;B86,'2022'!$F$24:$F$112,B86)+SUMIFS('2023'!$E$24:$E$112,'2023'!$L$24:$L$112,A86&amp;" / "&amp;B86,'2023'!$C$24:$C$112,B86)+SUMIFS('2023'!$H$24:$H$112,'2023'!$L$24:$L$112,A86&amp;" / "&amp;B86,'2023'!$F$24:$F$112,B86)+SUMIFS('2024'!$E$24:$E$112,'2024'!$L$24:$L$112,A86&amp;" / "&amp;B86,'2024'!$C$24:$C$112,B86)+SUMIFS('2024'!$H$24:$H$112,'2024'!$L$24:$L$112,A86&amp;" / "&amp;B86,'2024'!$F$24:$F$112,B86)+SUMIFS('2025'!$E$24:$E$112,'2025'!$L$24:$L$112,A86&amp;" / "&amp;B86,'2025'!$C$24:$C$112,B86)+SUMIFS('2025'!$H$24:$H$112,'2025'!$L$24:$L$112,A86&amp;" / "&amp;B86,'2025'!$F$24:$F$112,B86)</x:f>
        <x:v>1059.1000000000001</x:v>
      </x:c>
      <x:c r="I86" s="11" t="n">
        <x:f>IF(C86=0,0,(D86+0.5*F86)/C86)</x:f>
        <x:v>0.3</x:v>
      </x:c>
      <x:c r="J86" s="2" t="n">
        <x:f>COUNTIFS('2015'!$L$24:$L$96,A86&amp;" / "&amp;B86,'2015'!$B$24:$B$96,"Regular")+COUNTIFS('2016'!$L$24:$L$96,A86&amp;" / "&amp;B86,'2016'!$B$24:$B$96,"Regular")+COUNTIFS('2017'!$L$24:$L$106,A86&amp;" / "&amp;B86,'2017'!$B$24:$B$106,"Regular")+COUNTIFS('2018'!$L$24:$L$106,A86&amp;" / "&amp;B86,'2018'!$B$24:$B$106,"Regular")+COUNTIFS('2019'!$L$24:$L$106,A86&amp;" / "&amp;B86,'2019'!$B$24:$B$106,"Regular")+COUNTIFS('2020'!$L$24:$L$106,A86&amp;" / "&amp;B86,'2020'!$B$24:$B$106,"Regular")+COUNTIFS('2021'!$L$24:$L$112,A86&amp;" / "&amp;B86,'2021'!$B$24:$B$112,"Regular")+COUNTIFS('2022'!$L$24:$L$112,A86&amp;" / "&amp;B86,'2022'!$B$24:$B$112,"Regular")+COUNTIFS('2023'!$L$24:$L$112,A86&amp;" / "&amp;B86,'2023'!$B$24:$B$112,"Regular")+COUNTIFS('2024'!$L$24:$L$112,A86&amp;" / "&amp;B86,'2024'!$B$24:$B$112,"Regular")+COUNTIFS('2025'!$L$24:$L$112,A86&amp;" / "&amp;B86,'2025'!$B$24:$B$112,"Regular")</x:f>
        <x:v>9</x:v>
      </x:c>
      <x:c r="K86" s="2" t="n">
        <x:f>COUNTIFS('2015'!$L$24:$L$96,A86&amp;" / "&amp;B86,'2015'!$B$24:$B$96,"Playoffs")+COUNTIFS('2016'!$L$24:$L$96,A86&amp;" / "&amp;B86,'2016'!$B$24:$B$96,"Playoffs")+COUNTIFS('2017'!$L$24:$L$106,A86&amp;" / "&amp;B86,'2017'!$B$24:$B$106,"Playoffs")+COUNTIFS('2018'!$L$24:$L$106,A86&amp;" / "&amp;B86,'2018'!$B$24:$B$106,"Playoffs")+COUNTIFS('2019'!$L$24:$L$106,A86&amp;" / "&amp;B86,'2019'!$B$24:$B$106,"Playoffs")+COUNTIFS('2020'!$L$24:$L$106,A86&amp;" / "&amp;B86,'2020'!$B$24:$B$106,"Playoffs")+COUNTIFS('2021'!$L$24:$L$112,A86&amp;" / "&amp;B86,'2021'!$B$24:$B$112,"Playoffs")+COUNTIFS('2022'!$L$24:$L$112,A86&amp;" / "&amp;B86,'2022'!$B$24:$B$112,"Playoffs")+COUNTIFS('2023'!$L$24:$L$112,A86&amp;" / "&amp;B86,'2023'!$B$24:$B$112,"Playoffs")+COUNTIFS('2024'!$L$24:$L$112,A86&amp;" / "&amp;B86,'2024'!$B$24:$B$112,"Playoffs")+COUNTIFS('2025'!$L$24:$L$112,A86&amp;" / "&amp;B86,'2025'!$B$24:$B$112,"Playoffs")</x:f>
        <x:v>1</x:v>
      </x:c>
      <x:c r="L86" s="2" t="n">
        <x:f>COUNTIFS('2015'!$L$24:$L$96,A86&amp;" / "&amp;B86,'2015'!$B$24:$B$96,"Unconfirmed")+COUNTIFS('2016'!$L$24:$L$96,A86&amp;" / "&amp;B86,'2016'!$B$24:$B$96,"Unconfirmed")+COUNTIFS('2017'!$L$24:$L$106,A86&amp;" / "&amp;B86,'2017'!$B$24:$B$106,"Unconfirmed")+COUNTIFS('2018'!$L$24:$L$106,A86&amp;" / "&amp;B86,'2018'!$B$24:$B$106,"Unconfirmed")+COUNTIFS('2019'!$L$24:$L$106,A86&amp;" / "&amp;B86,'2019'!$B$24:$B$106,"Unconfirmed")+COUNTIFS('2020'!$L$24:$L$106,A86&amp;" / "&amp;B86,'2020'!$B$24:$B$106,"Unconfirmed")+COUNTIFS('2021'!$L$24:$L$112,A86&amp;" / "&amp;B86,'2021'!$B$24:$B$112,"Unconfirmed")+COUNTIFS('2022'!$L$24:$L$112,A86&amp;" / "&amp;B86,'2022'!$B$24:$B$112,"Unconfirmed")+COUNTIFS('2023'!$L$24:$L$112,A86&amp;" / "&amp;B86,'2023'!$B$24:$B$112,"Unconfirmed")+COUNTIFS('2024'!$L$24:$L$112,A86&amp;" / "&amp;B86,'2024'!$B$24:$B$112,"Unconfirmed")+COUNTIFS('2025'!$L$24:$L$112,A86&amp;" / "&amp;B86,'2025'!$B$24:$B$112,"Unconfirmed")</x:f>
        <x:v>0</x:v>
      </x:c>
    </x:row>
    <x:row r="87" ht="22" customHeight="1">
      <x:c r="A87" s="2" t="str">
        <x:v>Dave</x:v>
      </x:c>
      <x:c r="B87" s="2" t="str">
        <x:v>Nick</x:v>
      </x:c>
      <x:c r="C87" s="2" t="n">
        <x:f>COUNTIFS('2015'!$L$24:$L$96,A87&amp;" / "&amp;B87)+COUNTIFS('2016'!$L$24:$L$96,A87&amp;" / "&amp;B87)+COUNTIFS('2017'!$L$24:$L$106,A87&amp;" / "&amp;B87)+COUNTIFS('2018'!$L$24:$L$106,A87&amp;" / "&amp;B87)+COUNTIFS('2019'!$L$24:$L$106,A87&amp;" / "&amp;B87)+COUNTIFS('2020'!$L$24:$L$106,A87&amp;" / "&amp;B87)+COUNTIFS('2021'!$L$24:$L$112,A87&amp;" / "&amp;B87)+COUNTIFS('2022'!$L$24:$L$112,A87&amp;" / "&amp;B87)+COUNTIFS('2023'!$L$24:$L$112,A87&amp;" / "&amp;B87)+COUNTIFS('2024'!$L$24:$L$112,A87&amp;" / "&amp;B87)+COUNTIFS('2025'!$L$24:$L$112,A87&amp;" / "&amp;B87)</x:f>
        <x:v>6</x:v>
      </x:c>
      <x:c r="D87" s="2" t="n">
        <x:f>COUNTIFS('2015'!$L$24:$L$96,A87&amp;" / "&amp;B87,'2015'!$I$24:$I$96,A87)+COUNTIFS('2016'!$L$24:$L$96,A87&amp;" / "&amp;B87,'2016'!$I$24:$I$96,A87)+COUNTIFS('2017'!$L$24:$L$106,A87&amp;" / "&amp;B87,'2017'!$I$24:$I$106,A87)+COUNTIFS('2018'!$L$24:$L$106,A87&amp;" / "&amp;B87,'2018'!$I$24:$I$106,A87)+COUNTIFS('2019'!$L$24:$L$106,A87&amp;" / "&amp;B87,'2019'!$I$24:$I$106,A87)+COUNTIFS('2020'!$L$24:$L$106,A87&amp;" / "&amp;B87,'2020'!$I$24:$I$106,A87)+COUNTIFS('2021'!$L$24:$L$112,A87&amp;" / "&amp;B87,'2021'!$I$24:$I$112,A87)+COUNTIFS('2022'!$L$24:$L$112,A87&amp;" / "&amp;B87,'2022'!$I$24:$I$112,A87)+COUNTIFS('2023'!$L$24:$L$112,A87&amp;" / "&amp;B87,'2023'!$I$24:$I$112,A87)+COUNTIFS('2024'!$L$24:$L$112,A87&amp;" / "&amp;B87,'2024'!$I$24:$I$112,A87)+COUNTIFS('2025'!$L$24:$L$112,A87&amp;" / "&amp;B87,'2025'!$I$24:$I$112,A87)</x:f>
        <x:v>4</x:v>
      </x:c>
      <x:c r="E87" s="2" t="n">
        <x:f>COUNTIFS('2015'!$L$24:$L$96,A87&amp;" / "&amp;B87,'2015'!$I$24:$I$96,B87)+COUNTIFS('2016'!$L$24:$L$96,A87&amp;" / "&amp;B87,'2016'!$I$24:$I$96,B87)+COUNTIFS('2017'!$L$24:$L$106,A87&amp;" / "&amp;B87,'2017'!$I$24:$I$106,B87)+COUNTIFS('2018'!$L$24:$L$106,A87&amp;" / "&amp;B87,'2018'!$I$24:$I$106,B87)+COUNTIFS('2019'!$L$24:$L$106,A87&amp;" / "&amp;B87,'2019'!$I$24:$I$106,B87)+COUNTIFS('2020'!$L$24:$L$106,A87&amp;" / "&amp;B87,'2020'!$I$24:$I$106,B87)+COUNTIFS('2021'!$L$24:$L$112,A87&amp;" / "&amp;B87,'2021'!$I$24:$I$112,B87)+COUNTIFS('2022'!$L$24:$L$112,A87&amp;" / "&amp;B87,'2022'!$I$24:$I$112,B87)+COUNTIFS('2023'!$L$24:$L$112,A87&amp;" / "&amp;B87,'2023'!$I$24:$I$112,B87)+COUNTIFS('2024'!$L$24:$L$112,A87&amp;" / "&amp;B87,'2024'!$I$24:$I$112,B87)+COUNTIFS('2025'!$L$24:$L$112,A87&amp;" / "&amp;B87,'2025'!$I$24:$I$112,B87)</x:f>
        <x:v>2</x:v>
      </x:c>
      <x:c r="F87" s="2" t="n">
        <x:f>COUNTIFS('2015'!$L$24:$L$96,A87&amp;" / "&amp;B87,'2015'!$K$24:$K$96,1)+COUNTIFS('2016'!$L$24:$L$96,A87&amp;" / "&amp;B87,'2016'!$K$24:$K$96,1)+COUNTIFS('2017'!$L$24:$L$106,A87&amp;" / "&amp;B87,'2017'!$K$24:$K$106,1)+COUNTIFS('2018'!$L$24:$L$106,A87&amp;" / "&amp;B87,'2018'!$K$24:$K$106,1)+COUNTIFS('2019'!$L$24:$L$106,A87&amp;" / "&amp;B87,'2019'!$K$24:$K$106,1)+COUNTIFS('2020'!$L$24:$L$106,A87&amp;" / "&amp;B87,'2020'!$K$24:$K$106,1)+COUNTIFS('2021'!$L$24:$L$112,A87&amp;" / "&amp;B87,'2021'!$K$24:$K$112,1)+COUNTIFS('2022'!$L$24:$L$112,A87&amp;" / "&amp;B87,'2022'!$K$24:$K$112,1)+COUNTIFS('2023'!$L$24:$L$112,A87&amp;" / "&amp;B87,'2023'!$K$24:$K$112,1)+COUNTIFS('2024'!$L$24:$L$112,A87&amp;" / "&amp;B87,'2024'!$K$24:$K$112,1)+COUNTIFS('2025'!$L$24:$L$112,A87&amp;" / "&amp;B87,'2025'!$K$24:$K$112,1)</x:f>
        <x:v>0</x:v>
      </x:c>
      <x:c r="G87" s="25" t="n">
        <x:f>SUMIFS('2015'!$E$24:$E$96,'2015'!$L$24:$L$96,A87&amp;" / "&amp;B87,'2015'!$C$24:$C$96,A87)+SUMIFS('2015'!$H$24:$H$96,'2015'!$L$24:$L$96,A87&amp;" / "&amp;B87,'2015'!$F$24:$F$96,A87)+SUMIFS('2016'!$E$24:$E$96,'2016'!$L$24:$L$96,A87&amp;" / "&amp;B87,'2016'!$C$24:$C$96,A87)+SUMIFS('2016'!$H$24:$H$96,'2016'!$L$24:$L$96,A87&amp;" / "&amp;B87,'2016'!$F$24:$F$96,A87)+SUMIFS('2017'!$E$24:$E$106,'2017'!$L$24:$L$106,A87&amp;" / "&amp;B87,'2017'!$C$24:$C$106,A87)+SUMIFS('2017'!$H$24:$H$106,'2017'!$L$24:$L$106,A87&amp;" / "&amp;B87,'2017'!$F$24:$F$106,A87)+SUMIFS('2018'!$E$24:$E$106,'2018'!$L$24:$L$106,A87&amp;" / "&amp;B87,'2018'!$C$24:$C$106,A87)+SUMIFS('2018'!$H$24:$H$106,'2018'!$L$24:$L$106,A87&amp;" / "&amp;B87,'2018'!$F$24:$F$106,A87)+SUMIFS('2019'!$E$24:$E$106,'2019'!$L$24:$L$106,A87&amp;" / "&amp;B87,'2019'!$C$24:$C$106,A87)+SUMIFS('2019'!$H$24:$H$106,'2019'!$L$24:$L$106,A87&amp;" / "&amp;B87,'2019'!$F$24:$F$106,A87)+SUMIFS('2020'!$E$24:$E$106,'2020'!$L$24:$L$106,A87&amp;" / "&amp;B87,'2020'!$C$24:$C$106,A87)+SUMIFS('2020'!$H$24:$H$106,'2020'!$L$24:$L$106,A87&amp;" / "&amp;B87,'2020'!$F$24:$F$106,A87)+SUMIFS('2021'!$E$24:$E$112,'2021'!$L$24:$L$112,A87&amp;" / "&amp;B87,'2021'!$C$24:$C$112,A87)+SUMIFS('2021'!$H$24:$H$112,'2021'!$L$24:$L$112,A87&amp;" / "&amp;B87,'2021'!$F$24:$F$112,A87)+SUMIFS('2022'!$E$24:$E$112,'2022'!$L$24:$L$112,A87&amp;" / "&amp;B87,'2022'!$C$24:$C$112,A87)+SUMIFS('2022'!$H$24:$H$112,'2022'!$L$24:$L$112,A87&amp;" / "&amp;B87,'2022'!$F$24:$F$112,A87)+SUMIFS('2023'!$E$24:$E$112,'2023'!$L$24:$L$112,A87&amp;" / "&amp;B87,'2023'!$C$24:$C$112,A87)+SUMIFS('2023'!$H$24:$H$112,'2023'!$L$24:$L$112,A87&amp;" / "&amp;B87,'2023'!$F$24:$F$112,A87)+SUMIFS('2024'!$E$24:$E$112,'2024'!$L$24:$L$112,A87&amp;" / "&amp;B87,'2024'!$C$24:$C$112,A87)+SUMIFS('2024'!$H$24:$H$112,'2024'!$L$24:$L$112,A87&amp;" / "&amp;B87,'2024'!$F$24:$F$112,A87)+SUMIFS('2025'!$E$24:$E$112,'2025'!$L$24:$L$112,A87&amp;" / "&amp;B87,'2025'!$C$24:$C$112,A87)+SUMIFS('2025'!$H$24:$H$112,'2025'!$L$24:$L$112,A87&amp;" / "&amp;B87,'2025'!$F$24:$F$112,A87)</x:f>
        <x:v>716.1</x:v>
      </x:c>
      <x:c r="H87" s="25" t="n">
        <x:f>SUMIFS('2015'!$E$24:$E$96,'2015'!$L$24:$L$96,A87&amp;" / "&amp;B87,'2015'!$C$24:$C$96,B87)+SUMIFS('2015'!$H$24:$H$96,'2015'!$L$24:$L$96,A87&amp;" / "&amp;B87,'2015'!$F$24:$F$96,B87)+SUMIFS('2016'!$E$24:$E$96,'2016'!$L$24:$L$96,A87&amp;" / "&amp;B87,'2016'!$C$24:$C$96,B87)+SUMIFS('2016'!$H$24:$H$96,'2016'!$L$24:$L$96,A87&amp;" / "&amp;B87,'2016'!$F$24:$F$96,B87)+SUMIFS('2017'!$E$24:$E$106,'2017'!$L$24:$L$106,A87&amp;" / "&amp;B87,'2017'!$C$24:$C$106,B87)+SUMIFS('2017'!$H$24:$H$106,'2017'!$L$24:$L$106,A87&amp;" / "&amp;B87,'2017'!$F$24:$F$106,B87)+SUMIFS('2018'!$E$24:$E$106,'2018'!$L$24:$L$106,A87&amp;" / "&amp;B87,'2018'!$C$24:$C$106,B87)+SUMIFS('2018'!$H$24:$H$106,'2018'!$L$24:$L$106,A87&amp;" / "&amp;B87,'2018'!$F$24:$F$106,B87)+SUMIFS('2019'!$E$24:$E$106,'2019'!$L$24:$L$106,A87&amp;" / "&amp;B87,'2019'!$C$24:$C$106,B87)+SUMIFS('2019'!$H$24:$H$106,'2019'!$L$24:$L$106,A87&amp;" / "&amp;B87,'2019'!$F$24:$F$106,B87)+SUMIFS('2020'!$E$24:$E$106,'2020'!$L$24:$L$106,A87&amp;" / "&amp;B87,'2020'!$C$24:$C$106,B87)+SUMIFS('2020'!$H$24:$H$106,'2020'!$L$24:$L$106,A87&amp;" / "&amp;B87,'2020'!$F$24:$F$106,B87)+SUMIFS('2021'!$E$24:$E$112,'2021'!$L$24:$L$112,A87&amp;" / "&amp;B87,'2021'!$C$24:$C$112,B87)+SUMIFS('2021'!$H$24:$H$112,'2021'!$L$24:$L$112,A87&amp;" / "&amp;B87,'2021'!$F$24:$F$112,B87)+SUMIFS('2022'!$E$24:$E$112,'2022'!$L$24:$L$112,A87&amp;" / "&amp;B87,'2022'!$C$24:$C$112,B87)+SUMIFS('2022'!$H$24:$H$112,'2022'!$L$24:$L$112,A87&amp;" / "&amp;B87,'2022'!$F$24:$F$112,B87)+SUMIFS('2023'!$E$24:$E$112,'2023'!$L$24:$L$112,A87&amp;" / "&amp;B87,'2023'!$C$24:$C$112,B87)+SUMIFS('2023'!$H$24:$H$112,'2023'!$L$24:$L$112,A87&amp;" / "&amp;B87,'2023'!$F$24:$F$112,B87)+SUMIFS('2024'!$E$24:$E$112,'2024'!$L$24:$L$112,A87&amp;" / "&amp;B87,'2024'!$C$24:$C$112,B87)+SUMIFS('2024'!$H$24:$H$112,'2024'!$L$24:$L$112,A87&amp;" / "&amp;B87,'2024'!$F$24:$F$112,B87)+SUMIFS('2025'!$E$24:$E$112,'2025'!$L$24:$L$112,A87&amp;" / "&amp;B87,'2025'!$C$24:$C$112,B87)+SUMIFS('2025'!$H$24:$H$112,'2025'!$L$24:$L$112,A87&amp;" / "&amp;B87,'2025'!$F$24:$F$112,B87)</x:f>
        <x:v>630.8499999999999</x:v>
      </x:c>
      <x:c r="I87" s="11" t="n">
        <x:f>IF(C87=0,0,(D87+0.5*F87)/C87)</x:f>
        <x:v>0.6666666666666666</x:v>
      </x:c>
      <x:c r="J87" s="2" t="n">
        <x:f>COUNTIFS('2015'!$L$24:$L$96,A87&amp;" / "&amp;B87,'2015'!$B$24:$B$96,"Regular")+COUNTIFS('2016'!$L$24:$L$96,A87&amp;" / "&amp;B87,'2016'!$B$24:$B$96,"Regular")+COUNTIFS('2017'!$L$24:$L$106,A87&amp;" / "&amp;B87,'2017'!$B$24:$B$106,"Regular")+COUNTIFS('2018'!$L$24:$L$106,A87&amp;" / "&amp;B87,'2018'!$B$24:$B$106,"Regular")+COUNTIFS('2019'!$L$24:$L$106,A87&amp;" / "&amp;B87,'2019'!$B$24:$B$106,"Regular")+COUNTIFS('2020'!$L$24:$L$106,A87&amp;" / "&amp;B87,'2020'!$B$24:$B$106,"Regular")+COUNTIFS('2021'!$L$24:$L$112,A87&amp;" / "&amp;B87,'2021'!$B$24:$B$112,"Regular")+COUNTIFS('2022'!$L$24:$L$112,A87&amp;" / "&amp;B87,'2022'!$B$24:$B$112,"Regular")+COUNTIFS('2023'!$L$24:$L$112,A87&amp;" / "&amp;B87,'2023'!$B$24:$B$112,"Regular")+COUNTIFS('2024'!$L$24:$L$112,A87&amp;" / "&amp;B87,'2024'!$B$24:$B$112,"Regular")+COUNTIFS('2025'!$L$24:$L$112,A87&amp;" / "&amp;B87,'2025'!$B$24:$B$112,"Regular")</x:f>
        <x:v>6</x:v>
      </x:c>
      <x:c r="K87" s="2" t="n">
        <x:f>COUNTIFS('2015'!$L$24:$L$96,A87&amp;" / "&amp;B87,'2015'!$B$24:$B$96,"Playoffs")+COUNTIFS('2016'!$L$24:$L$96,A87&amp;" / "&amp;B87,'2016'!$B$24:$B$96,"Playoffs")+COUNTIFS('2017'!$L$24:$L$106,A87&amp;" / "&amp;B87,'2017'!$B$24:$B$106,"Playoffs")+COUNTIFS('2018'!$L$24:$L$106,A87&amp;" / "&amp;B87,'2018'!$B$24:$B$106,"Playoffs")+COUNTIFS('2019'!$L$24:$L$106,A87&amp;" / "&amp;B87,'2019'!$B$24:$B$106,"Playoffs")+COUNTIFS('2020'!$L$24:$L$106,A87&amp;" / "&amp;B87,'2020'!$B$24:$B$106,"Playoffs")+COUNTIFS('2021'!$L$24:$L$112,A87&amp;" / "&amp;B87,'2021'!$B$24:$B$112,"Playoffs")+COUNTIFS('2022'!$L$24:$L$112,A87&amp;" / "&amp;B87,'2022'!$B$24:$B$112,"Playoffs")+COUNTIFS('2023'!$L$24:$L$112,A87&amp;" / "&amp;B87,'2023'!$B$24:$B$112,"Playoffs")+COUNTIFS('2024'!$L$24:$L$112,A87&amp;" / "&amp;B87,'2024'!$B$24:$B$112,"Playoffs")+COUNTIFS('2025'!$L$24:$L$112,A87&amp;" / "&amp;B87,'2025'!$B$24:$B$112,"Playoffs")</x:f>
        <x:v>0</x:v>
      </x:c>
      <x:c r="L87" s="2" t="n">
        <x:f>COUNTIFS('2015'!$L$24:$L$96,A87&amp;" / "&amp;B87,'2015'!$B$24:$B$96,"Unconfirmed")+COUNTIFS('2016'!$L$24:$L$96,A87&amp;" / "&amp;B87,'2016'!$B$24:$B$96,"Unconfirmed")+COUNTIFS('2017'!$L$24:$L$106,A87&amp;" / "&amp;B87,'2017'!$B$24:$B$106,"Unconfirmed")+COUNTIFS('2018'!$L$24:$L$106,A87&amp;" / "&amp;B87,'2018'!$B$24:$B$106,"Unconfirmed")+COUNTIFS('2019'!$L$24:$L$106,A87&amp;" / "&amp;B87,'2019'!$B$24:$B$106,"Unconfirmed")+COUNTIFS('2020'!$L$24:$L$106,A87&amp;" / "&amp;B87,'2020'!$B$24:$B$106,"Unconfirmed")+COUNTIFS('2021'!$L$24:$L$112,A87&amp;" / "&amp;B87,'2021'!$B$24:$B$112,"Unconfirmed")+COUNTIFS('2022'!$L$24:$L$112,A87&amp;" / "&amp;B87,'2022'!$B$24:$B$112,"Unconfirmed")+COUNTIFS('2023'!$L$24:$L$112,A87&amp;" / "&amp;B87,'2023'!$B$24:$B$112,"Unconfirmed")+COUNTIFS('2024'!$L$24:$L$112,A87&amp;" / "&amp;B87,'2024'!$B$24:$B$112,"Unconfirmed")+COUNTIFS('2025'!$L$24:$L$112,A87&amp;" / "&amp;B87,'2025'!$B$24:$B$112,"Unconfirmed")</x:f>
        <x:v>0</x:v>
      </x:c>
    </x:row>
    <x:row r="88" ht="22" customHeight="1">
      <x:c r="A88" s="2" t="str">
        <x:v>Dave</x:v>
      </x:c>
      <x:c r="B88" s="2" t="str">
        <x:v>Paul</x:v>
      </x:c>
      <x:c r="C88" s="2" t="n">
        <x:f>COUNTIFS('2015'!$L$24:$L$96,A88&amp;" / "&amp;B88)+COUNTIFS('2016'!$L$24:$L$96,A88&amp;" / "&amp;B88)+COUNTIFS('2017'!$L$24:$L$106,A88&amp;" / "&amp;B88)+COUNTIFS('2018'!$L$24:$L$106,A88&amp;" / "&amp;B88)+COUNTIFS('2019'!$L$24:$L$106,A88&amp;" / "&amp;B88)+COUNTIFS('2020'!$L$24:$L$106,A88&amp;" / "&amp;B88)+COUNTIFS('2021'!$L$24:$L$112,A88&amp;" / "&amp;B88)+COUNTIFS('2022'!$L$24:$L$112,A88&amp;" / "&amp;B88)+COUNTIFS('2023'!$L$24:$L$112,A88&amp;" / "&amp;B88)+COUNTIFS('2024'!$L$24:$L$112,A88&amp;" / "&amp;B88)+COUNTIFS('2025'!$L$24:$L$112,A88&amp;" / "&amp;B88)</x:f>
        <x:v>9</x:v>
      </x:c>
      <x:c r="D88" s="2" t="n">
        <x:f>COUNTIFS('2015'!$L$24:$L$96,A88&amp;" / "&amp;B88,'2015'!$I$24:$I$96,A88)+COUNTIFS('2016'!$L$24:$L$96,A88&amp;" / "&amp;B88,'2016'!$I$24:$I$96,A88)+COUNTIFS('2017'!$L$24:$L$106,A88&amp;" / "&amp;B88,'2017'!$I$24:$I$106,A88)+COUNTIFS('2018'!$L$24:$L$106,A88&amp;" / "&amp;B88,'2018'!$I$24:$I$106,A88)+COUNTIFS('2019'!$L$24:$L$106,A88&amp;" / "&amp;B88,'2019'!$I$24:$I$106,A88)+COUNTIFS('2020'!$L$24:$L$106,A88&amp;" / "&amp;B88,'2020'!$I$24:$I$106,A88)+COUNTIFS('2021'!$L$24:$L$112,A88&amp;" / "&amp;B88,'2021'!$I$24:$I$112,A88)+COUNTIFS('2022'!$L$24:$L$112,A88&amp;" / "&amp;B88,'2022'!$I$24:$I$112,A88)+COUNTIFS('2023'!$L$24:$L$112,A88&amp;" / "&amp;B88,'2023'!$I$24:$I$112,A88)+COUNTIFS('2024'!$L$24:$L$112,A88&amp;" / "&amp;B88,'2024'!$I$24:$I$112,A88)+COUNTIFS('2025'!$L$24:$L$112,A88&amp;" / "&amp;B88,'2025'!$I$24:$I$112,A88)</x:f>
        <x:v>1</x:v>
      </x:c>
      <x:c r="E88" s="2" t="n">
        <x:f>COUNTIFS('2015'!$L$24:$L$96,A88&amp;" / "&amp;B88,'2015'!$I$24:$I$96,B88)+COUNTIFS('2016'!$L$24:$L$96,A88&amp;" / "&amp;B88,'2016'!$I$24:$I$96,B88)+COUNTIFS('2017'!$L$24:$L$106,A88&amp;" / "&amp;B88,'2017'!$I$24:$I$106,B88)+COUNTIFS('2018'!$L$24:$L$106,A88&amp;" / "&amp;B88,'2018'!$I$24:$I$106,B88)+COUNTIFS('2019'!$L$24:$L$106,A88&amp;" / "&amp;B88,'2019'!$I$24:$I$106,B88)+COUNTIFS('2020'!$L$24:$L$106,A88&amp;" / "&amp;B88,'2020'!$I$24:$I$106,B88)+COUNTIFS('2021'!$L$24:$L$112,A88&amp;" / "&amp;B88,'2021'!$I$24:$I$112,B88)+COUNTIFS('2022'!$L$24:$L$112,A88&amp;" / "&amp;B88,'2022'!$I$24:$I$112,B88)+COUNTIFS('2023'!$L$24:$L$112,A88&amp;" / "&amp;B88,'2023'!$I$24:$I$112,B88)+COUNTIFS('2024'!$L$24:$L$112,A88&amp;" / "&amp;B88,'2024'!$I$24:$I$112,B88)+COUNTIFS('2025'!$L$24:$L$112,A88&amp;" / "&amp;B88,'2025'!$I$24:$I$112,B88)</x:f>
        <x:v>8</x:v>
      </x:c>
      <x:c r="F88" s="2" t="n">
        <x:f>COUNTIFS('2015'!$L$24:$L$96,A88&amp;" / "&amp;B88,'2015'!$K$24:$K$96,1)+COUNTIFS('2016'!$L$24:$L$96,A88&amp;" / "&amp;B88,'2016'!$K$24:$K$96,1)+COUNTIFS('2017'!$L$24:$L$106,A88&amp;" / "&amp;B88,'2017'!$K$24:$K$106,1)+COUNTIFS('2018'!$L$24:$L$106,A88&amp;" / "&amp;B88,'2018'!$K$24:$K$106,1)+COUNTIFS('2019'!$L$24:$L$106,A88&amp;" / "&amp;B88,'2019'!$K$24:$K$106,1)+COUNTIFS('2020'!$L$24:$L$106,A88&amp;" / "&amp;B88,'2020'!$K$24:$K$106,1)+COUNTIFS('2021'!$L$24:$L$112,A88&amp;" / "&amp;B88,'2021'!$K$24:$K$112,1)+COUNTIFS('2022'!$L$24:$L$112,A88&amp;" / "&amp;B88,'2022'!$K$24:$K$112,1)+COUNTIFS('2023'!$L$24:$L$112,A88&amp;" / "&amp;B88,'2023'!$K$24:$K$112,1)+COUNTIFS('2024'!$L$24:$L$112,A88&amp;" / "&amp;B88,'2024'!$K$24:$K$112,1)+COUNTIFS('2025'!$L$24:$L$112,A88&amp;" / "&amp;B88,'2025'!$K$24:$K$112,1)</x:f>
        <x:v>0</x:v>
      </x:c>
      <x:c r="G88" s="25" t="n">
        <x:f>SUMIFS('2015'!$E$24:$E$96,'2015'!$L$24:$L$96,A88&amp;" / "&amp;B88,'2015'!$C$24:$C$96,A88)+SUMIFS('2015'!$H$24:$H$96,'2015'!$L$24:$L$96,A88&amp;" / "&amp;B88,'2015'!$F$24:$F$96,A88)+SUMIFS('2016'!$E$24:$E$96,'2016'!$L$24:$L$96,A88&amp;" / "&amp;B88,'2016'!$C$24:$C$96,A88)+SUMIFS('2016'!$H$24:$H$96,'2016'!$L$24:$L$96,A88&amp;" / "&amp;B88,'2016'!$F$24:$F$96,A88)+SUMIFS('2017'!$E$24:$E$106,'2017'!$L$24:$L$106,A88&amp;" / "&amp;B88,'2017'!$C$24:$C$106,A88)+SUMIFS('2017'!$H$24:$H$106,'2017'!$L$24:$L$106,A88&amp;" / "&amp;B88,'2017'!$F$24:$F$106,A88)+SUMIFS('2018'!$E$24:$E$106,'2018'!$L$24:$L$106,A88&amp;" / "&amp;B88,'2018'!$C$24:$C$106,A88)+SUMIFS('2018'!$H$24:$H$106,'2018'!$L$24:$L$106,A88&amp;" / "&amp;B88,'2018'!$F$24:$F$106,A88)+SUMIFS('2019'!$E$24:$E$106,'2019'!$L$24:$L$106,A88&amp;" / "&amp;B88,'2019'!$C$24:$C$106,A88)+SUMIFS('2019'!$H$24:$H$106,'2019'!$L$24:$L$106,A88&amp;" / "&amp;B88,'2019'!$F$24:$F$106,A88)+SUMIFS('2020'!$E$24:$E$106,'2020'!$L$24:$L$106,A88&amp;" / "&amp;B88,'2020'!$C$24:$C$106,A88)+SUMIFS('2020'!$H$24:$H$106,'2020'!$L$24:$L$106,A88&amp;" / "&amp;B88,'2020'!$F$24:$F$106,A88)+SUMIFS('2021'!$E$24:$E$112,'2021'!$L$24:$L$112,A88&amp;" / "&amp;B88,'2021'!$C$24:$C$112,A88)+SUMIFS('2021'!$H$24:$H$112,'2021'!$L$24:$L$112,A88&amp;" / "&amp;B88,'2021'!$F$24:$F$112,A88)+SUMIFS('2022'!$E$24:$E$112,'2022'!$L$24:$L$112,A88&amp;" / "&amp;B88,'2022'!$C$24:$C$112,A88)+SUMIFS('2022'!$H$24:$H$112,'2022'!$L$24:$L$112,A88&amp;" / "&amp;B88,'2022'!$F$24:$F$112,A88)+SUMIFS('2023'!$E$24:$E$112,'2023'!$L$24:$L$112,A88&amp;" / "&amp;B88,'2023'!$C$24:$C$112,A88)+SUMIFS('2023'!$H$24:$H$112,'2023'!$L$24:$L$112,A88&amp;" / "&amp;B88,'2023'!$F$24:$F$112,A88)+SUMIFS('2024'!$E$24:$E$112,'2024'!$L$24:$L$112,A88&amp;" / "&amp;B88,'2024'!$C$24:$C$112,A88)+SUMIFS('2024'!$H$24:$H$112,'2024'!$L$24:$L$112,A88&amp;" / "&amp;B88,'2024'!$F$24:$F$112,A88)+SUMIFS('2025'!$E$24:$E$112,'2025'!$L$24:$L$112,A88&amp;" / "&amp;B88,'2025'!$C$24:$C$112,A88)+SUMIFS('2025'!$H$24:$H$112,'2025'!$L$24:$L$112,A88&amp;" / "&amp;B88,'2025'!$F$24:$F$112,A88)</x:f>
        <x:v>1026.4499999999998</x:v>
      </x:c>
      <x:c r="H88" s="25" t="n">
        <x:f>SUMIFS('2015'!$E$24:$E$96,'2015'!$L$24:$L$96,A88&amp;" / "&amp;B88,'2015'!$C$24:$C$96,B88)+SUMIFS('2015'!$H$24:$H$96,'2015'!$L$24:$L$96,A88&amp;" / "&amp;B88,'2015'!$F$24:$F$96,B88)+SUMIFS('2016'!$E$24:$E$96,'2016'!$L$24:$L$96,A88&amp;" / "&amp;B88,'2016'!$C$24:$C$96,B88)+SUMIFS('2016'!$H$24:$H$96,'2016'!$L$24:$L$96,A88&amp;" / "&amp;B88,'2016'!$F$24:$F$96,B88)+SUMIFS('2017'!$E$24:$E$106,'2017'!$L$24:$L$106,A88&amp;" / "&amp;B88,'2017'!$C$24:$C$106,B88)+SUMIFS('2017'!$H$24:$H$106,'2017'!$L$24:$L$106,A88&amp;" / "&amp;B88,'2017'!$F$24:$F$106,B88)+SUMIFS('2018'!$E$24:$E$106,'2018'!$L$24:$L$106,A88&amp;" / "&amp;B88,'2018'!$C$24:$C$106,B88)+SUMIFS('2018'!$H$24:$H$106,'2018'!$L$24:$L$106,A88&amp;" / "&amp;B88,'2018'!$F$24:$F$106,B88)+SUMIFS('2019'!$E$24:$E$106,'2019'!$L$24:$L$106,A88&amp;" / "&amp;B88,'2019'!$C$24:$C$106,B88)+SUMIFS('2019'!$H$24:$H$106,'2019'!$L$24:$L$106,A88&amp;" / "&amp;B88,'2019'!$F$24:$F$106,B88)+SUMIFS('2020'!$E$24:$E$106,'2020'!$L$24:$L$106,A88&amp;" / "&amp;B88,'2020'!$C$24:$C$106,B88)+SUMIFS('2020'!$H$24:$H$106,'2020'!$L$24:$L$106,A88&amp;" / "&amp;B88,'2020'!$F$24:$F$106,B88)+SUMIFS('2021'!$E$24:$E$112,'2021'!$L$24:$L$112,A88&amp;" / "&amp;B88,'2021'!$C$24:$C$112,B88)+SUMIFS('2021'!$H$24:$H$112,'2021'!$L$24:$L$112,A88&amp;" / "&amp;B88,'2021'!$F$24:$F$112,B88)+SUMIFS('2022'!$E$24:$E$112,'2022'!$L$24:$L$112,A88&amp;" / "&amp;B88,'2022'!$C$24:$C$112,B88)+SUMIFS('2022'!$H$24:$H$112,'2022'!$L$24:$L$112,A88&amp;" / "&amp;B88,'2022'!$F$24:$F$112,B88)+SUMIFS('2023'!$E$24:$E$112,'2023'!$L$24:$L$112,A88&amp;" / "&amp;B88,'2023'!$C$24:$C$112,B88)+SUMIFS('2023'!$H$24:$H$112,'2023'!$L$24:$L$112,A88&amp;" / "&amp;B88,'2023'!$F$24:$F$112,B88)+SUMIFS('2024'!$E$24:$E$112,'2024'!$L$24:$L$112,A88&amp;" / "&amp;B88,'2024'!$C$24:$C$112,B88)+SUMIFS('2024'!$H$24:$H$112,'2024'!$L$24:$L$112,A88&amp;" / "&amp;B88,'2024'!$F$24:$F$112,B88)+SUMIFS('2025'!$E$24:$E$112,'2025'!$L$24:$L$112,A88&amp;" / "&amp;B88,'2025'!$C$24:$C$112,B88)+SUMIFS('2025'!$H$24:$H$112,'2025'!$L$24:$L$112,A88&amp;" / "&amp;B88,'2025'!$F$24:$F$112,B88)</x:f>
        <x:v>1207.7</x:v>
      </x:c>
      <x:c r="I88" s="11" t="n">
        <x:f>IF(C88=0,0,(D88+0.5*F88)/C88)</x:f>
        <x:v>0.1111111111111111</x:v>
      </x:c>
      <x:c r="J88" s="2" t="n">
        <x:f>COUNTIFS('2015'!$L$24:$L$96,A88&amp;" / "&amp;B88,'2015'!$B$24:$B$96,"Regular")+COUNTIFS('2016'!$L$24:$L$96,A88&amp;" / "&amp;B88,'2016'!$B$24:$B$96,"Regular")+COUNTIFS('2017'!$L$24:$L$106,A88&amp;" / "&amp;B88,'2017'!$B$24:$B$106,"Regular")+COUNTIFS('2018'!$L$24:$L$106,A88&amp;" / "&amp;B88,'2018'!$B$24:$B$106,"Regular")+COUNTIFS('2019'!$L$24:$L$106,A88&amp;" / "&amp;B88,'2019'!$B$24:$B$106,"Regular")+COUNTIFS('2020'!$L$24:$L$106,A88&amp;" / "&amp;B88,'2020'!$B$24:$B$106,"Regular")+COUNTIFS('2021'!$L$24:$L$112,A88&amp;" / "&amp;B88,'2021'!$B$24:$B$112,"Regular")+COUNTIFS('2022'!$L$24:$L$112,A88&amp;" / "&amp;B88,'2022'!$B$24:$B$112,"Regular")+COUNTIFS('2023'!$L$24:$L$112,A88&amp;" / "&amp;B88,'2023'!$B$24:$B$112,"Regular")+COUNTIFS('2024'!$L$24:$L$112,A88&amp;" / "&amp;B88,'2024'!$B$24:$B$112,"Regular")+COUNTIFS('2025'!$L$24:$L$112,A88&amp;" / "&amp;B88,'2025'!$B$24:$B$112,"Regular")</x:f>
        <x:v>8</x:v>
      </x:c>
      <x:c r="K88" s="2" t="n">
        <x:f>COUNTIFS('2015'!$L$24:$L$96,A88&amp;" / "&amp;B88,'2015'!$B$24:$B$96,"Playoffs")+COUNTIFS('2016'!$L$24:$L$96,A88&amp;" / "&amp;B88,'2016'!$B$24:$B$96,"Playoffs")+COUNTIFS('2017'!$L$24:$L$106,A88&amp;" / "&amp;B88,'2017'!$B$24:$B$106,"Playoffs")+COUNTIFS('2018'!$L$24:$L$106,A88&amp;" / "&amp;B88,'2018'!$B$24:$B$106,"Playoffs")+COUNTIFS('2019'!$L$24:$L$106,A88&amp;" / "&amp;B88,'2019'!$B$24:$B$106,"Playoffs")+COUNTIFS('2020'!$L$24:$L$106,A88&amp;" / "&amp;B88,'2020'!$B$24:$B$106,"Playoffs")+COUNTIFS('2021'!$L$24:$L$112,A88&amp;" / "&amp;B88,'2021'!$B$24:$B$112,"Playoffs")+COUNTIFS('2022'!$L$24:$L$112,A88&amp;" / "&amp;B88,'2022'!$B$24:$B$112,"Playoffs")+COUNTIFS('2023'!$L$24:$L$112,A88&amp;" / "&amp;B88,'2023'!$B$24:$B$112,"Playoffs")+COUNTIFS('2024'!$L$24:$L$112,A88&amp;" / "&amp;B88,'2024'!$B$24:$B$112,"Playoffs")+COUNTIFS('2025'!$L$24:$L$112,A88&amp;" / "&amp;B88,'2025'!$B$24:$B$112,"Playoffs")</x:f>
        <x:v>1</x:v>
      </x:c>
      <x:c r="L88" s="2" t="n">
        <x:f>COUNTIFS('2015'!$L$24:$L$96,A88&amp;" / "&amp;B88,'2015'!$B$24:$B$96,"Unconfirmed")+COUNTIFS('2016'!$L$24:$L$96,A88&amp;" / "&amp;B88,'2016'!$B$24:$B$96,"Unconfirmed")+COUNTIFS('2017'!$L$24:$L$106,A88&amp;" / "&amp;B88,'2017'!$B$24:$B$106,"Unconfirmed")+COUNTIFS('2018'!$L$24:$L$106,A88&amp;" / "&amp;B88,'2018'!$B$24:$B$106,"Unconfirmed")+COUNTIFS('2019'!$L$24:$L$106,A88&amp;" / "&amp;B88,'2019'!$B$24:$B$106,"Unconfirmed")+COUNTIFS('2020'!$L$24:$L$106,A88&amp;" / "&amp;B88,'2020'!$B$24:$B$106,"Unconfirmed")+COUNTIFS('2021'!$L$24:$L$112,A88&amp;" / "&amp;B88,'2021'!$B$24:$B$112,"Unconfirmed")+COUNTIFS('2022'!$L$24:$L$112,A88&amp;" / "&amp;B88,'2022'!$B$24:$B$112,"Unconfirmed")+COUNTIFS('2023'!$L$24:$L$112,A88&amp;" / "&amp;B88,'2023'!$B$24:$B$112,"Unconfirmed")+COUNTIFS('2024'!$L$24:$L$112,A88&amp;" / "&amp;B88,'2024'!$B$24:$B$112,"Unconfirmed")+COUNTIFS('2025'!$L$24:$L$112,A88&amp;" / "&amp;B88,'2025'!$B$24:$B$112,"Unconfirmed")</x:f>
        <x:v>0</x:v>
      </x:c>
    </x:row>
    <x:row r="89" ht="22" customHeight="1">
      <x:c r="A89" s="2" t="str">
        <x:v>Dave</x:v>
      </x:c>
      <x:c r="B89" s="2" t="str">
        <x:v>Poker Dude</x:v>
      </x:c>
      <x:c r="C89" s="2" t="n">
        <x:f>COUNTIFS('2015'!$L$24:$L$96,A89&amp;" / "&amp;B89)+COUNTIFS('2016'!$L$24:$L$96,A89&amp;" / "&amp;B89)+COUNTIFS('2017'!$L$24:$L$106,A89&amp;" / "&amp;B89)+COUNTIFS('2018'!$L$24:$L$106,A89&amp;" / "&amp;B89)+COUNTIFS('2019'!$L$24:$L$106,A89&amp;" / "&amp;B89)+COUNTIFS('2020'!$L$24:$L$106,A89&amp;" / "&amp;B89)+COUNTIFS('2021'!$L$24:$L$112,A89&amp;" / "&amp;B89)+COUNTIFS('2022'!$L$24:$L$112,A89&amp;" / "&amp;B89)+COUNTIFS('2023'!$L$24:$L$112,A89&amp;" / "&amp;B89)+COUNTIFS('2024'!$L$24:$L$112,A89&amp;" / "&amp;B89)+COUNTIFS('2025'!$L$24:$L$112,A89&amp;" / "&amp;B89)</x:f>
        <x:v>7</x:v>
      </x:c>
      <x:c r="D89" s="2" t="n">
        <x:f>COUNTIFS('2015'!$L$24:$L$96,A89&amp;" / "&amp;B89,'2015'!$I$24:$I$96,A89)+COUNTIFS('2016'!$L$24:$L$96,A89&amp;" / "&amp;B89,'2016'!$I$24:$I$96,A89)+COUNTIFS('2017'!$L$24:$L$106,A89&amp;" / "&amp;B89,'2017'!$I$24:$I$106,A89)+COUNTIFS('2018'!$L$24:$L$106,A89&amp;" / "&amp;B89,'2018'!$I$24:$I$106,A89)+COUNTIFS('2019'!$L$24:$L$106,A89&amp;" / "&amp;B89,'2019'!$I$24:$I$106,A89)+COUNTIFS('2020'!$L$24:$L$106,A89&amp;" / "&amp;B89,'2020'!$I$24:$I$106,A89)+COUNTIFS('2021'!$L$24:$L$112,A89&amp;" / "&amp;B89,'2021'!$I$24:$I$112,A89)+COUNTIFS('2022'!$L$24:$L$112,A89&amp;" / "&amp;B89,'2022'!$I$24:$I$112,A89)+COUNTIFS('2023'!$L$24:$L$112,A89&amp;" / "&amp;B89,'2023'!$I$24:$I$112,A89)+COUNTIFS('2024'!$L$24:$L$112,A89&amp;" / "&amp;B89,'2024'!$I$24:$I$112,A89)+COUNTIFS('2025'!$L$24:$L$112,A89&amp;" / "&amp;B89,'2025'!$I$24:$I$112,A89)</x:f>
        <x:v>3</x:v>
      </x:c>
      <x:c r="E89" s="2" t="n">
        <x:f>COUNTIFS('2015'!$L$24:$L$96,A89&amp;" / "&amp;B89,'2015'!$I$24:$I$96,B89)+COUNTIFS('2016'!$L$24:$L$96,A89&amp;" / "&amp;B89,'2016'!$I$24:$I$96,B89)+COUNTIFS('2017'!$L$24:$L$106,A89&amp;" / "&amp;B89,'2017'!$I$24:$I$106,B89)+COUNTIFS('2018'!$L$24:$L$106,A89&amp;" / "&amp;B89,'2018'!$I$24:$I$106,B89)+COUNTIFS('2019'!$L$24:$L$106,A89&amp;" / "&amp;B89,'2019'!$I$24:$I$106,B89)+COUNTIFS('2020'!$L$24:$L$106,A89&amp;" / "&amp;B89,'2020'!$I$24:$I$106,B89)+COUNTIFS('2021'!$L$24:$L$112,A89&amp;" / "&amp;B89,'2021'!$I$24:$I$112,B89)+COUNTIFS('2022'!$L$24:$L$112,A89&amp;" / "&amp;B89,'2022'!$I$24:$I$112,B89)+COUNTIFS('2023'!$L$24:$L$112,A89&amp;" / "&amp;B89,'2023'!$I$24:$I$112,B89)+COUNTIFS('2024'!$L$24:$L$112,A89&amp;" / "&amp;B89,'2024'!$I$24:$I$112,B89)+COUNTIFS('2025'!$L$24:$L$112,A89&amp;" / "&amp;B89,'2025'!$I$24:$I$112,B89)</x:f>
        <x:v>4</x:v>
      </x:c>
      <x:c r="F89" s="2" t="n">
        <x:f>COUNTIFS('2015'!$L$24:$L$96,A89&amp;" / "&amp;B89,'2015'!$K$24:$K$96,1)+COUNTIFS('2016'!$L$24:$L$96,A89&amp;" / "&amp;B89,'2016'!$K$24:$K$96,1)+COUNTIFS('2017'!$L$24:$L$106,A89&amp;" / "&amp;B89,'2017'!$K$24:$K$106,1)+COUNTIFS('2018'!$L$24:$L$106,A89&amp;" / "&amp;B89,'2018'!$K$24:$K$106,1)+COUNTIFS('2019'!$L$24:$L$106,A89&amp;" / "&amp;B89,'2019'!$K$24:$K$106,1)+COUNTIFS('2020'!$L$24:$L$106,A89&amp;" / "&amp;B89,'2020'!$K$24:$K$106,1)+COUNTIFS('2021'!$L$24:$L$112,A89&amp;" / "&amp;B89,'2021'!$K$24:$K$112,1)+COUNTIFS('2022'!$L$24:$L$112,A89&amp;" / "&amp;B89,'2022'!$K$24:$K$112,1)+COUNTIFS('2023'!$L$24:$L$112,A89&amp;" / "&amp;B89,'2023'!$K$24:$K$112,1)+COUNTIFS('2024'!$L$24:$L$112,A89&amp;" / "&amp;B89,'2024'!$K$24:$K$112,1)+COUNTIFS('2025'!$L$24:$L$112,A89&amp;" / "&amp;B89,'2025'!$K$24:$K$112,1)</x:f>
        <x:v>0</x:v>
      </x:c>
      <x:c r="G89" s="25" t="n">
        <x:f>SUMIFS('2015'!$E$24:$E$96,'2015'!$L$24:$L$96,A89&amp;" / "&amp;B89,'2015'!$C$24:$C$96,A89)+SUMIFS('2015'!$H$24:$H$96,'2015'!$L$24:$L$96,A89&amp;" / "&amp;B89,'2015'!$F$24:$F$96,A89)+SUMIFS('2016'!$E$24:$E$96,'2016'!$L$24:$L$96,A89&amp;" / "&amp;B89,'2016'!$C$24:$C$96,A89)+SUMIFS('2016'!$H$24:$H$96,'2016'!$L$24:$L$96,A89&amp;" / "&amp;B89,'2016'!$F$24:$F$96,A89)+SUMIFS('2017'!$E$24:$E$106,'2017'!$L$24:$L$106,A89&amp;" / "&amp;B89,'2017'!$C$24:$C$106,A89)+SUMIFS('2017'!$H$24:$H$106,'2017'!$L$24:$L$106,A89&amp;" / "&amp;B89,'2017'!$F$24:$F$106,A89)+SUMIFS('2018'!$E$24:$E$106,'2018'!$L$24:$L$106,A89&amp;" / "&amp;B89,'2018'!$C$24:$C$106,A89)+SUMIFS('2018'!$H$24:$H$106,'2018'!$L$24:$L$106,A89&amp;" / "&amp;B89,'2018'!$F$24:$F$106,A89)+SUMIFS('2019'!$E$24:$E$106,'2019'!$L$24:$L$106,A89&amp;" / "&amp;B89,'2019'!$C$24:$C$106,A89)+SUMIFS('2019'!$H$24:$H$106,'2019'!$L$24:$L$106,A89&amp;" / "&amp;B89,'2019'!$F$24:$F$106,A89)+SUMIFS('2020'!$E$24:$E$106,'2020'!$L$24:$L$106,A89&amp;" / "&amp;B89,'2020'!$C$24:$C$106,A89)+SUMIFS('2020'!$H$24:$H$106,'2020'!$L$24:$L$106,A89&amp;" / "&amp;B89,'2020'!$F$24:$F$106,A89)+SUMIFS('2021'!$E$24:$E$112,'2021'!$L$24:$L$112,A89&amp;" / "&amp;B89,'2021'!$C$24:$C$112,A89)+SUMIFS('2021'!$H$24:$H$112,'2021'!$L$24:$L$112,A89&amp;" / "&amp;B89,'2021'!$F$24:$F$112,A89)+SUMIFS('2022'!$E$24:$E$112,'2022'!$L$24:$L$112,A89&amp;" / "&amp;B89,'2022'!$C$24:$C$112,A89)+SUMIFS('2022'!$H$24:$H$112,'2022'!$L$24:$L$112,A89&amp;" / "&amp;B89,'2022'!$F$24:$F$112,A89)+SUMIFS('2023'!$E$24:$E$112,'2023'!$L$24:$L$112,A89&amp;" / "&amp;B89,'2023'!$C$24:$C$112,A89)+SUMIFS('2023'!$H$24:$H$112,'2023'!$L$24:$L$112,A89&amp;" / "&amp;B89,'2023'!$F$24:$F$112,A89)+SUMIFS('2024'!$E$24:$E$112,'2024'!$L$24:$L$112,A89&amp;" / "&amp;B89,'2024'!$C$24:$C$112,A89)+SUMIFS('2024'!$H$24:$H$112,'2024'!$L$24:$L$112,A89&amp;" / "&amp;B89,'2024'!$F$24:$F$112,A89)+SUMIFS('2025'!$E$24:$E$112,'2025'!$L$24:$L$112,A89&amp;" / "&amp;B89,'2025'!$C$24:$C$112,A89)+SUMIFS('2025'!$H$24:$H$112,'2025'!$L$24:$L$112,A89&amp;" / "&amp;B89,'2025'!$F$24:$F$112,A89)</x:f>
        <x:v>739.25</x:v>
      </x:c>
      <x:c r="H89" s="25" t="n">
        <x:f>SUMIFS('2015'!$E$24:$E$96,'2015'!$L$24:$L$96,A89&amp;" / "&amp;B89,'2015'!$C$24:$C$96,B89)+SUMIFS('2015'!$H$24:$H$96,'2015'!$L$24:$L$96,A89&amp;" / "&amp;B89,'2015'!$F$24:$F$96,B89)+SUMIFS('2016'!$E$24:$E$96,'2016'!$L$24:$L$96,A89&amp;" / "&amp;B89,'2016'!$C$24:$C$96,B89)+SUMIFS('2016'!$H$24:$H$96,'2016'!$L$24:$L$96,A89&amp;" / "&amp;B89,'2016'!$F$24:$F$96,B89)+SUMIFS('2017'!$E$24:$E$106,'2017'!$L$24:$L$106,A89&amp;" / "&amp;B89,'2017'!$C$24:$C$106,B89)+SUMIFS('2017'!$H$24:$H$106,'2017'!$L$24:$L$106,A89&amp;" / "&amp;B89,'2017'!$F$24:$F$106,B89)+SUMIFS('2018'!$E$24:$E$106,'2018'!$L$24:$L$106,A89&amp;" / "&amp;B89,'2018'!$C$24:$C$106,B89)+SUMIFS('2018'!$H$24:$H$106,'2018'!$L$24:$L$106,A89&amp;" / "&amp;B89,'2018'!$F$24:$F$106,B89)+SUMIFS('2019'!$E$24:$E$106,'2019'!$L$24:$L$106,A89&amp;" / "&amp;B89,'2019'!$C$24:$C$106,B89)+SUMIFS('2019'!$H$24:$H$106,'2019'!$L$24:$L$106,A89&amp;" / "&amp;B89,'2019'!$F$24:$F$106,B89)+SUMIFS('2020'!$E$24:$E$106,'2020'!$L$24:$L$106,A89&amp;" / "&amp;B89,'2020'!$C$24:$C$106,B89)+SUMIFS('2020'!$H$24:$H$106,'2020'!$L$24:$L$106,A89&amp;" / "&amp;B89,'2020'!$F$24:$F$106,B89)+SUMIFS('2021'!$E$24:$E$112,'2021'!$L$24:$L$112,A89&amp;" / "&amp;B89,'2021'!$C$24:$C$112,B89)+SUMIFS('2021'!$H$24:$H$112,'2021'!$L$24:$L$112,A89&amp;" / "&amp;B89,'2021'!$F$24:$F$112,B89)+SUMIFS('2022'!$E$24:$E$112,'2022'!$L$24:$L$112,A89&amp;" / "&amp;B89,'2022'!$C$24:$C$112,B89)+SUMIFS('2022'!$H$24:$H$112,'2022'!$L$24:$L$112,A89&amp;" / "&amp;B89,'2022'!$F$24:$F$112,B89)+SUMIFS('2023'!$E$24:$E$112,'2023'!$L$24:$L$112,A89&amp;" / "&amp;B89,'2023'!$C$24:$C$112,B89)+SUMIFS('2023'!$H$24:$H$112,'2023'!$L$24:$L$112,A89&amp;" / "&amp;B89,'2023'!$F$24:$F$112,B89)+SUMIFS('2024'!$E$24:$E$112,'2024'!$L$24:$L$112,A89&amp;" / "&amp;B89,'2024'!$C$24:$C$112,B89)+SUMIFS('2024'!$H$24:$H$112,'2024'!$L$24:$L$112,A89&amp;" / "&amp;B89,'2024'!$F$24:$F$112,B89)+SUMIFS('2025'!$E$24:$E$112,'2025'!$L$24:$L$112,A89&amp;" / "&amp;B89,'2025'!$C$24:$C$112,B89)+SUMIFS('2025'!$H$24:$H$112,'2025'!$L$24:$L$112,A89&amp;" / "&amp;B89,'2025'!$F$24:$F$112,B89)</x:f>
        <x:v>814.5</x:v>
      </x:c>
      <x:c r="I89" s="11" t="n">
        <x:f>IF(C89=0,0,(D89+0.5*F89)/C89)</x:f>
        <x:v>0.42857142857142855</x:v>
      </x:c>
      <x:c r="J89" s="2" t="n">
        <x:f>COUNTIFS('2015'!$L$24:$L$96,A89&amp;" / "&amp;B89,'2015'!$B$24:$B$96,"Regular")+COUNTIFS('2016'!$L$24:$L$96,A89&amp;" / "&amp;B89,'2016'!$B$24:$B$96,"Regular")+COUNTIFS('2017'!$L$24:$L$106,A89&amp;" / "&amp;B89,'2017'!$B$24:$B$106,"Regular")+COUNTIFS('2018'!$L$24:$L$106,A89&amp;" / "&amp;B89,'2018'!$B$24:$B$106,"Regular")+COUNTIFS('2019'!$L$24:$L$106,A89&amp;" / "&amp;B89,'2019'!$B$24:$B$106,"Regular")+COUNTIFS('2020'!$L$24:$L$106,A89&amp;" / "&amp;B89,'2020'!$B$24:$B$106,"Regular")+COUNTIFS('2021'!$L$24:$L$112,A89&amp;" / "&amp;B89,'2021'!$B$24:$B$112,"Regular")+COUNTIFS('2022'!$L$24:$L$112,A89&amp;" / "&amp;B89,'2022'!$B$24:$B$112,"Regular")+COUNTIFS('2023'!$L$24:$L$112,A89&amp;" / "&amp;B89,'2023'!$B$24:$B$112,"Regular")+COUNTIFS('2024'!$L$24:$L$112,A89&amp;" / "&amp;B89,'2024'!$B$24:$B$112,"Regular")+COUNTIFS('2025'!$L$24:$L$112,A89&amp;" / "&amp;B89,'2025'!$B$24:$B$112,"Regular")</x:f>
        <x:v>7</x:v>
      </x:c>
      <x:c r="K89" s="2" t="n">
        <x:f>COUNTIFS('2015'!$L$24:$L$96,A89&amp;" / "&amp;B89,'2015'!$B$24:$B$96,"Playoffs")+COUNTIFS('2016'!$L$24:$L$96,A89&amp;" / "&amp;B89,'2016'!$B$24:$B$96,"Playoffs")+COUNTIFS('2017'!$L$24:$L$106,A89&amp;" / "&amp;B89,'2017'!$B$24:$B$106,"Playoffs")+COUNTIFS('2018'!$L$24:$L$106,A89&amp;" / "&amp;B89,'2018'!$B$24:$B$106,"Playoffs")+COUNTIFS('2019'!$L$24:$L$106,A89&amp;" / "&amp;B89,'2019'!$B$24:$B$106,"Playoffs")+COUNTIFS('2020'!$L$24:$L$106,A89&amp;" / "&amp;B89,'2020'!$B$24:$B$106,"Playoffs")+COUNTIFS('2021'!$L$24:$L$112,A89&amp;" / "&amp;B89,'2021'!$B$24:$B$112,"Playoffs")+COUNTIFS('2022'!$L$24:$L$112,A89&amp;" / "&amp;B89,'2022'!$B$24:$B$112,"Playoffs")+COUNTIFS('2023'!$L$24:$L$112,A89&amp;" / "&amp;B89,'2023'!$B$24:$B$112,"Playoffs")+COUNTIFS('2024'!$L$24:$L$112,A89&amp;" / "&amp;B89,'2024'!$B$24:$B$112,"Playoffs")+COUNTIFS('2025'!$L$24:$L$112,A89&amp;" / "&amp;B89,'2025'!$B$24:$B$112,"Playoffs")</x:f>
        <x:v>0</x:v>
      </x:c>
      <x:c r="L89" s="2" t="n">
        <x:f>COUNTIFS('2015'!$L$24:$L$96,A89&amp;" / "&amp;B89,'2015'!$B$24:$B$96,"Unconfirmed")+COUNTIFS('2016'!$L$24:$L$96,A89&amp;" / "&amp;B89,'2016'!$B$24:$B$96,"Unconfirmed")+COUNTIFS('2017'!$L$24:$L$106,A89&amp;" / "&amp;B89,'2017'!$B$24:$B$106,"Unconfirmed")+COUNTIFS('2018'!$L$24:$L$106,A89&amp;" / "&amp;B89,'2018'!$B$24:$B$106,"Unconfirmed")+COUNTIFS('2019'!$L$24:$L$106,A89&amp;" / "&amp;B89,'2019'!$B$24:$B$106,"Unconfirmed")+COUNTIFS('2020'!$L$24:$L$106,A89&amp;" / "&amp;B89,'2020'!$B$24:$B$106,"Unconfirmed")+COUNTIFS('2021'!$L$24:$L$112,A89&amp;" / "&amp;B89,'2021'!$B$24:$B$112,"Unconfirmed")+COUNTIFS('2022'!$L$24:$L$112,A89&amp;" / "&amp;B89,'2022'!$B$24:$B$112,"Unconfirmed")+COUNTIFS('2023'!$L$24:$L$112,A89&amp;" / "&amp;B89,'2023'!$B$24:$B$112,"Unconfirmed")+COUNTIFS('2024'!$L$24:$L$112,A89&amp;" / "&amp;B89,'2024'!$B$24:$B$112,"Unconfirmed")+COUNTIFS('2025'!$L$24:$L$112,A89&amp;" / "&amp;B89,'2025'!$B$24:$B$112,"Unconfirmed")</x:f>
        <x:v>0</x:v>
      </x:c>
    </x:row>
    <x:row r="90" ht="22" customHeight="1">
      <x:c r="A90" s="2" t="str">
        <x:v>Dave</x:v>
      </x:c>
      <x:c r="B90" s="2" t="str">
        <x:v>Ryan</x:v>
      </x:c>
      <x:c r="C90" s="2" t="n">
        <x:f>COUNTIFS('2015'!$L$24:$L$96,A90&amp;" / "&amp;B90)+COUNTIFS('2016'!$L$24:$L$96,A90&amp;" / "&amp;B90)+COUNTIFS('2017'!$L$24:$L$106,A90&amp;" / "&amp;B90)+COUNTIFS('2018'!$L$24:$L$106,A90&amp;" / "&amp;B90)+COUNTIFS('2019'!$L$24:$L$106,A90&amp;" / "&amp;B90)+COUNTIFS('2020'!$L$24:$L$106,A90&amp;" / "&amp;B90)+COUNTIFS('2021'!$L$24:$L$112,A90&amp;" / "&amp;B90)+COUNTIFS('2022'!$L$24:$L$112,A90&amp;" / "&amp;B90)+COUNTIFS('2023'!$L$24:$L$112,A90&amp;" / "&amp;B90)+COUNTIFS('2024'!$L$24:$L$112,A90&amp;" / "&amp;B90)+COUNTIFS('2025'!$L$24:$L$112,A90&amp;" / "&amp;B90)</x:f>
        <x:v>2</x:v>
      </x:c>
      <x:c r="D90" s="2" t="n">
        <x:f>COUNTIFS('2015'!$L$24:$L$96,A90&amp;" / "&amp;B90,'2015'!$I$24:$I$96,A90)+COUNTIFS('2016'!$L$24:$L$96,A90&amp;" / "&amp;B90,'2016'!$I$24:$I$96,A90)+COUNTIFS('2017'!$L$24:$L$106,A90&amp;" / "&amp;B90,'2017'!$I$24:$I$106,A90)+COUNTIFS('2018'!$L$24:$L$106,A90&amp;" / "&amp;B90,'2018'!$I$24:$I$106,A90)+COUNTIFS('2019'!$L$24:$L$106,A90&amp;" / "&amp;B90,'2019'!$I$24:$I$106,A90)+COUNTIFS('2020'!$L$24:$L$106,A90&amp;" / "&amp;B90,'2020'!$I$24:$I$106,A90)+COUNTIFS('2021'!$L$24:$L$112,A90&amp;" / "&amp;B90,'2021'!$I$24:$I$112,A90)+COUNTIFS('2022'!$L$24:$L$112,A90&amp;" / "&amp;B90,'2022'!$I$24:$I$112,A90)+COUNTIFS('2023'!$L$24:$L$112,A90&amp;" / "&amp;B90,'2023'!$I$24:$I$112,A90)+COUNTIFS('2024'!$L$24:$L$112,A90&amp;" / "&amp;B90,'2024'!$I$24:$I$112,A90)+COUNTIFS('2025'!$L$24:$L$112,A90&amp;" / "&amp;B90,'2025'!$I$24:$I$112,A90)</x:f>
        <x:v>0</x:v>
      </x:c>
      <x:c r="E90" s="2" t="n">
        <x:f>COUNTIFS('2015'!$L$24:$L$96,A90&amp;" / "&amp;B90,'2015'!$I$24:$I$96,B90)+COUNTIFS('2016'!$L$24:$L$96,A90&amp;" / "&amp;B90,'2016'!$I$24:$I$96,B90)+COUNTIFS('2017'!$L$24:$L$106,A90&amp;" / "&amp;B90,'2017'!$I$24:$I$106,B90)+COUNTIFS('2018'!$L$24:$L$106,A90&amp;" / "&amp;B90,'2018'!$I$24:$I$106,B90)+COUNTIFS('2019'!$L$24:$L$106,A90&amp;" / "&amp;B90,'2019'!$I$24:$I$106,B90)+COUNTIFS('2020'!$L$24:$L$106,A90&amp;" / "&amp;B90,'2020'!$I$24:$I$106,B90)+COUNTIFS('2021'!$L$24:$L$112,A90&amp;" / "&amp;B90,'2021'!$I$24:$I$112,B90)+COUNTIFS('2022'!$L$24:$L$112,A90&amp;" / "&amp;B90,'2022'!$I$24:$I$112,B90)+COUNTIFS('2023'!$L$24:$L$112,A90&amp;" / "&amp;B90,'2023'!$I$24:$I$112,B90)+COUNTIFS('2024'!$L$24:$L$112,A90&amp;" / "&amp;B90,'2024'!$I$24:$I$112,B90)+COUNTIFS('2025'!$L$24:$L$112,A90&amp;" / "&amp;B90,'2025'!$I$24:$I$112,B90)</x:f>
        <x:v>2</x:v>
      </x:c>
      <x:c r="F90" s="2" t="n">
        <x:f>COUNTIFS('2015'!$L$24:$L$96,A90&amp;" / "&amp;B90,'2015'!$K$24:$K$96,1)+COUNTIFS('2016'!$L$24:$L$96,A90&amp;" / "&amp;B90,'2016'!$K$24:$K$96,1)+COUNTIFS('2017'!$L$24:$L$106,A90&amp;" / "&amp;B90,'2017'!$K$24:$K$106,1)+COUNTIFS('2018'!$L$24:$L$106,A90&amp;" / "&amp;B90,'2018'!$K$24:$K$106,1)+COUNTIFS('2019'!$L$24:$L$106,A90&amp;" / "&amp;B90,'2019'!$K$24:$K$106,1)+COUNTIFS('2020'!$L$24:$L$106,A90&amp;" / "&amp;B90,'2020'!$K$24:$K$106,1)+COUNTIFS('2021'!$L$24:$L$112,A90&amp;" / "&amp;B90,'2021'!$K$24:$K$112,1)+COUNTIFS('2022'!$L$24:$L$112,A90&amp;" / "&amp;B90,'2022'!$K$24:$K$112,1)+COUNTIFS('2023'!$L$24:$L$112,A90&amp;" / "&amp;B90,'2023'!$K$24:$K$112,1)+COUNTIFS('2024'!$L$24:$L$112,A90&amp;" / "&amp;B90,'2024'!$K$24:$K$112,1)+COUNTIFS('2025'!$L$24:$L$112,A90&amp;" / "&amp;B90,'2025'!$K$24:$K$112,1)</x:f>
        <x:v>0</x:v>
      </x:c>
      <x:c r="G90" s="25" t="n">
        <x:f>SUMIFS('2015'!$E$24:$E$96,'2015'!$L$24:$L$96,A90&amp;" / "&amp;B90,'2015'!$C$24:$C$96,A90)+SUMIFS('2015'!$H$24:$H$96,'2015'!$L$24:$L$96,A90&amp;" / "&amp;B90,'2015'!$F$24:$F$96,A90)+SUMIFS('2016'!$E$24:$E$96,'2016'!$L$24:$L$96,A90&amp;" / "&amp;B90,'2016'!$C$24:$C$96,A90)+SUMIFS('2016'!$H$24:$H$96,'2016'!$L$24:$L$96,A90&amp;" / "&amp;B90,'2016'!$F$24:$F$96,A90)+SUMIFS('2017'!$E$24:$E$106,'2017'!$L$24:$L$106,A90&amp;" / "&amp;B90,'2017'!$C$24:$C$106,A90)+SUMIFS('2017'!$H$24:$H$106,'2017'!$L$24:$L$106,A90&amp;" / "&amp;B90,'2017'!$F$24:$F$106,A90)+SUMIFS('2018'!$E$24:$E$106,'2018'!$L$24:$L$106,A90&amp;" / "&amp;B90,'2018'!$C$24:$C$106,A90)+SUMIFS('2018'!$H$24:$H$106,'2018'!$L$24:$L$106,A90&amp;" / "&amp;B90,'2018'!$F$24:$F$106,A90)+SUMIFS('2019'!$E$24:$E$106,'2019'!$L$24:$L$106,A90&amp;" / "&amp;B90,'2019'!$C$24:$C$106,A90)+SUMIFS('2019'!$H$24:$H$106,'2019'!$L$24:$L$106,A90&amp;" / "&amp;B90,'2019'!$F$24:$F$106,A90)+SUMIFS('2020'!$E$24:$E$106,'2020'!$L$24:$L$106,A90&amp;" / "&amp;B90,'2020'!$C$24:$C$106,A90)+SUMIFS('2020'!$H$24:$H$106,'2020'!$L$24:$L$106,A90&amp;" / "&amp;B90,'2020'!$F$24:$F$106,A90)+SUMIFS('2021'!$E$24:$E$112,'2021'!$L$24:$L$112,A90&amp;" / "&amp;B90,'2021'!$C$24:$C$112,A90)+SUMIFS('2021'!$H$24:$H$112,'2021'!$L$24:$L$112,A90&amp;" / "&amp;B90,'2021'!$F$24:$F$112,A90)+SUMIFS('2022'!$E$24:$E$112,'2022'!$L$24:$L$112,A90&amp;" / "&amp;B90,'2022'!$C$24:$C$112,A90)+SUMIFS('2022'!$H$24:$H$112,'2022'!$L$24:$L$112,A90&amp;" / "&amp;B90,'2022'!$F$24:$F$112,A90)+SUMIFS('2023'!$E$24:$E$112,'2023'!$L$24:$L$112,A90&amp;" / "&amp;B90,'2023'!$C$24:$C$112,A90)+SUMIFS('2023'!$H$24:$H$112,'2023'!$L$24:$L$112,A90&amp;" / "&amp;B90,'2023'!$F$24:$F$112,A90)+SUMIFS('2024'!$E$24:$E$112,'2024'!$L$24:$L$112,A90&amp;" / "&amp;B90,'2024'!$C$24:$C$112,A90)+SUMIFS('2024'!$H$24:$H$112,'2024'!$L$24:$L$112,A90&amp;" / "&amp;B90,'2024'!$F$24:$F$112,A90)+SUMIFS('2025'!$E$24:$E$112,'2025'!$L$24:$L$112,A90&amp;" / "&amp;B90,'2025'!$C$24:$C$112,A90)+SUMIFS('2025'!$H$24:$H$112,'2025'!$L$24:$L$112,A90&amp;" / "&amp;B90,'2025'!$F$24:$F$112,A90)</x:f>
        <x:v>236.39999999999998</x:v>
      </x:c>
      <x:c r="H90" s="25" t="n">
        <x:f>SUMIFS('2015'!$E$24:$E$96,'2015'!$L$24:$L$96,A90&amp;" / "&amp;B90,'2015'!$C$24:$C$96,B90)+SUMIFS('2015'!$H$24:$H$96,'2015'!$L$24:$L$96,A90&amp;" / "&amp;B90,'2015'!$F$24:$F$96,B90)+SUMIFS('2016'!$E$24:$E$96,'2016'!$L$24:$L$96,A90&amp;" / "&amp;B90,'2016'!$C$24:$C$96,B90)+SUMIFS('2016'!$H$24:$H$96,'2016'!$L$24:$L$96,A90&amp;" / "&amp;B90,'2016'!$F$24:$F$96,B90)+SUMIFS('2017'!$E$24:$E$106,'2017'!$L$24:$L$106,A90&amp;" / "&amp;B90,'2017'!$C$24:$C$106,B90)+SUMIFS('2017'!$H$24:$H$106,'2017'!$L$24:$L$106,A90&amp;" / "&amp;B90,'2017'!$F$24:$F$106,B90)+SUMIFS('2018'!$E$24:$E$106,'2018'!$L$24:$L$106,A90&amp;" / "&amp;B90,'2018'!$C$24:$C$106,B90)+SUMIFS('2018'!$H$24:$H$106,'2018'!$L$24:$L$106,A90&amp;" / "&amp;B90,'2018'!$F$24:$F$106,B90)+SUMIFS('2019'!$E$24:$E$106,'2019'!$L$24:$L$106,A90&amp;" / "&amp;B90,'2019'!$C$24:$C$106,B90)+SUMIFS('2019'!$H$24:$H$106,'2019'!$L$24:$L$106,A90&amp;" / "&amp;B90,'2019'!$F$24:$F$106,B90)+SUMIFS('2020'!$E$24:$E$106,'2020'!$L$24:$L$106,A90&amp;" / "&amp;B90,'2020'!$C$24:$C$106,B90)+SUMIFS('2020'!$H$24:$H$106,'2020'!$L$24:$L$106,A90&amp;" / "&amp;B90,'2020'!$F$24:$F$106,B90)+SUMIFS('2021'!$E$24:$E$112,'2021'!$L$24:$L$112,A90&amp;" / "&amp;B90,'2021'!$C$24:$C$112,B90)+SUMIFS('2021'!$H$24:$H$112,'2021'!$L$24:$L$112,A90&amp;" / "&amp;B90,'2021'!$F$24:$F$112,B90)+SUMIFS('2022'!$E$24:$E$112,'2022'!$L$24:$L$112,A90&amp;" / "&amp;B90,'2022'!$C$24:$C$112,B90)+SUMIFS('2022'!$H$24:$H$112,'2022'!$L$24:$L$112,A90&amp;" / "&amp;B90,'2022'!$F$24:$F$112,B90)+SUMIFS('2023'!$E$24:$E$112,'2023'!$L$24:$L$112,A90&amp;" / "&amp;B90,'2023'!$C$24:$C$112,B90)+SUMIFS('2023'!$H$24:$H$112,'2023'!$L$24:$L$112,A90&amp;" / "&amp;B90,'2023'!$F$24:$F$112,B90)+SUMIFS('2024'!$E$24:$E$112,'2024'!$L$24:$L$112,A90&amp;" / "&amp;B90,'2024'!$C$24:$C$112,B90)+SUMIFS('2024'!$H$24:$H$112,'2024'!$L$24:$L$112,A90&amp;" / "&amp;B90,'2024'!$F$24:$F$112,B90)+SUMIFS('2025'!$E$24:$E$112,'2025'!$L$24:$L$112,A90&amp;" / "&amp;B90,'2025'!$C$24:$C$112,B90)+SUMIFS('2025'!$H$24:$H$112,'2025'!$L$24:$L$112,A90&amp;" / "&amp;B90,'2025'!$F$24:$F$112,B90)</x:f>
        <x:v>269.75</x:v>
      </x:c>
      <x:c r="I90" s="11" t="n">
        <x:f>IF(C90=0,0,(D90+0.5*F90)/C90)</x:f>
        <x:v>0</x:v>
      </x:c>
      <x:c r="J90" s="2" t="n">
        <x:f>COUNTIFS('2015'!$L$24:$L$96,A90&amp;" / "&amp;B90,'2015'!$B$24:$B$96,"Regular")+COUNTIFS('2016'!$L$24:$L$96,A90&amp;" / "&amp;B90,'2016'!$B$24:$B$96,"Regular")+COUNTIFS('2017'!$L$24:$L$106,A90&amp;" / "&amp;B90,'2017'!$B$24:$B$106,"Regular")+COUNTIFS('2018'!$L$24:$L$106,A90&amp;" / "&amp;B90,'2018'!$B$24:$B$106,"Regular")+COUNTIFS('2019'!$L$24:$L$106,A90&amp;" / "&amp;B90,'2019'!$B$24:$B$106,"Regular")+COUNTIFS('2020'!$L$24:$L$106,A90&amp;" / "&amp;B90,'2020'!$B$24:$B$106,"Regular")+COUNTIFS('2021'!$L$24:$L$112,A90&amp;" / "&amp;B90,'2021'!$B$24:$B$112,"Regular")+COUNTIFS('2022'!$L$24:$L$112,A90&amp;" / "&amp;B90,'2022'!$B$24:$B$112,"Regular")+COUNTIFS('2023'!$L$24:$L$112,A90&amp;" / "&amp;B90,'2023'!$B$24:$B$112,"Regular")+COUNTIFS('2024'!$L$24:$L$112,A90&amp;" / "&amp;B90,'2024'!$B$24:$B$112,"Regular")+COUNTIFS('2025'!$L$24:$L$112,A90&amp;" / "&amp;B90,'2025'!$B$24:$B$112,"Regular")</x:f>
        <x:v>2</x:v>
      </x:c>
      <x:c r="K90" s="2" t="n">
        <x:f>COUNTIFS('2015'!$L$24:$L$96,A90&amp;" / "&amp;B90,'2015'!$B$24:$B$96,"Playoffs")+COUNTIFS('2016'!$L$24:$L$96,A90&amp;" / "&amp;B90,'2016'!$B$24:$B$96,"Playoffs")+COUNTIFS('2017'!$L$24:$L$106,A90&amp;" / "&amp;B90,'2017'!$B$24:$B$106,"Playoffs")+COUNTIFS('2018'!$L$24:$L$106,A90&amp;" / "&amp;B90,'2018'!$B$24:$B$106,"Playoffs")+COUNTIFS('2019'!$L$24:$L$106,A90&amp;" / "&amp;B90,'2019'!$B$24:$B$106,"Playoffs")+COUNTIFS('2020'!$L$24:$L$106,A90&amp;" / "&amp;B90,'2020'!$B$24:$B$106,"Playoffs")+COUNTIFS('2021'!$L$24:$L$112,A90&amp;" / "&amp;B90,'2021'!$B$24:$B$112,"Playoffs")+COUNTIFS('2022'!$L$24:$L$112,A90&amp;" / "&amp;B90,'2022'!$B$24:$B$112,"Playoffs")+COUNTIFS('2023'!$L$24:$L$112,A90&amp;" / "&amp;B90,'2023'!$B$24:$B$112,"Playoffs")+COUNTIFS('2024'!$L$24:$L$112,A90&amp;" / "&amp;B90,'2024'!$B$24:$B$112,"Playoffs")+COUNTIFS('2025'!$L$24:$L$112,A90&amp;" / "&amp;B90,'2025'!$B$24:$B$112,"Playoffs")</x:f>
        <x:v>0</x:v>
      </x:c>
      <x:c r="L90" s="2" t="n">
        <x:f>COUNTIFS('2015'!$L$24:$L$96,A90&amp;" / "&amp;B90,'2015'!$B$24:$B$96,"Unconfirmed")+COUNTIFS('2016'!$L$24:$L$96,A90&amp;" / "&amp;B90,'2016'!$B$24:$B$96,"Unconfirmed")+COUNTIFS('2017'!$L$24:$L$106,A90&amp;" / "&amp;B90,'2017'!$B$24:$B$106,"Unconfirmed")+COUNTIFS('2018'!$L$24:$L$106,A90&amp;" / "&amp;B90,'2018'!$B$24:$B$106,"Unconfirmed")+COUNTIFS('2019'!$L$24:$L$106,A90&amp;" / "&amp;B90,'2019'!$B$24:$B$106,"Unconfirmed")+COUNTIFS('2020'!$L$24:$L$106,A90&amp;" / "&amp;B90,'2020'!$B$24:$B$106,"Unconfirmed")+COUNTIFS('2021'!$L$24:$L$112,A90&amp;" / "&amp;B90,'2021'!$B$24:$B$112,"Unconfirmed")+COUNTIFS('2022'!$L$24:$L$112,A90&amp;" / "&amp;B90,'2022'!$B$24:$B$112,"Unconfirmed")+COUNTIFS('2023'!$L$24:$L$112,A90&amp;" / "&amp;B90,'2023'!$B$24:$B$112,"Unconfirmed")+COUNTIFS('2024'!$L$24:$L$112,A90&amp;" / "&amp;B90,'2024'!$B$24:$B$112,"Unconfirmed")+COUNTIFS('2025'!$L$24:$L$112,A90&amp;" / "&amp;B90,'2025'!$B$24:$B$112,"Unconfirmed")</x:f>
        <x:v>0</x:v>
      </x:c>
    </x:row>
    <x:row r="91" ht="22" customHeight="1">
      <x:c r="A91" s="2" t="str">
        <x:v>Dave</x:v>
      </x:c>
      <x:c r="B91" s="2" t="str">
        <x:v>Troy</x:v>
      </x:c>
      <x:c r="C91" s="2" t="n">
        <x:f>COUNTIFS('2015'!$L$24:$L$96,A91&amp;" / "&amp;B91)+COUNTIFS('2016'!$L$24:$L$96,A91&amp;" / "&amp;B91)+COUNTIFS('2017'!$L$24:$L$106,A91&amp;" / "&amp;B91)+COUNTIFS('2018'!$L$24:$L$106,A91&amp;" / "&amp;B91)+COUNTIFS('2019'!$L$24:$L$106,A91&amp;" / "&amp;B91)+COUNTIFS('2020'!$L$24:$L$106,A91&amp;" / "&amp;B91)+COUNTIFS('2021'!$L$24:$L$112,A91&amp;" / "&amp;B91)+COUNTIFS('2022'!$L$24:$L$112,A91&amp;" / "&amp;B91)+COUNTIFS('2023'!$L$24:$L$112,A91&amp;" / "&amp;B91)+COUNTIFS('2024'!$L$24:$L$112,A91&amp;" / "&amp;B91)+COUNTIFS('2025'!$L$24:$L$112,A91&amp;" / "&amp;B91)</x:f>
        <x:v>1</x:v>
      </x:c>
      <x:c r="D91" s="2" t="n">
        <x:f>COUNTIFS('2015'!$L$24:$L$96,A91&amp;" / "&amp;B91,'2015'!$I$24:$I$96,A91)+COUNTIFS('2016'!$L$24:$L$96,A91&amp;" / "&amp;B91,'2016'!$I$24:$I$96,A91)+COUNTIFS('2017'!$L$24:$L$106,A91&amp;" / "&amp;B91,'2017'!$I$24:$I$106,A91)+COUNTIFS('2018'!$L$24:$L$106,A91&amp;" / "&amp;B91,'2018'!$I$24:$I$106,A91)+COUNTIFS('2019'!$L$24:$L$106,A91&amp;" / "&amp;B91,'2019'!$I$24:$I$106,A91)+COUNTIFS('2020'!$L$24:$L$106,A91&amp;" / "&amp;B91,'2020'!$I$24:$I$106,A91)+COUNTIFS('2021'!$L$24:$L$112,A91&amp;" / "&amp;B91,'2021'!$I$24:$I$112,A91)+COUNTIFS('2022'!$L$24:$L$112,A91&amp;" / "&amp;B91,'2022'!$I$24:$I$112,A91)+COUNTIFS('2023'!$L$24:$L$112,A91&amp;" / "&amp;B91,'2023'!$I$24:$I$112,A91)+COUNTIFS('2024'!$L$24:$L$112,A91&amp;" / "&amp;B91,'2024'!$I$24:$I$112,A91)+COUNTIFS('2025'!$L$24:$L$112,A91&amp;" / "&amp;B91,'2025'!$I$24:$I$112,A91)</x:f>
        <x:v>1</x:v>
      </x:c>
      <x:c r="E91" s="2" t="n">
        <x:f>COUNTIFS('2015'!$L$24:$L$96,A91&amp;" / "&amp;B91,'2015'!$I$24:$I$96,B91)+COUNTIFS('2016'!$L$24:$L$96,A91&amp;" / "&amp;B91,'2016'!$I$24:$I$96,B91)+COUNTIFS('2017'!$L$24:$L$106,A91&amp;" / "&amp;B91,'2017'!$I$24:$I$106,B91)+COUNTIFS('2018'!$L$24:$L$106,A91&amp;" / "&amp;B91,'2018'!$I$24:$I$106,B91)+COUNTIFS('2019'!$L$24:$L$106,A91&amp;" / "&amp;B91,'2019'!$I$24:$I$106,B91)+COUNTIFS('2020'!$L$24:$L$106,A91&amp;" / "&amp;B91,'2020'!$I$24:$I$106,B91)+COUNTIFS('2021'!$L$24:$L$112,A91&amp;" / "&amp;B91,'2021'!$I$24:$I$112,B91)+COUNTIFS('2022'!$L$24:$L$112,A91&amp;" / "&amp;B91,'2022'!$I$24:$I$112,B91)+COUNTIFS('2023'!$L$24:$L$112,A91&amp;" / "&amp;B91,'2023'!$I$24:$I$112,B91)+COUNTIFS('2024'!$L$24:$L$112,A91&amp;" / "&amp;B91,'2024'!$I$24:$I$112,B91)+COUNTIFS('2025'!$L$24:$L$112,A91&amp;" / "&amp;B91,'2025'!$I$24:$I$112,B91)</x:f>
        <x:v>0</x:v>
      </x:c>
      <x:c r="F91" s="2" t="n">
        <x:f>COUNTIFS('2015'!$L$24:$L$96,A91&amp;" / "&amp;B91,'2015'!$K$24:$K$96,1)+COUNTIFS('2016'!$L$24:$L$96,A91&amp;" / "&amp;B91,'2016'!$K$24:$K$96,1)+COUNTIFS('2017'!$L$24:$L$106,A91&amp;" / "&amp;B91,'2017'!$K$24:$K$106,1)+COUNTIFS('2018'!$L$24:$L$106,A91&amp;" / "&amp;B91,'2018'!$K$24:$K$106,1)+COUNTIFS('2019'!$L$24:$L$106,A91&amp;" / "&amp;B91,'2019'!$K$24:$K$106,1)+COUNTIFS('2020'!$L$24:$L$106,A91&amp;" / "&amp;B91,'2020'!$K$24:$K$106,1)+COUNTIFS('2021'!$L$24:$L$112,A91&amp;" / "&amp;B91,'2021'!$K$24:$K$112,1)+COUNTIFS('2022'!$L$24:$L$112,A91&amp;" / "&amp;B91,'2022'!$K$24:$K$112,1)+COUNTIFS('2023'!$L$24:$L$112,A91&amp;" / "&amp;B91,'2023'!$K$24:$K$112,1)+COUNTIFS('2024'!$L$24:$L$112,A91&amp;" / "&amp;B91,'2024'!$K$24:$K$112,1)+COUNTIFS('2025'!$L$24:$L$112,A91&amp;" / "&amp;B91,'2025'!$K$24:$K$112,1)</x:f>
        <x:v>0</x:v>
      </x:c>
      <x:c r="G91" s="25" t="n">
        <x:f>SUMIFS('2015'!$E$24:$E$96,'2015'!$L$24:$L$96,A91&amp;" / "&amp;B91,'2015'!$C$24:$C$96,A91)+SUMIFS('2015'!$H$24:$H$96,'2015'!$L$24:$L$96,A91&amp;" / "&amp;B91,'2015'!$F$24:$F$96,A91)+SUMIFS('2016'!$E$24:$E$96,'2016'!$L$24:$L$96,A91&amp;" / "&amp;B91,'2016'!$C$24:$C$96,A91)+SUMIFS('2016'!$H$24:$H$96,'2016'!$L$24:$L$96,A91&amp;" / "&amp;B91,'2016'!$F$24:$F$96,A91)+SUMIFS('2017'!$E$24:$E$106,'2017'!$L$24:$L$106,A91&amp;" / "&amp;B91,'2017'!$C$24:$C$106,A91)+SUMIFS('2017'!$H$24:$H$106,'2017'!$L$24:$L$106,A91&amp;" / "&amp;B91,'2017'!$F$24:$F$106,A91)+SUMIFS('2018'!$E$24:$E$106,'2018'!$L$24:$L$106,A91&amp;" / "&amp;B91,'2018'!$C$24:$C$106,A91)+SUMIFS('2018'!$H$24:$H$106,'2018'!$L$24:$L$106,A91&amp;" / "&amp;B91,'2018'!$F$24:$F$106,A91)+SUMIFS('2019'!$E$24:$E$106,'2019'!$L$24:$L$106,A91&amp;" / "&amp;B91,'2019'!$C$24:$C$106,A91)+SUMIFS('2019'!$H$24:$H$106,'2019'!$L$24:$L$106,A91&amp;" / "&amp;B91,'2019'!$F$24:$F$106,A91)+SUMIFS('2020'!$E$24:$E$106,'2020'!$L$24:$L$106,A91&amp;" / "&amp;B91,'2020'!$C$24:$C$106,A91)+SUMIFS('2020'!$H$24:$H$106,'2020'!$L$24:$L$106,A91&amp;" / "&amp;B91,'2020'!$F$24:$F$106,A91)+SUMIFS('2021'!$E$24:$E$112,'2021'!$L$24:$L$112,A91&amp;" / "&amp;B91,'2021'!$C$24:$C$112,A91)+SUMIFS('2021'!$H$24:$H$112,'2021'!$L$24:$L$112,A91&amp;" / "&amp;B91,'2021'!$F$24:$F$112,A91)+SUMIFS('2022'!$E$24:$E$112,'2022'!$L$24:$L$112,A91&amp;" / "&amp;B91,'2022'!$C$24:$C$112,A91)+SUMIFS('2022'!$H$24:$H$112,'2022'!$L$24:$L$112,A91&amp;" / "&amp;B91,'2022'!$F$24:$F$112,A91)+SUMIFS('2023'!$E$24:$E$112,'2023'!$L$24:$L$112,A91&amp;" / "&amp;B91,'2023'!$C$24:$C$112,A91)+SUMIFS('2023'!$H$24:$H$112,'2023'!$L$24:$L$112,A91&amp;" / "&amp;B91,'2023'!$F$24:$F$112,A91)+SUMIFS('2024'!$E$24:$E$112,'2024'!$L$24:$L$112,A91&amp;" / "&amp;B91,'2024'!$C$24:$C$112,A91)+SUMIFS('2024'!$H$24:$H$112,'2024'!$L$24:$L$112,A91&amp;" / "&amp;B91,'2024'!$F$24:$F$112,A91)+SUMIFS('2025'!$E$24:$E$112,'2025'!$L$24:$L$112,A91&amp;" / "&amp;B91,'2025'!$C$24:$C$112,A91)+SUMIFS('2025'!$H$24:$H$112,'2025'!$L$24:$L$112,A91&amp;" / "&amp;B91,'2025'!$F$24:$F$112,A91)</x:f>
        <x:v>127</x:v>
      </x:c>
      <x:c r="H91" s="25" t="n">
        <x:f>SUMIFS('2015'!$E$24:$E$96,'2015'!$L$24:$L$96,A91&amp;" / "&amp;B91,'2015'!$C$24:$C$96,B91)+SUMIFS('2015'!$H$24:$H$96,'2015'!$L$24:$L$96,A91&amp;" / "&amp;B91,'2015'!$F$24:$F$96,B91)+SUMIFS('2016'!$E$24:$E$96,'2016'!$L$24:$L$96,A91&amp;" / "&amp;B91,'2016'!$C$24:$C$96,B91)+SUMIFS('2016'!$H$24:$H$96,'2016'!$L$24:$L$96,A91&amp;" / "&amp;B91,'2016'!$F$24:$F$96,B91)+SUMIFS('2017'!$E$24:$E$106,'2017'!$L$24:$L$106,A91&amp;" / "&amp;B91,'2017'!$C$24:$C$106,B91)+SUMIFS('2017'!$H$24:$H$106,'2017'!$L$24:$L$106,A91&amp;" / "&amp;B91,'2017'!$F$24:$F$106,B91)+SUMIFS('2018'!$E$24:$E$106,'2018'!$L$24:$L$106,A91&amp;" / "&amp;B91,'2018'!$C$24:$C$106,B91)+SUMIFS('2018'!$H$24:$H$106,'2018'!$L$24:$L$106,A91&amp;" / "&amp;B91,'2018'!$F$24:$F$106,B91)+SUMIFS('2019'!$E$24:$E$106,'2019'!$L$24:$L$106,A91&amp;" / "&amp;B91,'2019'!$C$24:$C$106,B91)+SUMIFS('2019'!$H$24:$H$106,'2019'!$L$24:$L$106,A91&amp;" / "&amp;B91,'2019'!$F$24:$F$106,B91)+SUMIFS('2020'!$E$24:$E$106,'2020'!$L$24:$L$106,A91&amp;" / "&amp;B91,'2020'!$C$24:$C$106,B91)+SUMIFS('2020'!$H$24:$H$106,'2020'!$L$24:$L$106,A91&amp;" / "&amp;B91,'2020'!$F$24:$F$106,B91)+SUMIFS('2021'!$E$24:$E$112,'2021'!$L$24:$L$112,A91&amp;" / "&amp;B91,'2021'!$C$24:$C$112,B91)+SUMIFS('2021'!$H$24:$H$112,'2021'!$L$24:$L$112,A91&amp;" / "&amp;B91,'2021'!$F$24:$F$112,B91)+SUMIFS('2022'!$E$24:$E$112,'2022'!$L$24:$L$112,A91&amp;" / "&amp;B91,'2022'!$C$24:$C$112,B91)+SUMIFS('2022'!$H$24:$H$112,'2022'!$L$24:$L$112,A91&amp;" / "&amp;B91,'2022'!$F$24:$F$112,B91)+SUMIFS('2023'!$E$24:$E$112,'2023'!$L$24:$L$112,A91&amp;" / "&amp;B91,'2023'!$C$24:$C$112,B91)+SUMIFS('2023'!$H$24:$H$112,'2023'!$L$24:$L$112,A91&amp;" / "&amp;B91,'2023'!$F$24:$F$112,B91)+SUMIFS('2024'!$E$24:$E$112,'2024'!$L$24:$L$112,A91&amp;" / "&amp;B91,'2024'!$C$24:$C$112,B91)+SUMIFS('2024'!$H$24:$H$112,'2024'!$L$24:$L$112,A91&amp;" / "&amp;B91,'2024'!$F$24:$F$112,B91)+SUMIFS('2025'!$E$24:$E$112,'2025'!$L$24:$L$112,A91&amp;" / "&amp;B91,'2025'!$C$24:$C$112,B91)+SUMIFS('2025'!$H$24:$H$112,'2025'!$L$24:$L$112,A91&amp;" / "&amp;B91,'2025'!$F$24:$F$112,B91)</x:f>
        <x:v>108</x:v>
      </x:c>
      <x:c r="I91" s="11" t="n">
        <x:f>IF(C91=0,0,(D91+0.5*F91)/C91)</x:f>
        <x:v>1</x:v>
      </x:c>
      <x:c r="J91" s="2" t="n">
        <x:f>COUNTIFS('2015'!$L$24:$L$96,A91&amp;" / "&amp;B91,'2015'!$B$24:$B$96,"Regular")+COUNTIFS('2016'!$L$24:$L$96,A91&amp;" / "&amp;B91,'2016'!$B$24:$B$96,"Regular")+COUNTIFS('2017'!$L$24:$L$106,A91&amp;" / "&amp;B91,'2017'!$B$24:$B$106,"Regular")+COUNTIFS('2018'!$L$24:$L$106,A91&amp;" / "&amp;B91,'2018'!$B$24:$B$106,"Regular")+COUNTIFS('2019'!$L$24:$L$106,A91&amp;" / "&amp;B91,'2019'!$B$24:$B$106,"Regular")+COUNTIFS('2020'!$L$24:$L$106,A91&amp;" / "&amp;B91,'2020'!$B$24:$B$106,"Regular")+COUNTIFS('2021'!$L$24:$L$112,A91&amp;" / "&amp;B91,'2021'!$B$24:$B$112,"Regular")+COUNTIFS('2022'!$L$24:$L$112,A91&amp;" / "&amp;B91,'2022'!$B$24:$B$112,"Regular")+COUNTIFS('2023'!$L$24:$L$112,A91&amp;" / "&amp;B91,'2023'!$B$24:$B$112,"Regular")+COUNTIFS('2024'!$L$24:$L$112,A91&amp;" / "&amp;B91,'2024'!$B$24:$B$112,"Regular")+COUNTIFS('2025'!$L$24:$L$112,A91&amp;" / "&amp;B91,'2025'!$B$24:$B$112,"Regular")</x:f>
        <x:v>1</x:v>
      </x:c>
      <x:c r="K91" s="2" t="n">
        <x:f>COUNTIFS('2015'!$L$24:$L$96,A91&amp;" / "&amp;B91,'2015'!$B$24:$B$96,"Playoffs")+COUNTIFS('2016'!$L$24:$L$96,A91&amp;" / "&amp;B91,'2016'!$B$24:$B$96,"Playoffs")+COUNTIFS('2017'!$L$24:$L$106,A91&amp;" / "&amp;B91,'2017'!$B$24:$B$106,"Playoffs")+COUNTIFS('2018'!$L$24:$L$106,A91&amp;" / "&amp;B91,'2018'!$B$24:$B$106,"Playoffs")+COUNTIFS('2019'!$L$24:$L$106,A91&amp;" / "&amp;B91,'2019'!$B$24:$B$106,"Playoffs")+COUNTIFS('2020'!$L$24:$L$106,A91&amp;" / "&amp;B91,'2020'!$B$24:$B$106,"Playoffs")+COUNTIFS('2021'!$L$24:$L$112,A91&amp;" / "&amp;B91,'2021'!$B$24:$B$112,"Playoffs")+COUNTIFS('2022'!$L$24:$L$112,A91&amp;" / "&amp;B91,'2022'!$B$24:$B$112,"Playoffs")+COUNTIFS('2023'!$L$24:$L$112,A91&amp;" / "&amp;B91,'2023'!$B$24:$B$112,"Playoffs")+COUNTIFS('2024'!$L$24:$L$112,A91&amp;" / "&amp;B91,'2024'!$B$24:$B$112,"Playoffs")+COUNTIFS('2025'!$L$24:$L$112,A91&amp;" / "&amp;B91,'2025'!$B$24:$B$112,"Playoffs")</x:f>
        <x:v>0</x:v>
      </x:c>
      <x:c r="L91" s="2" t="n">
        <x:f>COUNTIFS('2015'!$L$24:$L$96,A91&amp;" / "&amp;B91,'2015'!$B$24:$B$96,"Unconfirmed")+COUNTIFS('2016'!$L$24:$L$96,A91&amp;" / "&amp;B91,'2016'!$B$24:$B$96,"Unconfirmed")+COUNTIFS('2017'!$L$24:$L$106,A91&amp;" / "&amp;B91,'2017'!$B$24:$B$106,"Unconfirmed")+COUNTIFS('2018'!$L$24:$L$106,A91&amp;" / "&amp;B91,'2018'!$B$24:$B$106,"Unconfirmed")+COUNTIFS('2019'!$L$24:$L$106,A91&amp;" / "&amp;B91,'2019'!$B$24:$B$106,"Unconfirmed")+COUNTIFS('2020'!$L$24:$L$106,A91&amp;" / "&amp;B91,'2020'!$B$24:$B$106,"Unconfirmed")+COUNTIFS('2021'!$L$24:$L$112,A91&amp;" / "&amp;B91,'2021'!$B$24:$B$112,"Unconfirmed")+COUNTIFS('2022'!$L$24:$L$112,A91&amp;" / "&amp;B91,'2022'!$B$24:$B$112,"Unconfirmed")+COUNTIFS('2023'!$L$24:$L$112,A91&amp;" / "&amp;B91,'2023'!$B$24:$B$112,"Unconfirmed")+COUNTIFS('2024'!$L$24:$L$112,A91&amp;" / "&amp;B91,'2024'!$B$24:$B$112,"Unconfirmed")+COUNTIFS('2025'!$L$24:$L$112,A91&amp;" / "&amp;B91,'2025'!$B$24:$B$112,"Unconfirmed")</x:f>
        <x:v>0</x:v>
      </x:c>
    </x:row>
    <x:row r="92" ht="22" customHeight="1">
      <x:c r="A92" s="2" t="str">
        <x:v>Ed</x:v>
      </x:c>
      <x:c r="B92" s="2" t="str">
        <x:v>Frank</x:v>
      </x:c>
      <x:c r="C92" s="2" t="n">
        <x:f>COUNTIFS('2015'!$L$24:$L$96,A92&amp;" / "&amp;B92)+COUNTIFS('2016'!$L$24:$L$96,A92&amp;" / "&amp;B92)+COUNTIFS('2017'!$L$24:$L$106,A92&amp;" / "&amp;B92)+COUNTIFS('2018'!$L$24:$L$106,A92&amp;" / "&amp;B92)+COUNTIFS('2019'!$L$24:$L$106,A92&amp;" / "&amp;B92)+COUNTIFS('2020'!$L$24:$L$106,A92&amp;" / "&amp;B92)+COUNTIFS('2021'!$L$24:$L$112,A92&amp;" / "&amp;B92)+COUNTIFS('2022'!$L$24:$L$112,A92&amp;" / "&amp;B92)+COUNTIFS('2023'!$L$24:$L$112,A92&amp;" / "&amp;B92)+COUNTIFS('2024'!$L$24:$L$112,A92&amp;" / "&amp;B92)+COUNTIFS('2025'!$L$24:$L$112,A92&amp;" / "&amp;B92)</x:f>
        <x:v>9</x:v>
      </x:c>
      <x:c r="D92" s="2" t="n">
        <x:f>COUNTIFS('2015'!$L$24:$L$96,A92&amp;" / "&amp;B92,'2015'!$I$24:$I$96,A92)+COUNTIFS('2016'!$L$24:$L$96,A92&amp;" / "&amp;B92,'2016'!$I$24:$I$96,A92)+COUNTIFS('2017'!$L$24:$L$106,A92&amp;" / "&amp;B92,'2017'!$I$24:$I$106,A92)+COUNTIFS('2018'!$L$24:$L$106,A92&amp;" / "&amp;B92,'2018'!$I$24:$I$106,A92)+COUNTIFS('2019'!$L$24:$L$106,A92&amp;" / "&amp;B92,'2019'!$I$24:$I$106,A92)+COUNTIFS('2020'!$L$24:$L$106,A92&amp;" / "&amp;B92,'2020'!$I$24:$I$106,A92)+COUNTIFS('2021'!$L$24:$L$112,A92&amp;" / "&amp;B92,'2021'!$I$24:$I$112,A92)+COUNTIFS('2022'!$L$24:$L$112,A92&amp;" / "&amp;B92,'2022'!$I$24:$I$112,A92)+COUNTIFS('2023'!$L$24:$L$112,A92&amp;" / "&amp;B92,'2023'!$I$24:$I$112,A92)+COUNTIFS('2024'!$L$24:$L$112,A92&amp;" / "&amp;B92,'2024'!$I$24:$I$112,A92)+COUNTIFS('2025'!$L$24:$L$112,A92&amp;" / "&amp;B92,'2025'!$I$24:$I$112,A92)</x:f>
        <x:v>5</x:v>
      </x:c>
      <x:c r="E92" s="2" t="n">
        <x:f>COUNTIFS('2015'!$L$24:$L$96,A92&amp;" / "&amp;B92,'2015'!$I$24:$I$96,B92)+COUNTIFS('2016'!$L$24:$L$96,A92&amp;" / "&amp;B92,'2016'!$I$24:$I$96,B92)+COUNTIFS('2017'!$L$24:$L$106,A92&amp;" / "&amp;B92,'2017'!$I$24:$I$106,B92)+COUNTIFS('2018'!$L$24:$L$106,A92&amp;" / "&amp;B92,'2018'!$I$24:$I$106,B92)+COUNTIFS('2019'!$L$24:$L$106,A92&amp;" / "&amp;B92,'2019'!$I$24:$I$106,B92)+COUNTIFS('2020'!$L$24:$L$106,A92&amp;" / "&amp;B92,'2020'!$I$24:$I$106,B92)+COUNTIFS('2021'!$L$24:$L$112,A92&amp;" / "&amp;B92,'2021'!$I$24:$I$112,B92)+COUNTIFS('2022'!$L$24:$L$112,A92&amp;" / "&amp;B92,'2022'!$I$24:$I$112,B92)+COUNTIFS('2023'!$L$24:$L$112,A92&amp;" / "&amp;B92,'2023'!$I$24:$I$112,B92)+COUNTIFS('2024'!$L$24:$L$112,A92&amp;" / "&amp;B92,'2024'!$I$24:$I$112,B92)+COUNTIFS('2025'!$L$24:$L$112,A92&amp;" / "&amp;B92,'2025'!$I$24:$I$112,B92)</x:f>
        <x:v>3</x:v>
      </x:c>
      <x:c r="F92" s="2" t="n">
        <x:f>COUNTIFS('2015'!$L$24:$L$96,A92&amp;" / "&amp;B92,'2015'!$K$24:$K$96,1)+COUNTIFS('2016'!$L$24:$L$96,A92&amp;" / "&amp;B92,'2016'!$K$24:$K$96,1)+COUNTIFS('2017'!$L$24:$L$106,A92&amp;" / "&amp;B92,'2017'!$K$24:$K$106,1)+COUNTIFS('2018'!$L$24:$L$106,A92&amp;" / "&amp;B92,'2018'!$K$24:$K$106,1)+COUNTIFS('2019'!$L$24:$L$106,A92&amp;" / "&amp;B92,'2019'!$K$24:$K$106,1)+COUNTIFS('2020'!$L$24:$L$106,A92&amp;" / "&amp;B92,'2020'!$K$24:$K$106,1)+COUNTIFS('2021'!$L$24:$L$112,A92&amp;" / "&amp;B92,'2021'!$K$24:$K$112,1)+COUNTIFS('2022'!$L$24:$L$112,A92&amp;" / "&amp;B92,'2022'!$K$24:$K$112,1)+COUNTIFS('2023'!$L$24:$L$112,A92&amp;" / "&amp;B92,'2023'!$K$24:$K$112,1)+COUNTIFS('2024'!$L$24:$L$112,A92&amp;" / "&amp;B92,'2024'!$K$24:$K$112,1)+COUNTIFS('2025'!$L$24:$L$112,A92&amp;" / "&amp;B92,'2025'!$K$24:$K$112,1)</x:f>
        <x:v>1</x:v>
      </x:c>
      <x:c r="G92" s="25" t="n">
        <x:f>SUMIFS('2015'!$E$24:$E$96,'2015'!$L$24:$L$96,A92&amp;" / "&amp;B92,'2015'!$C$24:$C$96,A92)+SUMIFS('2015'!$H$24:$H$96,'2015'!$L$24:$L$96,A92&amp;" / "&amp;B92,'2015'!$F$24:$F$96,A92)+SUMIFS('2016'!$E$24:$E$96,'2016'!$L$24:$L$96,A92&amp;" / "&amp;B92,'2016'!$C$24:$C$96,A92)+SUMIFS('2016'!$H$24:$H$96,'2016'!$L$24:$L$96,A92&amp;" / "&amp;B92,'2016'!$F$24:$F$96,A92)+SUMIFS('2017'!$E$24:$E$106,'2017'!$L$24:$L$106,A92&amp;" / "&amp;B92,'2017'!$C$24:$C$106,A92)+SUMIFS('2017'!$H$24:$H$106,'2017'!$L$24:$L$106,A92&amp;" / "&amp;B92,'2017'!$F$24:$F$106,A92)+SUMIFS('2018'!$E$24:$E$106,'2018'!$L$24:$L$106,A92&amp;" / "&amp;B92,'2018'!$C$24:$C$106,A92)+SUMIFS('2018'!$H$24:$H$106,'2018'!$L$24:$L$106,A92&amp;" / "&amp;B92,'2018'!$F$24:$F$106,A92)+SUMIFS('2019'!$E$24:$E$106,'2019'!$L$24:$L$106,A92&amp;" / "&amp;B92,'2019'!$C$24:$C$106,A92)+SUMIFS('2019'!$H$24:$H$106,'2019'!$L$24:$L$106,A92&amp;" / "&amp;B92,'2019'!$F$24:$F$106,A92)+SUMIFS('2020'!$E$24:$E$106,'2020'!$L$24:$L$106,A92&amp;" / "&amp;B92,'2020'!$C$24:$C$106,A92)+SUMIFS('2020'!$H$24:$H$106,'2020'!$L$24:$L$106,A92&amp;" / "&amp;B92,'2020'!$F$24:$F$106,A92)+SUMIFS('2021'!$E$24:$E$112,'2021'!$L$24:$L$112,A92&amp;" / "&amp;B92,'2021'!$C$24:$C$112,A92)+SUMIFS('2021'!$H$24:$H$112,'2021'!$L$24:$L$112,A92&amp;" / "&amp;B92,'2021'!$F$24:$F$112,A92)+SUMIFS('2022'!$E$24:$E$112,'2022'!$L$24:$L$112,A92&amp;" / "&amp;B92,'2022'!$C$24:$C$112,A92)+SUMIFS('2022'!$H$24:$H$112,'2022'!$L$24:$L$112,A92&amp;" / "&amp;B92,'2022'!$F$24:$F$112,A92)+SUMIFS('2023'!$E$24:$E$112,'2023'!$L$24:$L$112,A92&amp;" / "&amp;B92,'2023'!$C$24:$C$112,A92)+SUMIFS('2023'!$H$24:$H$112,'2023'!$L$24:$L$112,A92&amp;" / "&amp;B92,'2023'!$F$24:$F$112,A92)+SUMIFS('2024'!$E$24:$E$112,'2024'!$L$24:$L$112,A92&amp;" / "&amp;B92,'2024'!$C$24:$C$112,A92)+SUMIFS('2024'!$H$24:$H$112,'2024'!$L$24:$L$112,A92&amp;" / "&amp;B92,'2024'!$F$24:$F$112,A92)+SUMIFS('2025'!$E$24:$E$112,'2025'!$L$24:$L$112,A92&amp;" / "&amp;B92,'2025'!$C$24:$C$112,A92)+SUMIFS('2025'!$H$24:$H$112,'2025'!$L$24:$L$112,A92&amp;" / "&amp;B92,'2025'!$F$24:$F$112,A92)</x:f>
        <x:v>1145.9</x:v>
      </x:c>
      <x:c r="H92" s="25" t="n">
        <x:f>SUMIFS('2015'!$E$24:$E$96,'2015'!$L$24:$L$96,A92&amp;" / "&amp;B92,'2015'!$C$24:$C$96,B92)+SUMIFS('2015'!$H$24:$H$96,'2015'!$L$24:$L$96,A92&amp;" / "&amp;B92,'2015'!$F$24:$F$96,B92)+SUMIFS('2016'!$E$24:$E$96,'2016'!$L$24:$L$96,A92&amp;" / "&amp;B92,'2016'!$C$24:$C$96,B92)+SUMIFS('2016'!$H$24:$H$96,'2016'!$L$24:$L$96,A92&amp;" / "&amp;B92,'2016'!$F$24:$F$96,B92)+SUMIFS('2017'!$E$24:$E$106,'2017'!$L$24:$L$106,A92&amp;" / "&amp;B92,'2017'!$C$24:$C$106,B92)+SUMIFS('2017'!$H$24:$H$106,'2017'!$L$24:$L$106,A92&amp;" / "&amp;B92,'2017'!$F$24:$F$106,B92)+SUMIFS('2018'!$E$24:$E$106,'2018'!$L$24:$L$106,A92&amp;" / "&amp;B92,'2018'!$C$24:$C$106,B92)+SUMIFS('2018'!$H$24:$H$106,'2018'!$L$24:$L$106,A92&amp;" / "&amp;B92,'2018'!$F$24:$F$106,B92)+SUMIFS('2019'!$E$24:$E$106,'2019'!$L$24:$L$106,A92&amp;" / "&amp;B92,'2019'!$C$24:$C$106,B92)+SUMIFS('2019'!$H$24:$H$106,'2019'!$L$24:$L$106,A92&amp;" / "&amp;B92,'2019'!$F$24:$F$106,B92)+SUMIFS('2020'!$E$24:$E$106,'2020'!$L$24:$L$106,A92&amp;" / "&amp;B92,'2020'!$C$24:$C$106,B92)+SUMIFS('2020'!$H$24:$H$106,'2020'!$L$24:$L$106,A92&amp;" / "&amp;B92,'2020'!$F$24:$F$106,B92)+SUMIFS('2021'!$E$24:$E$112,'2021'!$L$24:$L$112,A92&amp;" / "&amp;B92,'2021'!$C$24:$C$112,B92)+SUMIFS('2021'!$H$24:$H$112,'2021'!$L$24:$L$112,A92&amp;" / "&amp;B92,'2021'!$F$24:$F$112,B92)+SUMIFS('2022'!$E$24:$E$112,'2022'!$L$24:$L$112,A92&amp;" / "&amp;B92,'2022'!$C$24:$C$112,B92)+SUMIFS('2022'!$H$24:$H$112,'2022'!$L$24:$L$112,A92&amp;" / "&amp;B92,'2022'!$F$24:$F$112,B92)+SUMIFS('2023'!$E$24:$E$112,'2023'!$L$24:$L$112,A92&amp;" / "&amp;B92,'2023'!$C$24:$C$112,B92)+SUMIFS('2023'!$H$24:$H$112,'2023'!$L$24:$L$112,A92&amp;" / "&amp;B92,'2023'!$F$24:$F$112,B92)+SUMIFS('2024'!$E$24:$E$112,'2024'!$L$24:$L$112,A92&amp;" / "&amp;B92,'2024'!$C$24:$C$112,B92)+SUMIFS('2024'!$H$24:$H$112,'2024'!$L$24:$L$112,A92&amp;" / "&amp;B92,'2024'!$F$24:$F$112,B92)+SUMIFS('2025'!$E$24:$E$112,'2025'!$L$24:$L$112,A92&amp;" / "&amp;B92,'2025'!$C$24:$C$112,B92)+SUMIFS('2025'!$H$24:$H$112,'2025'!$L$24:$L$112,A92&amp;" / "&amp;B92,'2025'!$F$24:$F$112,B92)</x:f>
        <x:v>1074.5</x:v>
      </x:c>
      <x:c r="I92" s="11" t="n">
        <x:f>IF(C92=0,0,(D92+0.5*F92)/C92)</x:f>
        <x:v>0.6111111111111112</x:v>
      </x:c>
      <x:c r="J92" s="2" t="n">
        <x:f>COUNTIFS('2015'!$L$24:$L$96,A92&amp;" / "&amp;B92,'2015'!$B$24:$B$96,"Regular")+COUNTIFS('2016'!$L$24:$L$96,A92&amp;" / "&amp;B92,'2016'!$B$24:$B$96,"Regular")+COUNTIFS('2017'!$L$24:$L$106,A92&amp;" / "&amp;B92,'2017'!$B$24:$B$106,"Regular")+COUNTIFS('2018'!$L$24:$L$106,A92&amp;" / "&amp;B92,'2018'!$B$24:$B$106,"Regular")+COUNTIFS('2019'!$L$24:$L$106,A92&amp;" / "&amp;B92,'2019'!$B$24:$B$106,"Regular")+COUNTIFS('2020'!$L$24:$L$106,A92&amp;" / "&amp;B92,'2020'!$B$24:$B$106,"Regular")+COUNTIFS('2021'!$L$24:$L$112,A92&amp;" / "&amp;B92,'2021'!$B$24:$B$112,"Regular")+COUNTIFS('2022'!$L$24:$L$112,A92&amp;" / "&amp;B92,'2022'!$B$24:$B$112,"Regular")+COUNTIFS('2023'!$L$24:$L$112,A92&amp;" / "&amp;B92,'2023'!$B$24:$B$112,"Regular")+COUNTIFS('2024'!$L$24:$L$112,A92&amp;" / "&amp;B92,'2024'!$B$24:$B$112,"Regular")+COUNTIFS('2025'!$L$24:$L$112,A92&amp;" / "&amp;B92,'2025'!$B$24:$B$112,"Regular")</x:f>
        <x:v>9</x:v>
      </x:c>
      <x:c r="K92" s="2" t="n">
        <x:f>COUNTIFS('2015'!$L$24:$L$96,A92&amp;" / "&amp;B92,'2015'!$B$24:$B$96,"Playoffs")+COUNTIFS('2016'!$L$24:$L$96,A92&amp;" / "&amp;B92,'2016'!$B$24:$B$96,"Playoffs")+COUNTIFS('2017'!$L$24:$L$106,A92&amp;" / "&amp;B92,'2017'!$B$24:$B$106,"Playoffs")+COUNTIFS('2018'!$L$24:$L$106,A92&amp;" / "&amp;B92,'2018'!$B$24:$B$106,"Playoffs")+COUNTIFS('2019'!$L$24:$L$106,A92&amp;" / "&amp;B92,'2019'!$B$24:$B$106,"Playoffs")+COUNTIFS('2020'!$L$24:$L$106,A92&amp;" / "&amp;B92,'2020'!$B$24:$B$106,"Playoffs")+COUNTIFS('2021'!$L$24:$L$112,A92&amp;" / "&amp;B92,'2021'!$B$24:$B$112,"Playoffs")+COUNTIFS('2022'!$L$24:$L$112,A92&amp;" / "&amp;B92,'2022'!$B$24:$B$112,"Playoffs")+COUNTIFS('2023'!$L$24:$L$112,A92&amp;" / "&amp;B92,'2023'!$B$24:$B$112,"Playoffs")+COUNTIFS('2024'!$L$24:$L$112,A92&amp;" / "&amp;B92,'2024'!$B$24:$B$112,"Playoffs")+COUNTIFS('2025'!$L$24:$L$112,A92&amp;" / "&amp;B92,'2025'!$B$24:$B$112,"Playoffs")</x:f>
        <x:v>0</x:v>
      </x:c>
      <x:c r="L92" s="2" t="n">
        <x:f>COUNTIFS('2015'!$L$24:$L$96,A92&amp;" / "&amp;B92,'2015'!$B$24:$B$96,"Unconfirmed")+COUNTIFS('2016'!$L$24:$L$96,A92&amp;" / "&amp;B92,'2016'!$B$24:$B$96,"Unconfirmed")+COUNTIFS('2017'!$L$24:$L$106,A92&amp;" / "&amp;B92,'2017'!$B$24:$B$106,"Unconfirmed")+COUNTIFS('2018'!$L$24:$L$106,A92&amp;" / "&amp;B92,'2018'!$B$24:$B$106,"Unconfirmed")+COUNTIFS('2019'!$L$24:$L$106,A92&amp;" / "&amp;B92,'2019'!$B$24:$B$106,"Unconfirmed")+COUNTIFS('2020'!$L$24:$L$106,A92&amp;" / "&amp;B92,'2020'!$B$24:$B$106,"Unconfirmed")+COUNTIFS('2021'!$L$24:$L$112,A92&amp;" / "&amp;B92,'2021'!$B$24:$B$112,"Unconfirmed")+COUNTIFS('2022'!$L$24:$L$112,A92&amp;" / "&amp;B92,'2022'!$B$24:$B$112,"Unconfirmed")+COUNTIFS('2023'!$L$24:$L$112,A92&amp;" / "&amp;B92,'2023'!$B$24:$B$112,"Unconfirmed")+COUNTIFS('2024'!$L$24:$L$112,A92&amp;" / "&amp;B92,'2024'!$B$24:$B$112,"Unconfirmed")+COUNTIFS('2025'!$L$24:$L$112,A92&amp;" / "&amp;B92,'2025'!$B$24:$B$112,"Unconfirmed")</x:f>
        <x:v>0</x:v>
      </x:c>
    </x:row>
    <x:row r="93" ht="22" customHeight="1">
      <x:c r="A93" s="2" t="str">
        <x:v>Ed</x:v>
      </x:c>
      <x:c r="B93" s="2" t="str">
        <x:v>Grossi</x:v>
      </x:c>
      <x:c r="C93" s="2" t="n">
        <x:f>COUNTIFS('2015'!$L$24:$L$96,A93&amp;" / "&amp;B93)+COUNTIFS('2016'!$L$24:$L$96,A93&amp;" / "&amp;B93)+COUNTIFS('2017'!$L$24:$L$106,A93&amp;" / "&amp;B93)+COUNTIFS('2018'!$L$24:$L$106,A93&amp;" / "&amp;B93)+COUNTIFS('2019'!$L$24:$L$106,A93&amp;" / "&amp;B93)+COUNTIFS('2020'!$L$24:$L$106,A93&amp;" / "&amp;B93)+COUNTIFS('2021'!$L$24:$L$112,A93&amp;" / "&amp;B93)+COUNTIFS('2022'!$L$24:$L$112,A93&amp;" / "&amp;B93)+COUNTIFS('2023'!$L$24:$L$112,A93&amp;" / "&amp;B93)+COUNTIFS('2024'!$L$24:$L$112,A93&amp;" / "&amp;B93)+COUNTIFS('2025'!$L$24:$L$112,A93&amp;" / "&amp;B93)</x:f>
        <x:v>2</x:v>
      </x:c>
      <x:c r="D93" s="2" t="n">
        <x:f>COUNTIFS('2015'!$L$24:$L$96,A93&amp;" / "&amp;B93,'2015'!$I$24:$I$96,A93)+COUNTIFS('2016'!$L$24:$L$96,A93&amp;" / "&amp;B93,'2016'!$I$24:$I$96,A93)+COUNTIFS('2017'!$L$24:$L$106,A93&amp;" / "&amp;B93,'2017'!$I$24:$I$106,A93)+COUNTIFS('2018'!$L$24:$L$106,A93&amp;" / "&amp;B93,'2018'!$I$24:$I$106,A93)+COUNTIFS('2019'!$L$24:$L$106,A93&amp;" / "&amp;B93,'2019'!$I$24:$I$106,A93)+COUNTIFS('2020'!$L$24:$L$106,A93&amp;" / "&amp;B93,'2020'!$I$24:$I$106,A93)+COUNTIFS('2021'!$L$24:$L$112,A93&amp;" / "&amp;B93,'2021'!$I$24:$I$112,A93)+COUNTIFS('2022'!$L$24:$L$112,A93&amp;" / "&amp;B93,'2022'!$I$24:$I$112,A93)+COUNTIFS('2023'!$L$24:$L$112,A93&amp;" / "&amp;B93,'2023'!$I$24:$I$112,A93)+COUNTIFS('2024'!$L$24:$L$112,A93&amp;" / "&amp;B93,'2024'!$I$24:$I$112,A93)+COUNTIFS('2025'!$L$24:$L$112,A93&amp;" / "&amp;B93,'2025'!$I$24:$I$112,A93)</x:f>
        <x:v>2</x:v>
      </x:c>
      <x:c r="E93" s="2" t="n">
        <x:f>COUNTIFS('2015'!$L$24:$L$96,A93&amp;" / "&amp;B93,'2015'!$I$24:$I$96,B93)+COUNTIFS('2016'!$L$24:$L$96,A93&amp;" / "&amp;B93,'2016'!$I$24:$I$96,B93)+COUNTIFS('2017'!$L$24:$L$106,A93&amp;" / "&amp;B93,'2017'!$I$24:$I$106,B93)+COUNTIFS('2018'!$L$24:$L$106,A93&amp;" / "&amp;B93,'2018'!$I$24:$I$106,B93)+COUNTIFS('2019'!$L$24:$L$106,A93&amp;" / "&amp;B93,'2019'!$I$24:$I$106,B93)+COUNTIFS('2020'!$L$24:$L$106,A93&amp;" / "&amp;B93,'2020'!$I$24:$I$106,B93)+COUNTIFS('2021'!$L$24:$L$112,A93&amp;" / "&amp;B93,'2021'!$I$24:$I$112,B93)+COUNTIFS('2022'!$L$24:$L$112,A93&amp;" / "&amp;B93,'2022'!$I$24:$I$112,B93)+COUNTIFS('2023'!$L$24:$L$112,A93&amp;" / "&amp;B93,'2023'!$I$24:$I$112,B93)+COUNTIFS('2024'!$L$24:$L$112,A93&amp;" / "&amp;B93,'2024'!$I$24:$I$112,B93)+COUNTIFS('2025'!$L$24:$L$112,A93&amp;" / "&amp;B93,'2025'!$I$24:$I$112,B93)</x:f>
        <x:v>0</x:v>
      </x:c>
      <x:c r="F93" s="2" t="n">
        <x:f>COUNTIFS('2015'!$L$24:$L$96,A93&amp;" / "&amp;B93,'2015'!$K$24:$K$96,1)+COUNTIFS('2016'!$L$24:$L$96,A93&amp;" / "&amp;B93,'2016'!$K$24:$K$96,1)+COUNTIFS('2017'!$L$24:$L$106,A93&amp;" / "&amp;B93,'2017'!$K$24:$K$106,1)+COUNTIFS('2018'!$L$24:$L$106,A93&amp;" / "&amp;B93,'2018'!$K$24:$K$106,1)+COUNTIFS('2019'!$L$24:$L$106,A93&amp;" / "&amp;B93,'2019'!$K$24:$K$106,1)+COUNTIFS('2020'!$L$24:$L$106,A93&amp;" / "&amp;B93,'2020'!$K$24:$K$106,1)+COUNTIFS('2021'!$L$24:$L$112,A93&amp;" / "&amp;B93,'2021'!$K$24:$K$112,1)+COUNTIFS('2022'!$L$24:$L$112,A93&amp;" / "&amp;B93,'2022'!$K$24:$K$112,1)+COUNTIFS('2023'!$L$24:$L$112,A93&amp;" / "&amp;B93,'2023'!$K$24:$K$112,1)+COUNTIFS('2024'!$L$24:$L$112,A93&amp;" / "&amp;B93,'2024'!$K$24:$K$112,1)+COUNTIFS('2025'!$L$24:$L$112,A93&amp;" / "&amp;B93,'2025'!$K$24:$K$112,1)</x:f>
        <x:v>0</x:v>
      </x:c>
      <x:c r="G93" s="25" t="n">
        <x:f>SUMIFS('2015'!$E$24:$E$96,'2015'!$L$24:$L$96,A93&amp;" / "&amp;B93,'2015'!$C$24:$C$96,A93)+SUMIFS('2015'!$H$24:$H$96,'2015'!$L$24:$L$96,A93&amp;" / "&amp;B93,'2015'!$F$24:$F$96,A93)+SUMIFS('2016'!$E$24:$E$96,'2016'!$L$24:$L$96,A93&amp;" / "&amp;B93,'2016'!$C$24:$C$96,A93)+SUMIFS('2016'!$H$24:$H$96,'2016'!$L$24:$L$96,A93&amp;" / "&amp;B93,'2016'!$F$24:$F$96,A93)+SUMIFS('2017'!$E$24:$E$106,'2017'!$L$24:$L$106,A93&amp;" / "&amp;B93,'2017'!$C$24:$C$106,A93)+SUMIFS('2017'!$H$24:$H$106,'2017'!$L$24:$L$106,A93&amp;" / "&amp;B93,'2017'!$F$24:$F$106,A93)+SUMIFS('2018'!$E$24:$E$106,'2018'!$L$24:$L$106,A93&amp;" / "&amp;B93,'2018'!$C$24:$C$106,A93)+SUMIFS('2018'!$H$24:$H$106,'2018'!$L$24:$L$106,A93&amp;" / "&amp;B93,'2018'!$F$24:$F$106,A93)+SUMIFS('2019'!$E$24:$E$106,'2019'!$L$24:$L$106,A93&amp;" / "&amp;B93,'2019'!$C$24:$C$106,A93)+SUMIFS('2019'!$H$24:$H$106,'2019'!$L$24:$L$106,A93&amp;" / "&amp;B93,'2019'!$F$24:$F$106,A93)+SUMIFS('2020'!$E$24:$E$106,'2020'!$L$24:$L$106,A93&amp;" / "&amp;B93,'2020'!$C$24:$C$106,A93)+SUMIFS('2020'!$H$24:$H$106,'2020'!$L$24:$L$106,A93&amp;" / "&amp;B93,'2020'!$F$24:$F$106,A93)+SUMIFS('2021'!$E$24:$E$112,'2021'!$L$24:$L$112,A93&amp;" / "&amp;B93,'2021'!$C$24:$C$112,A93)+SUMIFS('2021'!$H$24:$H$112,'2021'!$L$24:$L$112,A93&amp;" / "&amp;B93,'2021'!$F$24:$F$112,A93)+SUMIFS('2022'!$E$24:$E$112,'2022'!$L$24:$L$112,A93&amp;" / "&amp;B93,'2022'!$C$24:$C$112,A93)+SUMIFS('2022'!$H$24:$H$112,'2022'!$L$24:$L$112,A93&amp;" / "&amp;B93,'2022'!$F$24:$F$112,A93)+SUMIFS('2023'!$E$24:$E$112,'2023'!$L$24:$L$112,A93&amp;" / "&amp;B93,'2023'!$C$24:$C$112,A93)+SUMIFS('2023'!$H$24:$H$112,'2023'!$L$24:$L$112,A93&amp;" / "&amp;B93,'2023'!$F$24:$F$112,A93)+SUMIFS('2024'!$E$24:$E$112,'2024'!$L$24:$L$112,A93&amp;" / "&amp;B93,'2024'!$C$24:$C$112,A93)+SUMIFS('2024'!$H$24:$H$112,'2024'!$L$24:$L$112,A93&amp;" / "&amp;B93,'2024'!$F$24:$F$112,A93)+SUMIFS('2025'!$E$24:$E$112,'2025'!$L$24:$L$112,A93&amp;" / "&amp;B93,'2025'!$C$24:$C$112,A93)+SUMIFS('2025'!$H$24:$H$112,'2025'!$L$24:$L$112,A93&amp;" / "&amp;B93,'2025'!$F$24:$F$112,A93)</x:f>
        <x:v>201</x:v>
      </x:c>
      <x:c r="H93" s="25" t="n">
        <x:f>SUMIFS('2015'!$E$24:$E$96,'2015'!$L$24:$L$96,A93&amp;" / "&amp;B93,'2015'!$C$24:$C$96,B93)+SUMIFS('2015'!$H$24:$H$96,'2015'!$L$24:$L$96,A93&amp;" / "&amp;B93,'2015'!$F$24:$F$96,B93)+SUMIFS('2016'!$E$24:$E$96,'2016'!$L$24:$L$96,A93&amp;" / "&amp;B93,'2016'!$C$24:$C$96,B93)+SUMIFS('2016'!$H$24:$H$96,'2016'!$L$24:$L$96,A93&amp;" / "&amp;B93,'2016'!$F$24:$F$96,B93)+SUMIFS('2017'!$E$24:$E$106,'2017'!$L$24:$L$106,A93&amp;" / "&amp;B93,'2017'!$C$24:$C$106,B93)+SUMIFS('2017'!$H$24:$H$106,'2017'!$L$24:$L$106,A93&amp;" / "&amp;B93,'2017'!$F$24:$F$106,B93)+SUMIFS('2018'!$E$24:$E$106,'2018'!$L$24:$L$106,A93&amp;" / "&amp;B93,'2018'!$C$24:$C$106,B93)+SUMIFS('2018'!$H$24:$H$106,'2018'!$L$24:$L$106,A93&amp;" / "&amp;B93,'2018'!$F$24:$F$106,B93)+SUMIFS('2019'!$E$24:$E$106,'2019'!$L$24:$L$106,A93&amp;" / "&amp;B93,'2019'!$C$24:$C$106,B93)+SUMIFS('2019'!$H$24:$H$106,'2019'!$L$24:$L$106,A93&amp;" / "&amp;B93,'2019'!$F$24:$F$106,B93)+SUMIFS('2020'!$E$24:$E$106,'2020'!$L$24:$L$106,A93&amp;" / "&amp;B93,'2020'!$C$24:$C$106,B93)+SUMIFS('2020'!$H$24:$H$106,'2020'!$L$24:$L$106,A93&amp;" / "&amp;B93,'2020'!$F$24:$F$106,B93)+SUMIFS('2021'!$E$24:$E$112,'2021'!$L$24:$L$112,A93&amp;" / "&amp;B93,'2021'!$C$24:$C$112,B93)+SUMIFS('2021'!$H$24:$H$112,'2021'!$L$24:$L$112,A93&amp;" / "&amp;B93,'2021'!$F$24:$F$112,B93)+SUMIFS('2022'!$E$24:$E$112,'2022'!$L$24:$L$112,A93&amp;" / "&amp;B93,'2022'!$C$24:$C$112,B93)+SUMIFS('2022'!$H$24:$H$112,'2022'!$L$24:$L$112,A93&amp;" / "&amp;B93,'2022'!$F$24:$F$112,B93)+SUMIFS('2023'!$E$24:$E$112,'2023'!$L$24:$L$112,A93&amp;" / "&amp;B93,'2023'!$C$24:$C$112,B93)+SUMIFS('2023'!$H$24:$H$112,'2023'!$L$24:$L$112,A93&amp;" / "&amp;B93,'2023'!$F$24:$F$112,B93)+SUMIFS('2024'!$E$24:$E$112,'2024'!$L$24:$L$112,A93&amp;" / "&amp;B93,'2024'!$C$24:$C$112,B93)+SUMIFS('2024'!$H$24:$H$112,'2024'!$L$24:$L$112,A93&amp;" / "&amp;B93,'2024'!$F$24:$F$112,B93)+SUMIFS('2025'!$E$24:$E$112,'2025'!$L$24:$L$112,A93&amp;" / "&amp;B93,'2025'!$C$24:$C$112,B93)+SUMIFS('2025'!$H$24:$H$112,'2025'!$L$24:$L$112,A93&amp;" / "&amp;B93,'2025'!$F$24:$F$112,B93)</x:f>
        <x:v>179</x:v>
      </x:c>
      <x:c r="I93" s="11" t="n">
        <x:f>IF(C93=0,0,(D93+0.5*F93)/C93)</x:f>
        <x:v>1</x:v>
      </x:c>
      <x:c r="J93" s="2" t="n">
        <x:f>COUNTIFS('2015'!$L$24:$L$96,A93&amp;" / "&amp;B93,'2015'!$B$24:$B$96,"Regular")+COUNTIFS('2016'!$L$24:$L$96,A93&amp;" / "&amp;B93,'2016'!$B$24:$B$96,"Regular")+COUNTIFS('2017'!$L$24:$L$106,A93&amp;" / "&amp;B93,'2017'!$B$24:$B$106,"Regular")+COUNTIFS('2018'!$L$24:$L$106,A93&amp;" / "&amp;B93,'2018'!$B$24:$B$106,"Regular")+COUNTIFS('2019'!$L$24:$L$106,A93&amp;" / "&amp;B93,'2019'!$B$24:$B$106,"Regular")+COUNTIFS('2020'!$L$24:$L$106,A93&amp;" / "&amp;B93,'2020'!$B$24:$B$106,"Regular")+COUNTIFS('2021'!$L$24:$L$112,A93&amp;" / "&amp;B93,'2021'!$B$24:$B$112,"Regular")+COUNTIFS('2022'!$L$24:$L$112,A93&amp;" / "&amp;B93,'2022'!$B$24:$B$112,"Regular")+COUNTIFS('2023'!$L$24:$L$112,A93&amp;" / "&amp;B93,'2023'!$B$24:$B$112,"Regular")+COUNTIFS('2024'!$L$24:$L$112,A93&amp;" / "&amp;B93,'2024'!$B$24:$B$112,"Regular")+COUNTIFS('2025'!$L$24:$L$112,A93&amp;" / "&amp;B93,'2025'!$B$24:$B$112,"Regular")</x:f>
        <x:v>2</x:v>
      </x:c>
      <x:c r="K93" s="2" t="n">
        <x:f>COUNTIFS('2015'!$L$24:$L$96,A93&amp;" / "&amp;B93,'2015'!$B$24:$B$96,"Playoffs")+COUNTIFS('2016'!$L$24:$L$96,A93&amp;" / "&amp;B93,'2016'!$B$24:$B$96,"Playoffs")+COUNTIFS('2017'!$L$24:$L$106,A93&amp;" / "&amp;B93,'2017'!$B$24:$B$106,"Playoffs")+COUNTIFS('2018'!$L$24:$L$106,A93&amp;" / "&amp;B93,'2018'!$B$24:$B$106,"Playoffs")+COUNTIFS('2019'!$L$24:$L$106,A93&amp;" / "&amp;B93,'2019'!$B$24:$B$106,"Playoffs")+COUNTIFS('2020'!$L$24:$L$106,A93&amp;" / "&amp;B93,'2020'!$B$24:$B$106,"Playoffs")+COUNTIFS('2021'!$L$24:$L$112,A93&amp;" / "&amp;B93,'2021'!$B$24:$B$112,"Playoffs")+COUNTIFS('2022'!$L$24:$L$112,A93&amp;" / "&amp;B93,'2022'!$B$24:$B$112,"Playoffs")+COUNTIFS('2023'!$L$24:$L$112,A93&amp;" / "&amp;B93,'2023'!$B$24:$B$112,"Playoffs")+COUNTIFS('2024'!$L$24:$L$112,A93&amp;" / "&amp;B93,'2024'!$B$24:$B$112,"Playoffs")+COUNTIFS('2025'!$L$24:$L$112,A93&amp;" / "&amp;B93,'2025'!$B$24:$B$112,"Playoffs")</x:f>
        <x:v>0</x:v>
      </x:c>
      <x:c r="L93" s="2" t="n">
        <x:f>COUNTIFS('2015'!$L$24:$L$96,A93&amp;" / "&amp;B93,'2015'!$B$24:$B$96,"Unconfirmed")+COUNTIFS('2016'!$L$24:$L$96,A93&amp;" / "&amp;B93,'2016'!$B$24:$B$96,"Unconfirmed")+COUNTIFS('2017'!$L$24:$L$106,A93&amp;" / "&amp;B93,'2017'!$B$24:$B$106,"Unconfirmed")+COUNTIFS('2018'!$L$24:$L$106,A93&amp;" / "&amp;B93,'2018'!$B$24:$B$106,"Unconfirmed")+COUNTIFS('2019'!$L$24:$L$106,A93&amp;" / "&amp;B93,'2019'!$B$24:$B$106,"Unconfirmed")+COUNTIFS('2020'!$L$24:$L$106,A93&amp;" / "&amp;B93,'2020'!$B$24:$B$106,"Unconfirmed")+COUNTIFS('2021'!$L$24:$L$112,A93&amp;" / "&amp;B93,'2021'!$B$24:$B$112,"Unconfirmed")+COUNTIFS('2022'!$L$24:$L$112,A93&amp;" / "&amp;B93,'2022'!$B$24:$B$112,"Unconfirmed")+COUNTIFS('2023'!$L$24:$L$112,A93&amp;" / "&amp;B93,'2023'!$B$24:$B$112,"Unconfirmed")+COUNTIFS('2024'!$L$24:$L$112,A93&amp;" / "&amp;B93,'2024'!$B$24:$B$112,"Unconfirmed")+COUNTIFS('2025'!$L$24:$L$112,A93&amp;" / "&amp;B93,'2025'!$B$24:$B$112,"Unconfirmed")</x:f>
        <x:v>0</x:v>
      </x:c>
    </x:row>
    <x:row r="94" ht="22" customHeight="1">
      <x:c r="A94" s="2" t="str">
        <x:v>Ed</x:v>
      </x:c>
      <x:c r="B94" s="2" t="str">
        <x:v>James B.</x:v>
      </x:c>
      <x:c r="C94" s="2" t="n">
        <x:f>COUNTIFS('2015'!$L$24:$L$96,A94&amp;" / "&amp;B94)+COUNTIFS('2016'!$L$24:$L$96,A94&amp;" / "&amp;B94)+COUNTIFS('2017'!$L$24:$L$106,A94&amp;" / "&amp;B94)+COUNTIFS('2018'!$L$24:$L$106,A94&amp;" / "&amp;B94)+COUNTIFS('2019'!$L$24:$L$106,A94&amp;" / "&amp;B94)+COUNTIFS('2020'!$L$24:$L$106,A94&amp;" / "&amp;B94)+COUNTIFS('2021'!$L$24:$L$112,A94&amp;" / "&amp;B94)+COUNTIFS('2022'!$L$24:$L$112,A94&amp;" / "&amp;B94)+COUNTIFS('2023'!$L$24:$L$112,A94&amp;" / "&amp;B94)+COUNTIFS('2024'!$L$24:$L$112,A94&amp;" / "&amp;B94)+COUNTIFS('2025'!$L$24:$L$112,A94&amp;" / "&amp;B94)</x:f>
        <x:v>6</x:v>
      </x:c>
      <x:c r="D94" s="2" t="n">
        <x:f>COUNTIFS('2015'!$L$24:$L$96,A94&amp;" / "&amp;B94,'2015'!$I$24:$I$96,A94)+COUNTIFS('2016'!$L$24:$L$96,A94&amp;" / "&amp;B94,'2016'!$I$24:$I$96,A94)+COUNTIFS('2017'!$L$24:$L$106,A94&amp;" / "&amp;B94,'2017'!$I$24:$I$106,A94)+COUNTIFS('2018'!$L$24:$L$106,A94&amp;" / "&amp;B94,'2018'!$I$24:$I$106,A94)+COUNTIFS('2019'!$L$24:$L$106,A94&amp;" / "&amp;B94,'2019'!$I$24:$I$106,A94)+COUNTIFS('2020'!$L$24:$L$106,A94&amp;" / "&amp;B94,'2020'!$I$24:$I$106,A94)+COUNTIFS('2021'!$L$24:$L$112,A94&amp;" / "&amp;B94,'2021'!$I$24:$I$112,A94)+COUNTIFS('2022'!$L$24:$L$112,A94&amp;" / "&amp;B94,'2022'!$I$24:$I$112,A94)+COUNTIFS('2023'!$L$24:$L$112,A94&amp;" / "&amp;B94,'2023'!$I$24:$I$112,A94)+COUNTIFS('2024'!$L$24:$L$112,A94&amp;" / "&amp;B94,'2024'!$I$24:$I$112,A94)+COUNTIFS('2025'!$L$24:$L$112,A94&amp;" / "&amp;B94,'2025'!$I$24:$I$112,A94)</x:f>
        <x:v>2</x:v>
      </x:c>
      <x:c r="E94" s="2" t="n">
        <x:f>COUNTIFS('2015'!$L$24:$L$96,A94&amp;" / "&amp;B94,'2015'!$I$24:$I$96,B94)+COUNTIFS('2016'!$L$24:$L$96,A94&amp;" / "&amp;B94,'2016'!$I$24:$I$96,B94)+COUNTIFS('2017'!$L$24:$L$106,A94&amp;" / "&amp;B94,'2017'!$I$24:$I$106,B94)+COUNTIFS('2018'!$L$24:$L$106,A94&amp;" / "&amp;B94,'2018'!$I$24:$I$106,B94)+COUNTIFS('2019'!$L$24:$L$106,A94&amp;" / "&amp;B94,'2019'!$I$24:$I$106,B94)+COUNTIFS('2020'!$L$24:$L$106,A94&amp;" / "&amp;B94,'2020'!$I$24:$I$106,B94)+COUNTIFS('2021'!$L$24:$L$112,A94&amp;" / "&amp;B94,'2021'!$I$24:$I$112,B94)+COUNTIFS('2022'!$L$24:$L$112,A94&amp;" / "&amp;B94,'2022'!$I$24:$I$112,B94)+COUNTIFS('2023'!$L$24:$L$112,A94&amp;" / "&amp;B94,'2023'!$I$24:$I$112,B94)+COUNTIFS('2024'!$L$24:$L$112,A94&amp;" / "&amp;B94,'2024'!$I$24:$I$112,B94)+COUNTIFS('2025'!$L$24:$L$112,A94&amp;" / "&amp;B94,'2025'!$I$24:$I$112,B94)</x:f>
        <x:v>4</x:v>
      </x:c>
      <x:c r="F94" s="2" t="n">
        <x:f>COUNTIFS('2015'!$L$24:$L$96,A94&amp;" / "&amp;B94,'2015'!$K$24:$K$96,1)+COUNTIFS('2016'!$L$24:$L$96,A94&amp;" / "&amp;B94,'2016'!$K$24:$K$96,1)+COUNTIFS('2017'!$L$24:$L$106,A94&amp;" / "&amp;B94,'2017'!$K$24:$K$106,1)+COUNTIFS('2018'!$L$24:$L$106,A94&amp;" / "&amp;B94,'2018'!$K$24:$K$106,1)+COUNTIFS('2019'!$L$24:$L$106,A94&amp;" / "&amp;B94,'2019'!$K$24:$K$106,1)+COUNTIFS('2020'!$L$24:$L$106,A94&amp;" / "&amp;B94,'2020'!$K$24:$K$106,1)+COUNTIFS('2021'!$L$24:$L$112,A94&amp;" / "&amp;B94,'2021'!$K$24:$K$112,1)+COUNTIFS('2022'!$L$24:$L$112,A94&amp;" / "&amp;B94,'2022'!$K$24:$K$112,1)+COUNTIFS('2023'!$L$24:$L$112,A94&amp;" / "&amp;B94,'2023'!$K$24:$K$112,1)+COUNTIFS('2024'!$L$24:$L$112,A94&amp;" / "&amp;B94,'2024'!$K$24:$K$112,1)+COUNTIFS('2025'!$L$24:$L$112,A94&amp;" / "&amp;B94,'2025'!$K$24:$K$112,1)</x:f>
        <x:v>0</x:v>
      </x:c>
      <x:c r="G94" s="25" t="n">
        <x:f>SUMIFS('2015'!$E$24:$E$96,'2015'!$L$24:$L$96,A94&amp;" / "&amp;B94,'2015'!$C$24:$C$96,A94)+SUMIFS('2015'!$H$24:$H$96,'2015'!$L$24:$L$96,A94&amp;" / "&amp;B94,'2015'!$F$24:$F$96,A94)+SUMIFS('2016'!$E$24:$E$96,'2016'!$L$24:$L$96,A94&amp;" / "&amp;B94,'2016'!$C$24:$C$96,A94)+SUMIFS('2016'!$H$24:$H$96,'2016'!$L$24:$L$96,A94&amp;" / "&amp;B94,'2016'!$F$24:$F$96,A94)+SUMIFS('2017'!$E$24:$E$106,'2017'!$L$24:$L$106,A94&amp;" / "&amp;B94,'2017'!$C$24:$C$106,A94)+SUMIFS('2017'!$H$24:$H$106,'2017'!$L$24:$L$106,A94&amp;" / "&amp;B94,'2017'!$F$24:$F$106,A94)+SUMIFS('2018'!$E$24:$E$106,'2018'!$L$24:$L$106,A94&amp;" / "&amp;B94,'2018'!$C$24:$C$106,A94)+SUMIFS('2018'!$H$24:$H$106,'2018'!$L$24:$L$106,A94&amp;" / "&amp;B94,'2018'!$F$24:$F$106,A94)+SUMIFS('2019'!$E$24:$E$106,'2019'!$L$24:$L$106,A94&amp;" / "&amp;B94,'2019'!$C$24:$C$106,A94)+SUMIFS('2019'!$H$24:$H$106,'2019'!$L$24:$L$106,A94&amp;" / "&amp;B94,'2019'!$F$24:$F$106,A94)+SUMIFS('2020'!$E$24:$E$106,'2020'!$L$24:$L$106,A94&amp;" / "&amp;B94,'2020'!$C$24:$C$106,A94)+SUMIFS('2020'!$H$24:$H$106,'2020'!$L$24:$L$106,A94&amp;" / "&amp;B94,'2020'!$F$24:$F$106,A94)+SUMIFS('2021'!$E$24:$E$112,'2021'!$L$24:$L$112,A94&amp;" / "&amp;B94,'2021'!$C$24:$C$112,A94)+SUMIFS('2021'!$H$24:$H$112,'2021'!$L$24:$L$112,A94&amp;" / "&amp;B94,'2021'!$F$24:$F$112,A94)+SUMIFS('2022'!$E$24:$E$112,'2022'!$L$24:$L$112,A94&amp;" / "&amp;B94,'2022'!$C$24:$C$112,A94)+SUMIFS('2022'!$H$24:$H$112,'2022'!$L$24:$L$112,A94&amp;" / "&amp;B94,'2022'!$F$24:$F$112,A94)+SUMIFS('2023'!$E$24:$E$112,'2023'!$L$24:$L$112,A94&amp;" / "&amp;B94,'2023'!$C$24:$C$112,A94)+SUMIFS('2023'!$H$24:$H$112,'2023'!$L$24:$L$112,A94&amp;" / "&amp;B94,'2023'!$F$24:$F$112,A94)+SUMIFS('2024'!$E$24:$E$112,'2024'!$L$24:$L$112,A94&amp;" / "&amp;B94,'2024'!$C$24:$C$112,A94)+SUMIFS('2024'!$H$24:$H$112,'2024'!$L$24:$L$112,A94&amp;" / "&amp;B94,'2024'!$F$24:$F$112,A94)+SUMIFS('2025'!$E$24:$E$112,'2025'!$L$24:$L$112,A94&amp;" / "&amp;B94,'2025'!$C$24:$C$112,A94)+SUMIFS('2025'!$H$24:$H$112,'2025'!$L$24:$L$112,A94&amp;" / "&amp;B94,'2025'!$F$24:$F$112,A94)</x:f>
        <x:v>681</x:v>
      </x:c>
      <x:c r="H94" s="25" t="n">
        <x:f>SUMIFS('2015'!$E$24:$E$96,'2015'!$L$24:$L$96,A94&amp;" / "&amp;B94,'2015'!$C$24:$C$96,B94)+SUMIFS('2015'!$H$24:$H$96,'2015'!$L$24:$L$96,A94&amp;" / "&amp;B94,'2015'!$F$24:$F$96,B94)+SUMIFS('2016'!$E$24:$E$96,'2016'!$L$24:$L$96,A94&amp;" / "&amp;B94,'2016'!$C$24:$C$96,B94)+SUMIFS('2016'!$H$24:$H$96,'2016'!$L$24:$L$96,A94&amp;" / "&amp;B94,'2016'!$F$24:$F$96,B94)+SUMIFS('2017'!$E$24:$E$106,'2017'!$L$24:$L$106,A94&amp;" / "&amp;B94,'2017'!$C$24:$C$106,B94)+SUMIFS('2017'!$H$24:$H$106,'2017'!$L$24:$L$106,A94&amp;" / "&amp;B94,'2017'!$F$24:$F$106,B94)+SUMIFS('2018'!$E$24:$E$106,'2018'!$L$24:$L$106,A94&amp;" / "&amp;B94,'2018'!$C$24:$C$106,B94)+SUMIFS('2018'!$H$24:$H$106,'2018'!$L$24:$L$106,A94&amp;" / "&amp;B94,'2018'!$F$24:$F$106,B94)+SUMIFS('2019'!$E$24:$E$106,'2019'!$L$24:$L$106,A94&amp;" / "&amp;B94,'2019'!$C$24:$C$106,B94)+SUMIFS('2019'!$H$24:$H$106,'2019'!$L$24:$L$106,A94&amp;" / "&amp;B94,'2019'!$F$24:$F$106,B94)+SUMIFS('2020'!$E$24:$E$106,'2020'!$L$24:$L$106,A94&amp;" / "&amp;B94,'2020'!$C$24:$C$106,B94)+SUMIFS('2020'!$H$24:$H$106,'2020'!$L$24:$L$106,A94&amp;" / "&amp;B94,'2020'!$F$24:$F$106,B94)+SUMIFS('2021'!$E$24:$E$112,'2021'!$L$24:$L$112,A94&amp;" / "&amp;B94,'2021'!$C$24:$C$112,B94)+SUMIFS('2021'!$H$24:$H$112,'2021'!$L$24:$L$112,A94&amp;" / "&amp;B94,'2021'!$F$24:$F$112,B94)+SUMIFS('2022'!$E$24:$E$112,'2022'!$L$24:$L$112,A94&amp;" / "&amp;B94,'2022'!$C$24:$C$112,B94)+SUMIFS('2022'!$H$24:$H$112,'2022'!$L$24:$L$112,A94&amp;" / "&amp;B94,'2022'!$F$24:$F$112,B94)+SUMIFS('2023'!$E$24:$E$112,'2023'!$L$24:$L$112,A94&amp;" / "&amp;B94,'2023'!$C$24:$C$112,B94)+SUMIFS('2023'!$H$24:$H$112,'2023'!$L$24:$L$112,A94&amp;" / "&amp;B94,'2023'!$F$24:$F$112,B94)+SUMIFS('2024'!$E$24:$E$112,'2024'!$L$24:$L$112,A94&amp;" / "&amp;B94,'2024'!$C$24:$C$112,B94)+SUMIFS('2024'!$H$24:$H$112,'2024'!$L$24:$L$112,A94&amp;" / "&amp;B94,'2024'!$F$24:$F$112,B94)+SUMIFS('2025'!$E$24:$E$112,'2025'!$L$24:$L$112,A94&amp;" / "&amp;B94,'2025'!$C$24:$C$112,B94)+SUMIFS('2025'!$H$24:$H$112,'2025'!$L$24:$L$112,A94&amp;" / "&amp;B94,'2025'!$F$24:$F$112,B94)</x:f>
        <x:v>743</x:v>
      </x:c>
      <x:c r="I94" s="11" t="n">
        <x:f>IF(C94=0,0,(D94+0.5*F94)/C94)</x:f>
        <x:v>0.3333333333333333</x:v>
      </x:c>
      <x:c r="J94" s="2" t="n">
        <x:f>COUNTIFS('2015'!$L$24:$L$96,A94&amp;" / "&amp;B94,'2015'!$B$24:$B$96,"Regular")+COUNTIFS('2016'!$L$24:$L$96,A94&amp;" / "&amp;B94,'2016'!$B$24:$B$96,"Regular")+COUNTIFS('2017'!$L$24:$L$106,A94&amp;" / "&amp;B94,'2017'!$B$24:$B$106,"Regular")+COUNTIFS('2018'!$L$24:$L$106,A94&amp;" / "&amp;B94,'2018'!$B$24:$B$106,"Regular")+COUNTIFS('2019'!$L$24:$L$106,A94&amp;" / "&amp;B94,'2019'!$B$24:$B$106,"Regular")+COUNTIFS('2020'!$L$24:$L$106,A94&amp;" / "&amp;B94,'2020'!$B$24:$B$106,"Regular")+COUNTIFS('2021'!$L$24:$L$112,A94&amp;" / "&amp;B94,'2021'!$B$24:$B$112,"Regular")+COUNTIFS('2022'!$L$24:$L$112,A94&amp;" / "&amp;B94,'2022'!$B$24:$B$112,"Regular")+COUNTIFS('2023'!$L$24:$L$112,A94&amp;" / "&amp;B94,'2023'!$B$24:$B$112,"Regular")+COUNTIFS('2024'!$L$24:$L$112,A94&amp;" / "&amp;B94,'2024'!$B$24:$B$112,"Regular")+COUNTIFS('2025'!$L$24:$L$112,A94&amp;" / "&amp;B94,'2025'!$B$24:$B$112,"Regular")</x:f>
        <x:v>5</x:v>
      </x:c>
      <x:c r="K94" s="2" t="n">
        <x:f>COUNTIFS('2015'!$L$24:$L$96,A94&amp;" / "&amp;B94,'2015'!$B$24:$B$96,"Playoffs")+COUNTIFS('2016'!$L$24:$L$96,A94&amp;" / "&amp;B94,'2016'!$B$24:$B$96,"Playoffs")+COUNTIFS('2017'!$L$24:$L$106,A94&amp;" / "&amp;B94,'2017'!$B$24:$B$106,"Playoffs")+COUNTIFS('2018'!$L$24:$L$106,A94&amp;" / "&amp;B94,'2018'!$B$24:$B$106,"Playoffs")+COUNTIFS('2019'!$L$24:$L$106,A94&amp;" / "&amp;B94,'2019'!$B$24:$B$106,"Playoffs")+COUNTIFS('2020'!$L$24:$L$106,A94&amp;" / "&amp;B94,'2020'!$B$24:$B$106,"Playoffs")+COUNTIFS('2021'!$L$24:$L$112,A94&amp;" / "&amp;B94,'2021'!$B$24:$B$112,"Playoffs")+COUNTIFS('2022'!$L$24:$L$112,A94&amp;" / "&amp;B94,'2022'!$B$24:$B$112,"Playoffs")+COUNTIFS('2023'!$L$24:$L$112,A94&amp;" / "&amp;B94,'2023'!$B$24:$B$112,"Playoffs")+COUNTIFS('2024'!$L$24:$L$112,A94&amp;" / "&amp;B94,'2024'!$B$24:$B$112,"Playoffs")+COUNTIFS('2025'!$L$24:$L$112,A94&amp;" / "&amp;B94,'2025'!$B$24:$B$112,"Playoffs")</x:f>
        <x:v>1</x:v>
      </x:c>
      <x:c r="L94" s="2" t="n">
        <x:f>COUNTIFS('2015'!$L$24:$L$96,A94&amp;" / "&amp;B94,'2015'!$B$24:$B$96,"Unconfirmed")+COUNTIFS('2016'!$L$24:$L$96,A94&amp;" / "&amp;B94,'2016'!$B$24:$B$96,"Unconfirmed")+COUNTIFS('2017'!$L$24:$L$106,A94&amp;" / "&amp;B94,'2017'!$B$24:$B$106,"Unconfirmed")+COUNTIFS('2018'!$L$24:$L$106,A94&amp;" / "&amp;B94,'2018'!$B$24:$B$106,"Unconfirmed")+COUNTIFS('2019'!$L$24:$L$106,A94&amp;" / "&amp;B94,'2019'!$B$24:$B$106,"Unconfirmed")+COUNTIFS('2020'!$L$24:$L$106,A94&amp;" / "&amp;B94,'2020'!$B$24:$B$106,"Unconfirmed")+COUNTIFS('2021'!$L$24:$L$112,A94&amp;" / "&amp;B94,'2021'!$B$24:$B$112,"Unconfirmed")+COUNTIFS('2022'!$L$24:$L$112,A94&amp;" / "&amp;B94,'2022'!$B$24:$B$112,"Unconfirmed")+COUNTIFS('2023'!$L$24:$L$112,A94&amp;" / "&amp;B94,'2023'!$B$24:$B$112,"Unconfirmed")+COUNTIFS('2024'!$L$24:$L$112,A94&amp;" / "&amp;B94,'2024'!$B$24:$B$112,"Unconfirmed")+COUNTIFS('2025'!$L$24:$L$112,A94&amp;" / "&amp;B94,'2025'!$B$24:$B$112,"Unconfirmed")</x:f>
        <x:v>0</x:v>
      </x:c>
    </x:row>
    <x:row r="95" ht="22" customHeight="1">
      <x:c r="A95" s="2" t="str">
        <x:v>Ed</x:v>
      </x:c>
      <x:c r="B95" s="2" t="str">
        <x:v>Josh</x:v>
      </x:c>
      <x:c r="C95" s="2" t="n">
        <x:f>COUNTIFS('2015'!$L$24:$L$96,A95&amp;" / "&amp;B95)+COUNTIFS('2016'!$L$24:$L$96,A95&amp;" / "&amp;B95)+COUNTIFS('2017'!$L$24:$L$106,A95&amp;" / "&amp;B95)+COUNTIFS('2018'!$L$24:$L$106,A95&amp;" / "&amp;B95)+COUNTIFS('2019'!$L$24:$L$106,A95&amp;" / "&amp;B95)+COUNTIFS('2020'!$L$24:$L$106,A95&amp;" / "&amp;B95)+COUNTIFS('2021'!$L$24:$L$112,A95&amp;" / "&amp;B95)+COUNTIFS('2022'!$L$24:$L$112,A95&amp;" / "&amp;B95)+COUNTIFS('2023'!$L$24:$L$112,A95&amp;" / "&amp;B95)+COUNTIFS('2024'!$L$24:$L$112,A95&amp;" / "&amp;B95)+COUNTIFS('2025'!$L$24:$L$112,A95&amp;" / "&amp;B95)</x:f>
        <x:v>19</x:v>
      </x:c>
      <x:c r="D95" s="2" t="n">
        <x:f>COUNTIFS('2015'!$L$24:$L$96,A95&amp;" / "&amp;B95,'2015'!$I$24:$I$96,A95)+COUNTIFS('2016'!$L$24:$L$96,A95&amp;" / "&amp;B95,'2016'!$I$24:$I$96,A95)+COUNTIFS('2017'!$L$24:$L$106,A95&amp;" / "&amp;B95,'2017'!$I$24:$I$106,A95)+COUNTIFS('2018'!$L$24:$L$106,A95&amp;" / "&amp;B95,'2018'!$I$24:$I$106,A95)+COUNTIFS('2019'!$L$24:$L$106,A95&amp;" / "&amp;B95,'2019'!$I$24:$I$106,A95)+COUNTIFS('2020'!$L$24:$L$106,A95&amp;" / "&amp;B95,'2020'!$I$24:$I$106,A95)+COUNTIFS('2021'!$L$24:$L$112,A95&amp;" / "&amp;B95,'2021'!$I$24:$I$112,A95)+COUNTIFS('2022'!$L$24:$L$112,A95&amp;" / "&amp;B95,'2022'!$I$24:$I$112,A95)+COUNTIFS('2023'!$L$24:$L$112,A95&amp;" / "&amp;B95,'2023'!$I$24:$I$112,A95)+COUNTIFS('2024'!$L$24:$L$112,A95&amp;" / "&amp;B95,'2024'!$I$24:$I$112,A95)+COUNTIFS('2025'!$L$24:$L$112,A95&amp;" / "&amp;B95,'2025'!$I$24:$I$112,A95)</x:f>
        <x:v>11</x:v>
      </x:c>
      <x:c r="E95" s="2" t="n">
        <x:f>COUNTIFS('2015'!$L$24:$L$96,A95&amp;" / "&amp;B95,'2015'!$I$24:$I$96,B95)+COUNTIFS('2016'!$L$24:$L$96,A95&amp;" / "&amp;B95,'2016'!$I$24:$I$96,B95)+COUNTIFS('2017'!$L$24:$L$106,A95&amp;" / "&amp;B95,'2017'!$I$24:$I$106,B95)+COUNTIFS('2018'!$L$24:$L$106,A95&amp;" / "&amp;B95,'2018'!$I$24:$I$106,B95)+COUNTIFS('2019'!$L$24:$L$106,A95&amp;" / "&amp;B95,'2019'!$I$24:$I$106,B95)+COUNTIFS('2020'!$L$24:$L$106,A95&amp;" / "&amp;B95,'2020'!$I$24:$I$106,B95)+COUNTIFS('2021'!$L$24:$L$112,A95&amp;" / "&amp;B95,'2021'!$I$24:$I$112,B95)+COUNTIFS('2022'!$L$24:$L$112,A95&amp;" / "&amp;B95,'2022'!$I$24:$I$112,B95)+COUNTIFS('2023'!$L$24:$L$112,A95&amp;" / "&amp;B95,'2023'!$I$24:$I$112,B95)+COUNTIFS('2024'!$L$24:$L$112,A95&amp;" / "&amp;B95,'2024'!$I$24:$I$112,B95)+COUNTIFS('2025'!$L$24:$L$112,A95&amp;" / "&amp;B95,'2025'!$I$24:$I$112,B95)</x:f>
        <x:v>7</x:v>
      </x:c>
      <x:c r="F95" s="2" t="n">
        <x:f>COUNTIFS('2015'!$L$24:$L$96,A95&amp;" / "&amp;B95,'2015'!$K$24:$K$96,1)+COUNTIFS('2016'!$L$24:$L$96,A95&amp;" / "&amp;B95,'2016'!$K$24:$K$96,1)+COUNTIFS('2017'!$L$24:$L$106,A95&amp;" / "&amp;B95,'2017'!$K$24:$K$106,1)+COUNTIFS('2018'!$L$24:$L$106,A95&amp;" / "&amp;B95,'2018'!$K$24:$K$106,1)+COUNTIFS('2019'!$L$24:$L$106,A95&amp;" / "&amp;B95,'2019'!$K$24:$K$106,1)+COUNTIFS('2020'!$L$24:$L$106,A95&amp;" / "&amp;B95,'2020'!$K$24:$K$106,1)+COUNTIFS('2021'!$L$24:$L$112,A95&amp;" / "&amp;B95,'2021'!$K$24:$K$112,1)+COUNTIFS('2022'!$L$24:$L$112,A95&amp;" / "&amp;B95,'2022'!$K$24:$K$112,1)+COUNTIFS('2023'!$L$24:$L$112,A95&amp;" / "&amp;B95,'2023'!$K$24:$K$112,1)+COUNTIFS('2024'!$L$24:$L$112,A95&amp;" / "&amp;B95,'2024'!$K$24:$K$112,1)+COUNTIFS('2025'!$L$24:$L$112,A95&amp;" / "&amp;B95,'2025'!$K$24:$K$112,1)</x:f>
        <x:v>1</x:v>
      </x:c>
      <x:c r="G95" s="25" t="n">
        <x:f>SUMIFS('2015'!$E$24:$E$96,'2015'!$L$24:$L$96,A95&amp;" / "&amp;B95,'2015'!$C$24:$C$96,A95)+SUMIFS('2015'!$H$24:$H$96,'2015'!$L$24:$L$96,A95&amp;" / "&amp;B95,'2015'!$F$24:$F$96,A95)+SUMIFS('2016'!$E$24:$E$96,'2016'!$L$24:$L$96,A95&amp;" / "&amp;B95,'2016'!$C$24:$C$96,A95)+SUMIFS('2016'!$H$24:$H$96,'2016'!$L$24:$L$96,A95&amp;" / "&amp;B95,'2016'!$F$24:$F$96,A95)+SUMIFS('2017'!$E$24:$E$106,'2017'!$L$24:$L$106,A95&amp;" / "&amp;B95,'2017'!$C$24:$C$106,A95)+SUMIFS('2017'!$H$24:$H$106,'2017'!$L$24:$L$106,A95&amp;" / "&amp;B95,'2017'!$F$24:$F$106,A95)+SUMIFS('2018'!$E$24:$E$106,'2018'!$L$24:$L$106,A95&amp;" / "&amp;B95,'2018'!$C$24:$C$106,A95)+SUMIFS('2018'!$H$24:$H$106,'2018'!$L$24:$L$106,A95&amp;" / "&amp;B95,'2018'!$F$24:$F$106,A95)+SUMIFS('2019'!$E$24:$E$106,'2019'!$L$24:$L$106,A95&amp;" / "&amp;B95,'2019'!$C$24:$C$106,A95)+SUMIFS('2019'!$H$24:$H$106,'2019'!$L$24:$L$106,A95&amp;" / "&amp;B95,'2019'!$F$24:$F$106,A95)+SUMIFS('2020'!$E$24:$E$106,'2020'!$L$24:$L$106,A95&amp;" / "&amp;B95,'2020'!$C$24:$C$106,A95)+SUMIFS('2020'!$H$24:$H$106,'2020'!$L$24:$L$106,A95&amp;" / "&amp;B95,'2020'!$F$24:$F$106,A95)+SUMIFS('2021'!$E$24:$E$112,'2021'!$L$24:$L$112,A95&amp;" / "&amp;B95,'2021'!$C$24:$C$112,A95)+SUMIFS('2021'!$H$24:$H$112,'2021'!$L$24:$L$112,A95&amp;" / "&amp;B95,'2021'!$F$24:$F$112,A95)+SUMIFS('2022'!$E$24:$E$112,'2022'!$L$24:$L$112,A95&amp;" / "&amp;B95,'2022'!$C$24:$C$112,A95)+SUMIFS('2022'!$H$24:$H$112,'2022'!$L$24:$L$112,A95&amp;" / "&amp;B95,'2022'!$F$24:$F$112,A95)+SUMIFS('2023'!$E$24:$E$112,'2023'!$L$24:$L$112,A95&amp;" / "&amp;B95,'2023'!$C$24:$C$112,A95)+SUMIFS('2023'!$H$24:$H$112,'2023'!$L$24:$L$112,A95&amp;" / "&amp;B95,'2023'!$F$24:$F$112,A95)+SUMIFS('2024'!$E$24:$E$112,'2024'!$L$24:$L$112,A95&amp;" / "&amp;B95,'2024'!$C$24:$C$112,A95)+SUMIFS('2024'!$H$24:$H$112,'2024'!$L$24:$L$112,A95&amp;" / "&amp;B95,'2024'!$F$24:$F$112,A95)+SUMIFS('2025'!$E$24:$E$112,'2025'!$L$24:$L$112,A95&amp;" / "&amp;B95,'2025'!$C$24:$C$112,A95)+SUMIFS('2025'!$H$24:$H$112,'2025'!$L$24:$L$112,A95&amp;" / "&amp;B95,'2025'!$F$24:$F$112,A95)</x:f>
        <x:v>2394.1000000000004</x:v>
      </x:c>
      <x:c r="H95" s="25" t="n">
        <x:f>SUMIFS('2015'!$E$24:$E$96,'2015'!$L$24:$L$96,A95&amp;" / "&amp;B95,'2015'!$C$24:$C$96,B95)+SUMIFS('2015'!$H$24:$H$96,'2015'!$L$24:$L$96,A95&amp;" / "&amp;B95,'2015'!$F$24:$F$96,B95)+SUMIFS('2016'!$E$24:$E$96,'2016'!$L$24:$L$96,A95&amp;" / "&amp;B95,'2016'!$C$24:$C$96,B95)+SUMIFS('2016'!$H$24:$H$96,'2016'!$L$24:$L$96,A95&amp;" / "&amp;B95,'2016'!$F$24:$F$96,B95)+SUMIFS('2017'!$E$24:$E$106,'2017'!$L$24:$L$106,A95&amp;" / "&amp;B95,'2017'!$C$24:$C$106,B95)+SUMIFS('2017'!$H$24:$H$106,'2017'!$L$24:$L$106,A95&amp;" / "&amp;B95,'2017'!$F$24:$F$106,B95)+SUMIFS('2018'!$E$24:$E$106,'2018'!$L$24:$L$106,A95&amp;" / "&amp;B95,'2018'!$C$24:$C$106,B95)+SUMIFS('2018'!$H$24:$H$106,'2018'!$L$24:$L$106,A95&amp;" / "&amp;B95,'2018'!$F$24:$F$106,B95)+SUMIFS('2019'!$E$24:$E$106,'2019'!$L$24:$L$106,A95&amp;" / "&amp;B95,'2019'!$C$24:$C$106,B95)+SUMIFS('2019'!$H$24:$H$106,'2019'!$L$24:$L$106,A95&amp;" / "&amp;B95,'2019'!$F$24:$F$106,B95)+SUMIFS('2020'!$E$24:$E$106,'2020'!$L$24:$L$106,A95&amp;" / "&amp;B95,'2020'!$C$24:$C$106,B95)+SUMIFS('2020'!$H$24:$H$106,'2020'!$L$24:$L$106,A95&amp;" / "&amp;B95,'2020'!$F$24:$F$106,B95)+SUMIFS('2021'!$E$24:$E$112,'2021'!$L$24:$L$112,A95&amp;" / "&amp;B95,'2021'!$C$24:$C$112,B95)+SUMIFS('2021'!$H$24:$H$112,'2021'!$L$24:$L$112,A95&amp;" / "&amp;B95,'2021'!$F$24:$F$112,B95)+SUMIFS('2022'!$E$24:$E$112,'2022'!$L$24:$L$112,A95&amp;" / "&amp;B95,'2022'!$C$24:$C$112,B95)+SUMIFS('2022'!$H$24:$H$112,'2022'!$L$24:$L$112,A95&amp;" / "&amp;B95,'2022'!$F$24:$F$112,B95)+SUMIFS('2023'!$E$24:$E$112,'2023'!$L$24:$L$112,A95&amp;" / "&amp;B95,'2023'!$C$24:$C$112,B95)+SUMIFS('2023'!$H$24:$H$112,'2023'!$L$24:$L$112,A95&amp;" / "&amp;B95,'2023'!$F$24:$F$112,B95)+SUMIFS('2024'!$E$24:$E$112,'2024'!$L$24:$L$112,A95&amp;" / "&amp;B95,'2024'!$C$24:$C$112,B95)+SUMIFS('2024'!$H$24:$H$112,'2024'!$L$24:$L$112,A95&amp;" / "&amp;B95,'2024'!$F$24:$F$112,B95)+SUMIFS('2025'!$E$24:$E$112,'2025'!$L$24:$L$112,A95&amp;" / "&amp;B95,'2025'!$C$24:$C$112,B95)+SUMIFS('2025'!$H$24:$H$112,'2025'!$L$24:$L$112,A95&amp;" / "&amp;B95,'2025'!$F$24:$F$112,B95)</x:f>
        <x:v>2172.5</x:v>
      </x:c>
      <x:c r="I95" s="11" t="n">
        <x:f>IF(C95=0,0,(D95+0.5*F95)/C95)</x:f>
        <x:v>0.6052631578947368</x:v>
      </x:c>
      <x:c r="J95" s="2" t="n">
        <x:f>COUNTIFS('2015'!$L$24:$L$96,A95&amp;" / "&amp;B95,'2015'!$B$24:$B$96,"Regular")+COUNTIFS('2016'!$L$24:$L$96,A95&amp;" / "&amp;B95,'2016'!$B$24:$B$96,"Regular")+COUNTIFS('2017'!$L$24:$L$106,A95&amp;" / "&amp;B95,'2017'!$B$24:$B$106,"Regular")+COUNTIFS('2018'!$L$24:$L$106,A95&amp;" / "&amp;B95,'2018'!$B$24:$B$106,"Regular")+COUNTIFS('2019'!$L$24:$L$106,A95&amp;" / "&amp;B95,'2019'!$B$24:$B$106,"Regular")+COUNTIFS('2020'!$L$24:$L$106,A95&amp;" / "&amp;B95,'2020'!$B$24:$B$106,"Regular")+COUNTIFS('2021'!$L$24:$L$112,A95&amp;" / "&amp;B95,'2021'!$B$24:$B$112,"Regular")+COUNTIFS('2022'!$L$24:$L$112,A95&amp;" / "&amp;B95,'2022'!$B$24:$B$112,"Regular")+COUNTIFS('2023'!$L$24:$L$112,A95&amp;" / "&amp;B95,'2023'!$B$24:$B$112,"Regular")+COUNTIFS('2024'!$L$24:$L$112,A95&amp;" / "&amp;B95,'2024'!$B$24:$B$112,"Regular")+COUNTIFS('2025'!$L$24:$L$112,A95&amp;" / "&amp;B95,'2025'!$B$24:$B$112,"Regular")</x:f>
        <x:v>18</x:v>
      </x:c>
      <x:c r="K95" s="2" t="n">
        <x:f>COUNTIFS('2015'!$L$24:$L$96,A95&amp;" / "&amp;B95,'2015'!$B$24:$B$96,"Playoffs")+COUNTIFS('2016'!$L$24:$L$96,A95&amp;" / "&amp;B95,'2016'!$B$24:$B$96,"Playoffs")+COUNTIFS('2017'!$L$24:$L$106,A95&amp;" / "&amp;B95,'2017'!$B$24:$B$106,"Playoffs")+COUNTIFS('2018'!$L$24:$L$106,A95&amp;" / "&amp;B95,'2018'!$B$24:$B$106,"Playoffs")+COUNTIFS('2019'!$L$24:$L$106,A95&amp;" / "&amp;B95,'2019'!$B$24:$B$106,"Playoffs")+COUNTIFS('2020'!$L$24:$L$106,A95&amp;" / "&amp;B95,'2020'!$B$24:$B$106,"Playoffs")+COUNTIFS('2021'!$L$24:$L$112,A95&amp;" / "&amp;B95,'2021'!$B$24:$B$112,"Playoffs")+COUNTIFS('2022'!$L$24:$L$112,A95&amp;" / "&amp;B95,'2022'!$B$24:$B$112,"Playoffs")+COUNTIFS('2023'!$L$24:$L$112,A95&amp;" / "&amp;B95,'2023'!$B$24:$B$112,"Playoffs")+COUNTIFS('2024'!$L$24:$L$112,A95&amp;" / "&amp;B95,'2024'!$B$24:$B$112,"Playoffs")+COUNTIFS('2025'!$L$24:$L$112,A95&amp;" / "&amp;B95,'2025'!$B$24:$B$112,"Playoffs")</x:f>
        <x:v>1</x:v>
      </x:c>
      <x:c r="L95" s="2" t="n">
        <x:f>COUNTIFS('2015'!$L$24:$L$96,A95&amp;" / "&amp;B95,'2015'!$B$24:$B$96,"Unconfirmed")+COUNTIFS('2016'!$L$24:$L$96,A95&amp;" / "&amp;B95,'2016'!$B$24:$B$96,"Unconfirmed")+COUNTIFS('2017'!$L$24:$L$106,A95&amp;" / "&amp;B95,'2017'!$B$24:$B$106,"Unconfirmed")+COUNTIFS('2018'!$L$24:$L$106,A95&amp;" / "&amp;B95,'2018'!$B$24:$B$106,"Unconfirmed")+COUNTIFS('2019'!$L$24:$L$106,A95&amp;" / "&amp;B95,'2019'!$B$24:$B$106,"Unconfirmed")+COUNTIFS('2020'!$L$24:$L$106,A95&amp;" / "&amp;B95,'2020'!$B$24:$B$106,"Unconfirmed")+COUNTIFS('2021'!$L$24:$L$112,A95&amp;" / "&amp;B95,'2021'!$B$24:$B$112,"Unconfirmed")+COUNTIFS('2022'!$L$24:$L$112,A95&amp;" / "&amp;B95,'2022'!$B$24:$B$112,"Unconfirmed")+COUNTIFS('2023'!$L$24:$L$112,A95&amp;" / "&amp;B95,'2023'!$B$24:$B$112,"Unconfirmed")+COUNTIFS('2024'!$L$24:$L$112,A95&amp;" / "&amp;B95,'2024'!$B$24:$B$112,"Unconfirmed")+COUNTIFS('2025'!$L$24:$L$112,A95&amp;" / "&amp;B95,'2025'!$B$24:$B$112,"Unconfirmed")</x:f>
        <x:v>0</x:v>
      </x:c>
    </x:row>
    <x:row r="96" ht="22" customHeight="1">
      <x:c r="A96" s="2" t="str">
        <x:v>Ed</x:v>
      </x:c>
      <x:c r="B96" s="2" t="str">
        <x:v>Mark</x:v>
      </x:c>
      <x:c r="C96" s="2" t="n">
        <x:f>COUNTIFS('2015'!$L$24:$L$96,A96&amp;" / "&amp;B96)+COUNTIFS('2016'!$L$24:$L$96,A96&amp;" / "&amp;B96)+COUNTIFS('2017'!$L$24:$L$106,A96&amp;" / "&amp;B96)+COUNTIFS('2018'!$L$24:$L$106,A96&amp;" / "&amp;B96)+COUNTIFS('2019'!$L$24:$L$106,A96&amp;" / "&amp;B96)+COUNTIFS('2020'!$L$24:$L$106,A96&amp;" / "&amp;B96)+COUNTIFS('2021'!$L$24:$L$112,A96&amp;" / "&amp;B96)+COUNTIFS('2022'!$L$24:$L$112,A96&amp;" / "&amp;B96)+COUNTIFS('2023'!$L$24:$L$112,A96&amp;" / "&amp;B96)+COUNTIFS('2024'!$L$24:$L$112,A96&amp;" / "&amp;B96)+COUNTIFS('2025'!$L$24:$L$112,A96&amp;" / "&amp;B96)</x:f>
        <x:v>13</x:v>
      </x:c>
      <x:c r="D96" s="2" t="n">
        <x:f>COUNTIFS('2015'!$L$24:$L$96,A96&amp;" / "&amp;B96,'2015'!$I$24:$I$96,A96)+COUNTIFS('2016'!$L$24:$L$96,A96&amp;" / "&amp;B96,'2016'!$I$24:$I$96,A96)+COUNTIFS('2017'!$L$24:$L$106,A96&amp;" / "&amp;B96,'2017'!$I$24:$I$106,A96)+COUNTIFS('2018'!$L$24:$L$106,A96&amp;" / "&amp;B96,'2018'!$I$24:$I$106,A96)+COUNTIFS('2019'!$L$24:$L$106,A96&amp;" / "&amp;B96,'2019'!$I$24:$I$106,A96)+COUNTIFS('2020'!$L$24:$L$106,A96&amp;" / "&amp;B96,'2020'!$I$24:$I$106,A96)+COUNTIFS('2021'!$L$24:$L$112,A96&amp;" / "&amp;B96,'2021'!$I$24:$I$112,A96)+COUNTIFS('2022'!$L$24:$L$112,A96&amp;" / "&amp;B96,'2022'!$I$24:$I$112,A96)+COUNTIFS('2023'!$L$24:$L$112,A96&amp;" / "&amp;B96,'2023'!$I$24:$I$112,A96)+COUNTIFS('2024'!$L$24:$L$112,A96&amp;" / "&amp;B96,'2024'!$I$24:$I$112,A96)+COUNTIFS('2025'!$L$24:$L$112,A96&amp;" / "&amp;B96,'2025'!$I$24:$I$112,A96)</x:f>
        <x:v>8</x:v>
      </x:c>
      <x:c r="E96" s="2" t="n">
        <x:f>COUNTIFS('2015'!$L$24:$L$96,A96&amp;" / "&amp;B96,'2015'!$I$24:$I$96,B96)+COUNTIFS('2016'!$L$24:$L$96,A96&amp;" / "&amp;B96,'2016'!$I$24:$I$96,B96)+COUNTIFS('2017'!$L$24:$L$106,A96&amp;" / "&amp;B96,'2017'!$I$24:$I$106,B96)+COUNTIFS('2018'!$L$24:$L$106,A96&amp;" / "&amp;B96,'2018'!$I$24:$I$106,B96)+COUNTIFS('2019'!$L$24:$L$106,A96&amp;" / "&amp;B96,'2019'!$I$24:$I$106,B96)+COUNTIFS('2020'!$L$24:$L$106,A96&amp;" / "&amp;B96,'2020'!$I$24:$I$106,B96)+COUNTIFS('2021'!$L$24:$L$112,A96&amp;" / "&amp;B96,'2021'!$I$24:$I$112,B96)+COUNTIFS('2022'!$L$24:$L$112,A96&amp;" / "&amp;B96,'2022'!$I$24:$I$112,B96)+COUNTIFS('2023'!$L$24:$L$112,A96&amp;" / "&amp;B96,'2023'!$I$24:$I$112,B96)+COUNTIFS('2024'!$L$24:$L$112,A96&amp;" / "&amp;B96,'2024'!$I$24:$I$112,B96)+COUNTIFS('2025'!$L$24:$L$112,A96&amp;" / "&amp;B96,'2025'!$I$24:$I$112,B96)</x:f>
        <x:v>5</x:v>
      </x:c>
      <x:c r="F96" s="2" t="n">
        <x:f>COUNTIFS('2015'!$L$24:$L$96,A96&amp;" / "&amp;B96,'2015'!$K$24:$K$96,1)+COUNTIFS('2016'!$L$24:$L$96,A96&amp;" / "&amp;B96,'2016'!$K$24:$K$96,1)+COUNTIFS('2017'!$L$24:$L$106,A96&amp;" / "&amp;B96,'2017'!$K$24:$K$106,1)+COUNTIFS('2018'!$L$24:$L$106,A96&amp;" / "&amp;B96,'2018'!$K$24:$K$106,1)+COUNTIFS('2019'!$L$24:$L$106,A96&amp;" / "&amp;B96,'2019'!$K$24:$K$106,1)+COUNTIFS('2020'!$L$24:$L$106,A96&amp;" / "&amp;B96,'2020'!$K$24:$K$106,1)+COUNTIFS('2021'!$L$24:$L$112,A96&amp;" / "&amp;B96,'2021'!$K$24:$K$112,1)+COUNTIFS('2022'!$L$24:$L$112,A96&amp;" / "&amp;B96,'2022'!$K$24:$K$112,1)+COUNTIFS('2023'!$L$24:$L$112,A96&amp;" / "&amp;B96,'2023'!$K$24:$K$112,1)+COUNTIFS('2024'!$L$24:$L$112,A96&amp;" / "&amp;B96,'2024'!$K$24:$K$112,1)+COUNTIFS('2025'!$L$24:$L$112,A96&amp;" / "&amp;B96,'2025'!$K$24:$K$112,1)</x:f>
        <x:v>0</x:v>
      </x:c>
      <x:c r="G96" s="25" t="n">
        <x:f>SUMIFS('2015'!$E$24:$E$96,'2015'!$L$24:$L$96,A96&amp;" / "&amp;B96,'2015'!$C$24:$C$96,A96)+SUMIFS('2015'!$H$24:$H$96,'2015'!$L$24:$L$96,A96&amp;" / "&amp;B96,'2015'!$F$24:$F$96,A96)+SUMIFS('2016'!$E$24:$E$96,'2016'!$L$24:$L$96,A96&amp;" / "&amp;B96,'2016'!$C$24:$C$96,A96)+SUMIFS('2016'!$H$24:$H$96,'2016'!$L$24:$L$96,A96&amp;" / "&amp;B96,'2016'!$F$24:$F$96,A96)+SUMIFS('2017'!$E$24:$E$106,'2017'!$L$24:$L$106,A96&amp;" / "&amp;B96,'2017'!$C$24:$C$106,A96)+SUMIFS('2017'!$H$24:$H$106,'2017'!$L$24:$L$106,A96&amp;" / "&amp;B96,'2017'!$F$24:$F$106,A96)+SUMIFS('2018'!$E$24:$E$106,'2018'!$L$24:$L$106,A96&amp;" / "&amp;B96,'2018'!$C$24:$C$106,A96)+SUMIFS('2018'!$H$24:$H$106,'2018'!$L$24:$L$106,A96&amp;" / "&amp;B96,'2018'!$F$24:$F$106,A96)+SUMIFS('2019'!$E$24:$E$106,'2019'!$L$24:$L$106,A96&amp;" / "&amp;B96,'2019'!$C$24:$C$106,A96)+SUMIFS('2019'!$H$24:$H$106,'2019'!$L$24:$L$106,A96&amp;" / "&amp;B96,'2019'!$F$24:$F$106,A96)+SUMIFS('2020'!$E$24:$E$106,'2020'!$L$24:$L$106,A96&amp;" / "&amp;B96,'2020'!$C$24:$C$106,A96)+SUMIFS('2020'!$H$24:$H$106,'2020'!$L$24:$L$106,A96&amp;" / "&amp;B96,'2020'!$F$24:$F$106,A96)+SUMIFS('2021'!$E$24:$E$112,'2021'!$L$24:$L$112,A96&amp;" / "&amp;B96,'2021'!$C$24:$C$112,A96)+SUMIFS('2021'!$H$24:$H$112,'2021'!$L$24:$L$112,A96&amp;" / "&amp;B96,'2021'!$F$24:$F$112,A96)+SUMIFS('2022'!$E$24:$E$112,'2022'!$L$24:$L$112,A96&amp;" / "&amp;B96,'2022'!$C$24:$C$112,A96)+SUMIFS('2022'!$H$24:$H$112,'2022'!$L$24:$L$112,A96&amp;" / "&amp;B96,'2022'!$F$24:$F$112,A96)+SUMIFS('2023'!$E$24:$E$112,'2023'!$L$24:$L$112,A96&amp;" / "&amp;B96,'2023'!$C$24:$C$112,A96)+SUMIFS('2023'!$H$24:$H$112,'2023'!$L$24:$L$112,A96&amp;" / "&amp;B96,'2023'!$F$24:$F$112,A96)+SUMIFS('2024'!$E$24:$E$112,'2024'!$L$24:$L$112,A96&amp;" / "&amp;B96,'2024'!$C$24:$C$112,A96)+SUMIFS('2024'!$H$24:$H$112,'2024'!$L$24:$L$112,A96&amp;" / "&amp;B96,'2024'!$F$24:$F$112,A96)+SUMIFS('2025'!$E$24:$E$112,'2025'!$L$24:$L$112,A96&amp;" / "&amp;B96,'2025'!$C$24:$C$112,A96)+SUMIFS('2025'!$H$24:$H$112,'2025'!$L$24:$L$112,A96&amp;" / "&amp;B96,'2025'!$F$24:$F$112,A96)</x:f>
        <x:v>1588.1000000000001</x:v>
      </x:c>
      <x:c r="H96" s="25" t="n">
        <x:f>SUMIFS('2015'!$E$24:$E$96,'2015'!$L$24:$L$96,A96&amp;" / "&amp;B96,'2015'!$C$24:$C$96,B96)+SUMIFS('2015'!$H$24:$H$96,'2015'!$L$24:$L$96,A96&amp;" / "&amp;B96,'2015'!$F$24:$F$96,B96)+SUMIFS('2016'!$E$24:$E$96,'2016'!$L$24:$L$96,A96&amp;" / "&amp;B96,'2016'!$C$24:$C$96,B96)+SUMIFS('2016'!$H$24:$H$96,'2016'!$L$24:$L$96,A96&amp;" / "&amp;B96,'2016'!$F$24:$F$96,B96)+SUMIFS('2017'!$E$24:$E$106,'2017'!$L$24:$L$106,A96&amp;" / "&amp;B96,'2017'!$C$24:$C$106,B96)+SUMIFS('2017'!$H$24:$H$106,'2017'!$L$24:$L$106,A96&amp;" / "&amp;B96,'2017'!$F$24:$F$106,B96)+SUMIFS('2018'!$E$24:$E$106,'2018'!$L$24:$L$106,A96&amp;" / "&amp;B96,'2018'!$C$24:$C$106,B96)+SUMIFS('2018'!$H$24:$H$106,'2018'!$L$24:$L$106,A96&amp;" / "&amp;B96,'2018'!$F$24:$F$106,B96)+SUMIFS('2019'!$E$24:$E$106,'2019'!$L$24:$L$106,A96&amp;" / "&amp;B96,'2019'!$C$24:$C$106,B96)+SUMIFS('2019'!$H$24:$H$106,'2019'!$L$24:$L$106,A96&amp;" / "&amp;B96,'2019'!$F$24:$F$106,B96)+SUMIFS('2020'!$E$24:$E$106,'2020'!$L$24:$L$106,A96&amp;" / "&amp;B96,'2020'!$C$24:$C$106,B96)+SUMIFS('2020'!$H$24:$H$106,'2020'!$L$24:$L$106,A96&amp;" / "&amp;B96,'2020'!$F$24:$F$106,B96)+SUMIFS('2021'!$E$24:$E$112,'2021'!$L$24:$L$112,A96&amp;" / "&amp;B96,'2021'!$C$24:$C$112,B96)+SUMIFS('2021'!$H$24:$H$112,'2021'!$L$24:$L$112,A96&amp;" / "&amp;B96,'2021'!$F$24:$F$112,B96)+SUMIFS('2022'!$E$24:$E$112,'2022'!$L$24:$L$112,A96&amp;" / "&amp;B96,'2022'!$C$24:$C$112,B96)+SUMIFS('2022'!$H$24:$H$112,'2022'!$L$24:$L$112,A96&amp;" / "&amp;B96,'2022'!$F$24:$F$112,B96)+SUMIFS('2023'!$E$24:$E$112,'2023'!$L$24:$L$112,A96&amp;" / "&amp;B96,'2023'!$C$24:$C$112,B96)+SUMIFS('2023'!$H$24:$H$112,'2023'!$L$24:$L$112,A96&amp;" / "&amp;B96,'2023'!$F$24:$F$112,B96)+SUMIFS('2024'!$E$24:$E$112,'2024'!$L$24:$L$112,A96&amp;" / "&amp;B96,'2024'!$C$24:$C$112,B96)+SUMIFS('2024'!$H$24:$H$112,'2024'!$L$24:$L$112,A96&amp;" / "&amp;B96,'2024'!$F$24:$F$112,B96)+SUMIFS('2025'!$E$24:$E$112,'2025'!$L$24:$L$112,A96&amp;" / "&amp;B96,'2025'!$C$24:$C$112,B96)+SUMIFS('2025'!$H$24:$H$112,'2025'!$L$24:$L$112,A96&amp;" / "&amp;B96,'2025'!$F$24:$F$112,B96)</x:f>
        <x:v>1541.2499999999998</x:v>
      </x:c>
      <x:c r="I96" s="11" t="n">
        <x:f>IF(C96=0,0,(D96+0.5*F96)/C96)</x:f>
        <x:v>0.6153846153846154</x:v>
      </x:c>
      <x:c r="J96" s="2" t="n">
        <x:f>COUNTIFS('2015'!$L$24:$L$96,A96&amp;" / "&amp;B96,'2015'!$B$24:$B$96,"Regular")+COUNTIFS('2016'!$L$24:$L$96,A96&amp;" / "&amp;B96,'2016'!$B$24:$B$96,"Regular")+COUNTIFS('2017'!$L$24:$L$106,A96&amp;" / "&amp;B96,'2017'!$B$24:$B$106,"Regular")+COUNTIFS('2018'!$L$24:$L$106,A96&amp;" / "&amp;B96,'2018'!$B$24:$B$106,"Regular")+COUNTIFS('2019'!$L$24:$L$106,A96&amp;" / "&amp;B96,'2019'!$B$24:$B$106,"Regular")+COUNTIFS('2020'!$L$24:$L$106,A96&amp;" / "&amp;B96,'2020'!$B$24:$B$106,"Regular")+COUNTIFS('2021'!$L$24:$L$112,A96&amp;" / "&amp;B96,'2021'!$B$24:$B$112,"Regular")+COUNTIFS('2022'!$L$24:$L$112,A96&amp;" / "&amp;B96,'2022'!$B$24:$B$112,"Regular")+COUNTIFS('2023'!$L$24:$L$112,A96&amp;" / "&amp;B96,'2023'!$B$24:$B$112,"Regular")+COUNTIFS('2024'!$L$24:$L$112,A96&amp;" / "&amp;B96,'2024'!$B$24:$B$112,"Regular")+COUNTIFS('2025'!$L$24:$L$112,A96&amp;" / "&amp;B96,'2025'!$B$24:$B$112,"Regular")</x:f>
        <x:v>12</x:v>
      </x:c>
      <x:c r="K96" s="2" t="n">
        <x:f>COUNTIFS('2015'!$L$24:$L$96,A96&amp;" / "&amp;B96,'2015'!$B$24:$B$96,"Playoffs")+COUNTIFS('2016'!$L$24:$L$96,A96&amp;" / "&amp;B96,'2016'!$B$24:$B$96,"Playoffs")+COUNTIFS('2017'!$L$24:$L$106,A96&amp;" / "&amp;B96,'2017'!$B$24:$B$106,"Playoffs")+COUNTIFS('2018'!$L$24:$L$106,A96&amp;" / "&amp;B96,'2018'!$B$24:$B$106,"Playoffs")+COUNTIFS('2019'!$L$24:$L$106,A96&amp;" / "&amp;B96,'2019'!$B$24:$B$106,"Playoffs")+COUNTIFS('2020'!$L$24:$L$106,A96&amp;" / "&amp;B96,'2020'!$B$24:$B$106,"Playoffs")+COUNTIFS('2021'!$L$24:$L$112,A96&amp;" / "&amp;B96,'2021'!$B$24:$B$112,"Playoffs")+COUNTIFS('2022'!$L$24:$L$112,A96&amp;" / "&amp;B96,'2022'!$B$24:$B$112,"Playoffs")+COUNTIFS('2023'!$L$24:$L$112,A96&amp;" / "&amp;B96,'2023'!$B$24:$B$112,"Playoffs")+COUNTIFS('2024'!$L$24:$L$112,A96&amp;" / "&amp;B96,'2024'!$B$24:$B$112,"Playoffs")+COUNTIFS('2025'!$L$24:$L$112,A96&amp;" / "&amp;B96,'2025'!$B$24:$B$112,"Playoffs")</x:f>
        <x:v>1</x:v>
      </x:c>
      <x:c r="L96" s="2" t="n">
        <x:f>COUNTIFS('2015'!$L$24:$L$96,A96&amp;" / "&amp;B96,'2015'!$B$24:$B$96,"Unconfirmed")+COUNTIFS('2016'!$L$24:$L$96,A96&amp;" / "&amp;B96,'2016'!$B$24:$B$96,"Unconfirmed")+COUNTIFS('2017'!$L$24:$L$106,A96&amp;" / "&amp;B96,'2017'!$B$24:$B$106,"Unconfirmed")+COUNTIFS('2018'!$L$24:$L$106,A96&amp;" / "&amp;B96,'2018'!$B$24:$B$106,"Unconfirmed")+COUNTIFS('2019'!$L$24:$L$106,A96&amp;" / "&amp;B96,'2019'!$B$24:$B$106,"Unconfirmed")+COUNTIFS('2020'!$L$24:$L$106,A96&amp;" / "&amp;B96,'2020'!$B$24:$B$106,"Unconfirmed")+COUNTIFS('2021'!$L$24:$L$112,A96&amp;" / "&amp;B96,'2021'!$B$24:$B$112,"Unconfirmed")+COUNTIFS('2022'!$L$24:$L$112,A96&amp;" / "&amp;B96,'2022'!$B$24:$B$112,"Unconfirmed")+COUNTIFS('2023'!$L$24:$L$112,A96&amp;" / "&amp;B96,'2023'!$B$24:$B$112,"Unconfirmed")+COUNTIFS('2024'!$L$24:$L$112,A96&amp;" / "&amp;B96,'2024'!$B$24:$B$112,"Unconfirmed")+COUNTIFS('2025'!$L$24:$L$112,A96&amp;" / "&amp;B96,'2025'!$B$24:$B$112,"Unconfirmed")</x:f>
        <x:v>0</x:v>
      </x:c>
    </x:row>
    <x:row r="97" ht="22" customHeight="1">
      <x:c r="A97" s="2" t="str">
        <x:v>Ed</x:v>
      </x:c>
      <x:c r="B97" s="2" t="str">
        <x:v>Matt</x:v>
      </x:c>
      <x:c r="C97" s="2" t="n">
        <x:f>COUNTIFS('2015'!$L$24:$L$96,A97&amp;" / "&amp;B97)+COUNTIFS('2016'!$L$24:$L$96,A97&amp;" / "&amp;B97)+COUNTIFS('2017'!$L$24:$L$106,A97&amp;" / "&amp;B97)+COUNTIFS('2018'!$L$24:$L$106,A97&amp;" / "&amp;B97)+COUNTIFS('2019'!$L$24:$L$106,A97&amp;" / "&amp;B97)+COUNTIFS('2020'!$L$24:$L$106,A97&amp;" / "&amp;B97)+COUNTIFS('2021'!$L$24:$L$112,A97&amp;" / "&amp;B97)+COUNTIFS('2022'!$L$24:$L$112,A97&amp;" / "&amp;B97)+COUNTIFS('2023'!$L$24:$L$112,A97&amp;" / "&amp;B97)+COUNTIFS('2024'!$L$24:$L$112,A97&amp;" / "&amp;B97)+COUNTIFS('2025'!$L$24:$L$112,A97&amp;" / "&amp;B97)</x:f>
        <x:v>15</x:v>
      </x:c>
      <x:c r="D97" s="2" t="n">
        <x:f>COUNTIFS('2015'!$L$24:$L$96,A97&amp;" / "&amp;B97,'2015'!$I$24:$I$96,A97)+COUNTIFS('2016'!$L$24:$L$96,A97&amp;" / "&amp;B97,'2016'!$I$24:$I$96,A97)+COUNTIFS('2017'!$L$24:$L$106,A97&amp;" / "&amp;B97,'2017'!$I$24:$I$106,A97)+COUNTIFS('2018'!$L$24:$L$106,A97&amp;" / "&amp;B97,'2018'!$I$24:$I$106,A97)+COUNTIFS('2019'!$L$24:$L$106,A97&amp;" / "&amp;B97,'2019'!$I$24:$I$106,A97)+COUNTIFS('2020'!$L$24:$L$106,A97&amp;" / "&amp;B97,'2020'!$I$24:$I$106,A97)+COUNTIFS('2021'!$L$24:$L$112,A97&amp;" / "&amp;B97,'2021'!$I$24:$I$112,A97)+COUNTIFS('2022'!$L$24:$L$112,A97&amp;" / "&amp;B97,'2022'!$I$24:$I$112,A97)+COUNTIFS('2023'!$L$24:$L$112,A97&amp;" / "&amp;B97,'2023'!$I$24:$I$112,A97)+COUNTIFS('2024'!$L$24:$L$112,A97&amp;" / "&amp;B97,'2024'!$I$24:$I$112,A97)+COUNTIFS('2025'!$L$24:$L$112,A97&amp;" / "&amp;B97,'2025'!$I$24:$I$112,A97)</x:f>
        <x:v>8</x:v>
      </x:c>
      <x:c r="E97" s="2" t="n">
        <x:f>COUNTIFS('2015'!$L$24:$L$96,A97&amp;" / "&amp;B97,'2015'!$I$24:$I$96,B97)+COUNTIFS('2016'!$L$24:$L$96,A97&amp;" / "&amp;B97,'2016'!$I$24:$I$96,B97)+COUNTIFS('2017'!$L$24:$L$106,A97&amp;" / "&amp;B97,'2017'!$I$24:$I$106,B97)+COUNTIFS('2018'!$L$24:$L$106,A97&amp;" / "&amp;B97,'2018'!$I$24:$I$106,B97)+COUNTIFS('2019'!$L$24:$L$106,A97&amp;" / "&amp;B97,'2019'!$I$24:$I$106,B97)+COUNTIFS('2020'!$L$24:$L$106,A97&amp;" / "&amp;B97,'2020'!$I$24:$I$106,B97)+COUNTIFS('2021'!$L$24:$L$112,A97&amp;" / "&amp;B97,'2021'!$I$24:$I$112,B97)+COUNTIFS('2022'!$L$24:$L$112,A97&amp;" / "&amp;B97,'2022'!$I$24:$I$112,B97)+COUNTIFS('2023'!$L$24:$L$112,A97&amp;" / "&amp;B97,'2023'!$I$24:$I$112,B97)+COUNTIFS('2024'!$L$24:$L$112,A97&amp;" / "&amp;B97,'2024'!$I$24:$I$112,B97)+COUNTIFS('2025'!$L$24:$L$112,A97&amp;" / "&amp;B97,'2025'!$I$24:$I$112,B97)</x:f>
        <x:v>7</x:v>
      </x:c>
      <x:c r="F97" s="2" t="n">
        <x:f>COUNTIFS('2015'!$L$24:$L$96,A97&amp;" / "&amp;B97,'2015'!$K$24:$K$96,1)+COUNTIFS('2016'!$L$24:$L$96,A97&amp;" / "&amp;B97,'2016'!$K$24:$K$96,1)+COUNTIFS('2017'!$L$24:$L$106,A97&amp;" / "&amp;B97,'2017'!$K$24:$K$106,1)+COUNTIFS('2018'!$L$24:$L$106,A97&amp;" / "&amp;B97,'2018'!$K$24:$K$106,1)+COUNTIFS('2019'!$L$24:$L$106,A97&amp;" / "&amp;B97,'2019'!$K$24:$K$106,1)+COUNTIFS('2020'!$L$24:$L$106,A97&amp;" / "&amp;B97,'2020'!$K$24:$K$106,1)+COUNTIFS('2021'!$L$24:$L$112,A97&amp;" / "&amp;B97,'2021'!$K$24:$K$112,1)+COUNTIFS('2022'!$L$24:$L$112,A97&amp;" / "&amp;B97,'2022'!$K$24:$K$112,1)+COUNTIFS('2023'!$L$24:$L$112,A97&amp;" / "&amp;B97,'2023'!$K$24:$K$112,1)+COUNTIFS('2024'!$L$24:$L$112,A97&amp;" / "&amp;B97,'2024'!$K$24:$K$112,1)+COUNTIFS('2025'!$L$24:$L$112,A97&amp;" / "&amp;B97,'2025'!$K$24:$K$112,1)</x:f>
        <x:v>0</x:v>
      </x:c>
      <x:c r="G97" s="25" t="n">
        <x:f>SUMIFS('2015'!$E$24:$E$96,'2015'!$L$24:$L$96,A97&amp;" / "&amp;B97,'2015'!$C$24:$C$96,A97)+SUMIFS('2015'!$H$24:$H$96,'2015'!$L$24:$L$96,A97&amp;" / "&amp;B97,'2015'!$F$24:$F$96,A97)+SUMIFS('2016'!$E$24:$E$96,'2016'!$L$24:$L$96,A97&amp;" / "&amp;B97,'2016'!$C$24:$C$96,A97)+SUMIFS('2016'!$H$24:$H$96,'2016'!$L$24:$L$96,A97&amp;" / "&amp;B97,'2016'!$F$24:$F$96,A97)+SUMIFS('2017'!$E$24:$E$106,'2017'!$L$24:$L$106,A97&amp;" / "&amp;B97,'2017'!$C$24:$C$106,A97)+SUMIFS('2017'!$H$24:$H$106,'2017'!$L$24:$L$106,A97&amp;" / "&amp;B97,'2017'!$F$24:$F$106,A97)+SUMIFS('2018'!$E$24:$E$106,'2018'!$L$24:$L$106,A97&amp;" / "&amp;B97,'2018'!$C$24:$C$106,A97)+SUMIFS('2018'!$H$24:$H$106,'2018'!$L$24:$L$106,A97&amp;" / "&amp;B97,'2018'!$F$24:$F$106,A97)+SUMIFS('2019'!$E$24:$E$106,'2019'!$L$24:$L$106,A97&amp;" / "&amp;B97,'2019'!$C$24:$C$106,A97)+SUMIFS('2019'!$H$24:$H$106,'2019'!$L$24:$L$106,A97&amp;" / "&amp;B97,'2019'!$F$24:$F$106,A97)+SUMIFS('2020'!$E$24:$E$106,'2020'!$L$24:$L$106,A97&amp;" / "&amp;B97,'2020'!$C$24:$C$106,A97)+SUMIFS('2020'!$H$24:$H$106,'2020'!$L$24:$L$106,A97&amp;" / "&amp;B97,'2020'!$F$24:$F$106,A97)+SUMIFS('2021'!$E$24:$E$112,'2021'!$L$24:$L$112,A97&amp;" / "&amp;B97,'2021'!$C$24:$C$112,A97)+SUMIFS('2021'!$H$24:$H$112,'2021'!$L$24:$L$112,A97&amp;" / "&amp;B97,'2021'!$F$24:$F$112,A97)+SUMIFS('2022'!$E$24:$E$112,'2022'!$L$24:$L$112,A97&amp;" / "&amp;B97,'2022'!$C$24:$C$112,A97)+SUMIFS('2022'!$H$24:$H$112,'2022'!$L$24:$L$112,A97&amp;" / "&amp;B97,'2022'!$F$24:$F$112,A97)+SUMIFS('2023'!$E$24:$E$112,'2023'!$L$24:$L$112,A97&amp;" / "&amp;B97,'2023'!$C$24:$C$112,A97)+SUMIFS('2023'!$H$24:$H$112,'2023'!$L$24:$L$112,A97&amp;" / "&amp;B97,'2023'!$F$24:$F$112,A97)+SUMIFS('2024'!$E$24:$E$112,'2024'!$L$24:$L$112,A97&amp;" / "&amp;B97,'2024'!$C$24:$C$112,A97)+SUMIFS('2024'!$H$24:$H$112,'2024'!$L$24:$L$112,A97&amp;" / "&amp;B97,'2024'!$F$24:$F$112,A97)+SUMIFS('2025'!$E$24:$E$112,'2025'!$L$24:$L$112,A97&amp;" / "&amp;B97,'2025'!$C$24:$C$112,A97)+SUMIFS('2025'!$H$24:$H$112,'2025'!$L$24:$L$112,A97&amp;" / "&amp;B97,'2025'!$F$24:$F$112,A97)</x:f>
        <x:v>1648.9499999999996</x:v>
      </x:c>
      <x:c r="H97" s="25" t="n">
        <x:f>SUMIFS('2015'!$E$24:$E$96,'2015'!$L$24:$L$96,A97&amp;" / "&amp;B97,'2015'!$C$24:$C$96,B97)+SUMIFS('2015'!$H$24:$H$96,'2015'!$L$24:$L$96,A97&amp;" / "&amp;B97,'2015'!$F$24:$F$96,B97)+SUMIFS('2016'!$E$24:$E$96,'2016'!$L$24:$L$96,A97&amp;" / "&amp;B97,'2016'!$C$24:$C$96,B97)+SUMIFS('2016'!$H$24:$H$96,'2016'!$L$24:$L$96,A97&amp;" / "&amp;B97,'2016'!$F$24:$F$96,B97)+SUMIFS('2017'!$E$24:$E$106,'2017'!$L$24:$L$106,A97&amp;" / "&amp;B97,'2017'!$C$24:$C$106,B97)+SUMIFS('2017'!$H$24:$H$106,'2017'!$L$24:$L$106,A97&amp;" / "&amp;B97,'2017'!$F$24:$F$106,B97)+SUMIFS('2018'!$E$24:$E$106,'2018'!$L$24:$L$106,A97&amp;" / "&amp;B97,'2018'!$C$24:$C$106,B97)+SUMIFS('2018'!$H$24:$H$106,'2018'!$L$24:$L$106,A97&amp;" / "&amp;B97,'2018'!$F$24:$F$106,B97)+SUMIFS('2019'!$E$24:$E$106,'2019'!$L$24:$L$106,A97&amp;" / "&amp;B97,'2019'!$C$24:$C$106,B97)+SUMIFS('2019'!$H$24:$H$106,'2019'!$L$24:$L$106,A97&amp;" / "&amp;B97,'2019'!$F$24:$F$106,B97)+SUMIFS('2020'!$E$24:$E$106,'2020'!$L$24:$L$106,A97&amp;" / "&amp;B97,'2020'!$C$24:$C$106,B97)+SUMIFS('2020'!$H$24:$H$106,'2020'!$L$24:$L$106,A97&amp;" / "&amp;B97,'2020'!$F$24:$F$106,B97)+SUMIFS('2021'!$E$24:$E$112,'2021'!$L$24:$L$112,A97&amp;" / "&amp;B97,'2021'!$C$24:$C$112,B97)+SUMIFS('2021'!$H$24:$H$112,'2021'!$L$24:$L$112,A97&amp;" / "&amp;B97,'2021'!$F$24:$F$112,B97)+SUMIFS('2022'!$E$24:$E$112,'2022'!$L$24:$L$112,A97&amp;" / "&amp;B97,'2022'!$C$24:$C$112,B97)+SUMIFS('2022'!$H$24:$H$112,'2022'!$L$24:$L$112,A97&amp;" / "&amp;B97,'2022'!$F$24:$F$112,B97)+SUMIFS('2023'!$E$24:$E$112,'2023'!$L$24:$L$112,A97&amp;" / "&amp;B97,'2023'!$C$24:$C$112,B97)+SUMIFS('2023'!$H$24:$H$112,'2023'!$L$24:$L$112,A97&amp;" / "&amp;B97,'2023'!$F$24:$F$112,B97)+SUMIFS('2024'!$E$24:$E$112,'2024'!$L$24:$L$112,A97&amp;" / "&amp;B97,'2024'!$C$24:$C$112,B97)+SUMIFS('2024'!$H$24:$H$112,'2024'!$L$24:$L$112,A97&amp;" / "&amp;B97,'2024'!$F$24:$F$112,B97)+SUMIFS('2025'!$E$24:$E$112,'2025'!$L$24:$L$112,A97&amp;" / "&amp;B97,'2025'!$C$24:$C$112,B97)+SUMIFS('2025'!$H$24:$H$112,'2025'!$L$24:$L$112,A97&amp;" / "&amp;B97,'2025'!$F$24:$F$112,B97)</x:f>
        <x:v>1537.65</x:v>
      </x:c>
      <x:c r="I97" s="11" t="n">
        <x:f>IF(C97=0,0,(D97+0.5*F97)/C97)</x:f>
        <x:v>0.5333333333333333</x:v>
      </x:c>
      <x:c r="J97" s="2" t="n">
        <x:f>COUNTIFS('2015'!$L$24:$L$96,A97&amp;" / "&amp;B97,'2015'!$B$24:$B$96,"Regular")+COUNTIFS('2016'!$L$24:$L$96,A97&amp;" / "&amp;B97,'2016'!$B$24:$B$96,"Regular")+COUNTIFS('2017'!$L$24:$L$106,A97&amp;" / "&amp;B97,'2017'!$B$24:$B$106,"Regular")+COUNTIFS('2018'!$L$24:$L$106,A97&amp;" / "&amp;B97,'2018'!$B$24:$B$106,"Regular")+COUNTIFS('2019'!$L$24:$L$106,A97&amp;" / "&amp;B97,'2019'!$B$24:$B$106,"Regular")+COUNTIFS('2020'!$L$24:$L$106,A97&amp;" / "&amp;B97,'2020'!$B$24:$B$106,"Regular")+COUNTIFS('2021'!$L$24:$L$112,A97&amp;" / "&amp;B97,'2021'!$B$24:$B$112,"Regular")+COUNTIFS('2022'!$L$24:$L$112,A97&amp;" / "&amp;B97,'2022'!$B$24:$B$112,"Regular")+COUNTIFS('2023'!$L$24:$L$112,A97&amp;" / "&amp;B97,'2023'!$B$24:$B$112,"Regular")+COUNTIFS('2024'!$L$24:$L$112,A97&amp;" / "&amp;B97,'2024'!$B$24:$B$112,"Regular")+COUNTIFS('2025'!$L$24:$L$112,A97&amp;" / "&amp;B97,'2025'!$B$24:$B$112,"Regular")</x:f>
        <x:v>14</x:v>
      </x:c>
      <x:c r="K97" s="2" t="n">
        <x:f>COUNTIFS('2015'!$L$24:$L$96,A97&amp;" / "&amp;B97,'2015'!$B$24:$B$96,"Playoffs")+COUNTIFS('2016'!$L$24:$L$96,A97&amp;" / "&amp;B97,'2016'!$B$24:$B$96,"Playoffs")+COUNTIFS('2017'!$L$24:$L$106,A97&amp;" / "&amp;B97,'2017'!$B$24:$B$106,"Playoffs")+COUNTIFS('2018'!$L$24:$L$106,A97&amp;" / "&amp;B97,'2018'!$B$24:$B$106,"Playoffs")+COUNTIFS('2019'!$L$24:$L$106,A97&amp;" / "&amp;B97,'2019'!$B$24:$B$106,"Playoffs")+COUNTIFS('2020'!$L$24:$L$106,A97&amp;" / "&amp;B97,'2020'!$B$24:$B$106,"Playoffs")+COUNTIFS('2021'!$L$24:$L$112,A97&amp;" / "&amp;B97,'2021'!$B$24:$B$112,"Playoffs")+COUNTIFS('2022'!$L$24:$L$112,A97&amp;" / "&amp;B97,'2022'!$B$24:$B$112,"Playoffs")+COUNTIFS('2023'!$L$24:$L$112,A97&amp;" / "&amp;B97,'2023'!$B$24:$B$112,"Playoffs")+COUNTIFS('2024'!$L$24:$L$112,A97&amp;" / "&amp;B97,'2024'!$B$24:$B$112,"Playoffs")+COUNTIFS('2025'!$L$24:$L$112,A97&amp;" / "&amp;B97,'2025'!$B$24:$B$112,"Playoffs")</x:f>
        <x:v>1</x:v>
      </x:c>
      <x:c r="L97" s="2" t="n">
        <x:f>COUNTIFS('2015'!$L$24:$L$96,A97&amp;" / "&amp;B97,'2015'!$B$24:$B$96,"Unconfirmed")+COUNTIFS('2016'!$L$24:$L$96,A97&amp;" / "&amp;B97,'2016'!$B$24:$B$96,"Unconfirmed")+COUNTIFS('2017'!$L$24:$L$106,A97&amp;" / "&amp;B97,'2017'!$B$24:$B$106,"Unconfirmed")+COUNTIFS('2018'!$L$24:$L$106,A97&amp;" / "&amp;B97,'2018'!$B$24:$B$106,"Unconfirmed")+COUNTIFS('2019'!$L$24:$L$106,A97&amp;" / "&amp;B97,'2019'!$B$24:$B$106,"Unconfirmed")+COUNTIFS('2020'!$L$24:$L$106,A97&amp;" / "&amp;B97,'2020'!$B$24:$B$106,"Unconfirmed")+COUNTIFS('2021'!$L$24:$L$112,A97&amp;" / "&amp;B97,'2021'!$B$24:$B$112,"Unconfirmed")+COUNTIFS('2022'!$L$24:$L$112,A97&amp;" / "&amp;B97,'2022'!$B$24:$B$112,"Unconfirmed")+COUNTIFS('2023'!$L$24:$L$112,A97&amp;" / "&amp;B97,'2023'!$B$24:$B$112,"Unconfirmed")+COUNTIFS('2024'!$L$24:$L$112,A97&amp;" / "&amp;B97,'2024'!$B$24:$B$112,"Unconfirmed")+COUNTIFS('2025'!$L$24:$L$112,A97&amp;" / "&amp;B97,'2025'!$B$24:$B$112,"Unconfirmed")</x:f>
        <x:v>0</x:v>
      </x:c>
    </x:row>
    <x:row r="98" ht="22" customHeight="1">
      <x:c r="A98" s="2" t="str">
        <x:v>Ed</x:v>
      </x:c>
      <x:c r="B98" s="2" t="str">
        <x:v>Michael</x:v>
      </x:c>
      <x:c r="C98" s="2" t="n">
        <x:f>COUNTIFS('2015'!$L$24:$L$96,A98&amp;" / "&amp;B98)+COUNTIFS('2016'!$L$24:$L$96,A98&amp;" / "&amp;B98)+COUNTIFS('2017'!$L$24:$L$106,A98&amp;" / "&amp;B98)+COUNTIFS('2018'!$L$24:$L$106,A98&amp;" / "&amp;B98)+COUNTIFS('2019'!$L$24:$L$106,A98&amp;" / "&amp;B98)+COUNTIFS('2020'!$L$24:$L$106,A98&amp;" / "&amp;B98)+COUNTIFS('2021'!$L$24:$L$112,A98&amp;" / "&amp;B98)+COUNTIFS('2022'!$L$24:$L$112,A98&amp;" / "&amp;B98)+COUNTIFS('2023'!$L$24:$L$112,A98&amp;" / "&amp;B98)+COUNTIFS('2024'!$L$24:$L$112,A98&amp;" / "&amp;B98)+COUNTIFS('2025'!$L$24:$L$112,A98&amp;" / "&amp;B98)</x:f>
        <x:v>5</x:v>
      </x:c>
      <x:c r="D98" s="2" t="n">
        <x:f>COUNTIFS('2015'!$L$24:$L$96,A98&amp;" / "&amp;B98,'2015'!$I$24:$I$96,A98)+COUNTIFS('2016'!$L$24:$L$96,A98&amp;" / "&amp;B98,'2016'!$I$24:$I$96,A98)+COUNTIFS('2017'!$L$24:$L$106,A98&amp;" / "&amp;B98,'2017'!$I$24:$I$106,A98)+COUNTIFS('2018'!$L$24:$L$106,A98&amp;" / "&amp;B98,'2018'!$I$24:$I$106,A98)+COUNTIFS('2019'!$L$24:$L$106,A98&amp;" / "&amp;B98,'2019'!$I$24:$I$106,A98)+COUNTIFS('2020'!$L$24:$L$106,A98&amp;" / "&amp;B98,'2020'!$I$24:$I$106,A98)+COUNTIFS('2021'!$L$24:$L$112,A98&amp;" / "&amp;B98,'2021'!$I$24:$I$112,A98)+COUNTIFS('2022'!$L$24:$L$112,A98&amp;" / "&amp;B98,'2022'!$I$24:$I$112,A98)+COUNTIFS('2023'!$L$24:$L$112,A98&amp;" / "&amp;B98,'2023'!$I$24:$I$112,A98)+COUNTIFS('2024'!$L$24:$L$112,A98&amp;" / "&amp;B98,'2024'!$I$24:$I$112,A98)+COUNTIFS('2025'!$L$24:$L$112,A98&amp;" / "&amp;B98,'2025'!$I$24:$I$112,A98)</x:f>
        <x:v>1</x:v>
      </x:c>
      <x:c r="E98" s="2" t="n">
        <x:f>COUNTIFS('2015'!$L$24:$L$96,A98&amp;" / "&amp;B98,'2015'!$I$24:$I$96,B98)+COUNTIFS('2016'!$L$24:$L$96,A98&amp;" / "&amp;B98,'2016'!$I$24:$I$96,B98)+COUNTIFS('2017'!$L$24:$L$106,A98&amp;" / "&amp;B98,'2017'!$I$24:$I$106,B98)+COUNTIFS('2018'!$L$24:$L$106,A98&amp;" / "&amp;B98,'2018'!$I$24:$I$106,B98)+COUNTIFS('2019'!$L$24:$L$106,A98&amp;" / "&amp;B98,'2019'!$I$24:$I$106,B98)+COUNTIFS('2020'!$L$24:$L$106,A98&amp;" / "&amp;B98,'2020'!$I$24:$I$106,B98)+COUNTIFS('2021'!$L$24:$L$112,A98&amp;" / "&amp;B98,'2021'!$I$24:$I$112,B98)+COUNTIFS('2022'!$L$24:$L$112,A98&amp;" / "&amp;B98,'2022'!$I$24:$I$112,B98)+COUNTIFS('2023'!$L$24:$L$112,A98&amp;" / "&amp;B98,'2023'!$I$24:$I$112,B98)+COUNTIFS('2024'!$L$24:$L$112,A98&amp;" / "&amp;B98,'2024'!$I$24:$I$112,B98)+COUNTIFS('2025'!$L$24:$L$112,A98&amp;" / "&amp;B98,'2025'!$I$24:$I$112,B98)</x:f>
        <x:v>4</x:v>
      </x:c>
      <x:c r="F98" s="2" t="n">
        <x:f>COUNTIFS('2015'!$L$24:$L$96,A98&amp;" / "&amp;B98,'2015'!$K$24:$K$96,1)+COUNTIFS('2016'!$L$24:$L$96,A98&amp;" / "&amp;B98,'2016'!$K$24:$K$96,1)+COUNTIFS('2017'!$L$24:$L$106,A98&amp;" / "&amp;B98,'2017'!$K$24:$K$106,1)+COUNTIFS('2018'!$L$24:$L$106,A98&amp;" / "&amp;B98,'2018'!$K$24:$K$106,1)+COUNTIFS('2019'!$L$24:$L$106,A98&amp;" / "&amp;B98,'2019'!$K$24:$K$106,1)+COUNTIFS('2020'!$L$24:$L$106,A98&amp;" / "&amp;B98,'2020'!$K$24:$K$106,1)+COUNTIFS('2021'!$L$24:$L$112,A98&amp;" / "&amp;B98,'2021'!$K$24:$K$112,1)+COUNTIFS('2022'!$L$24:$L$112,A98&amp;" / "&amp;B98,'2022'!$K$24:$K$112,1)+COUNTIFS('2023'!$L$24:$L$112,A98&amp;" / "&amp;B98,'2023'!$K$24:$K$112,1)+COUNTIFS('2024'!$L$24:$L$112,A98&amp;" / "&amp;B98,'2024'!$K$24:$K$112,1)+COUNTIFS('2025'!$L$24:$L$112,A98&amp;" / "&amp;B98,'2025'!$K$24:$K$112,1)</x:f>
        <x:v>0</x:v>
      </x:c>
      <x:c r="G98" s="25" t="n">
        <x:f>SUMIFS('2015'!$E$24:$E$96,'2015'!$L$24:$L$96,A98&amp;" / "&amp;B98,'2015'!$C$24:$C$96,A98)+SUMIFS('2015'!$H$24:$H$96,'2015'!$L$24:$L$96,A98&amp;" / "&amp;B98,'2015'!$F$24:$F$96,A98)+SUMIFS('2016'!$E$24:$E$96,'2016'!$L$24:$L$96,A98&amp;" / "&amp;B98,'2016'!$C$24:$C$96,A98)+SUMIFS('2016'!$H$24:$H$96,'2016'!$L$24:$L$96,A98&amp;" / "&amp;B98,'2016'!$F$24:$F$96,A98)+SUMIFS('2017'!$E$24:$E$106,'2017'!$L$24:$L$106,A98&amp;" / "&amp;B98,'2017'!$C$24:$C$106,A98)+SUMIFS('2017'!$H$24:$H$106,'2017'!$L$24:$L$106,A98&amp;" / "&amp;B98,'2017'!$F$24:$F$106,A98)+SUMIFS('2018'!$E$24:$E$106,'2018'!$L$24:$L$106,A98&amp;" / "&amp;B98,'2018'!$C$24:$C$106,A98)+SUMIFS('2018'!$H$24:$H$106,'2018'!$L$24:$L$106,A98&amp;" / "&amp;B98,'2018'!$F$24:$F$106,A98)+SUMIFS('2019'!$E$24:$E$106,'2019'!$L$24:$L$106,A98&amp;" / "&amp;B98,'2019'!$C$24:$C$106,A98)+SUMIFS('2019'!$H$24:$H$106,'2019'!$L$24:$L$106,A98&amp;" / "&amp;B98,'2019'!$F$24:$F$106,A98)+SUMIFS('2020'!$E$24:$E$106,'2020'!$L$24:$L$106,A98&amp;" / "&amp;B98,'2020'!$C$24:$C$106,A98)+SUMIFS('2020'!$H$24:$H$106,'2020'!$L$24:$L$106,A98&amp;" / "&amp;B98,'2020'!$F$24:$F$106,A98)+SUMIFS('2021'!$E$24:$E$112,'2021'!$L$24:$L$112,A98&amp;" / "&amp;B98,'2021'!$C$24:$C$112,A98)+SUMIFS('2021'!$H$24:$H$112,'2021'!$L$24:$L$112,A98&amp;" / "&amp;B98,'2021'!$F$24:$F$112,A98)+SUMIFS('2022'!$E$24:$E$112,'2022'!$L$24:$L$112,A98&amp;" / "&amp;B98,'2022'!$C$24:$C$112,A98)+SUMIFS('2022'!$H$24:$H$112,'2022'!$L$24:$L$112,A98&amp;" / "&amp;B98,'2022'!$F$24:$F$112,A98)+SUMIFS('2023'!$E$24:$E$112,'2023'!$L$24:$L$112,A98&amp;" / "&amp;B98,'2023'!$C$24:$C$112,A98)+SUMIFS('2023'!$H$24:$H$112,'2023'!$L$24:$L$112,A98&amp;" / "&amp;B98,'2023'!$F$24:$F$112,A98)+SUMIFS('2024'!$E$24:$E$112,'2024'!$L$24:$L$112,A98&amp;" / "&amp;B98,'2024'!$C$24:$C$112,A98)+SUMIFS('2024'!$H$24:$H$112,'2024'!$L$24:$L$112,A98&amp;" / "&amp;B98,'2024'!$F$24:$F$112,A98)+SUMIFS('2025'!$E$24:$E$112,'2025'!$L$24:$L$112,A98&amp;" / "&amp;B98,'2025'!$C$24:$C$112,A98)+SUMIFS('2025'!$H$24:$H$112,'2025'!$L$24:$L$112,A98&amp;" / "&amp;B98,'2025'!$F$24:$F$112,A98)</x:f>
        <x:v>625.05</x:v>
      </x:c>
      <x:c r="H98" s="25" t="n">
        <x:f>SUMIFS('2015'!$E$24:$E$96,'2015'!$L$24:$L$96,A98&amp;" / "&amp;B98,'2015'!$C$24:$C$96,B98)+SUMIFS('2015'!$H$24:$H$96,'2015'!$L$24:$L$96,A98&amp;" / "&amp;B98,'2015'!$F$24:$F$96,B98)+SUMIFS('2016'!$E$24:$E$96,'2016'!$L$24:$L$96,A98&amp;" / "&amp;B98,'2016'!$C$24:$C$96,B98)+SUMIFS('2016'!$H$24:$H$96,'2016'!$L$24:$L$96,A98&amp;" / "&amp;B98,'2016'!$F$24:$F$96,B98)+SUMIFS('2017'!$E$24:$E$106,'2017'!$L$24:$L$106,A98&amp;" / "&amp;B98,'2017'!$C$24:$C$106,B98)+SUMIFS('2017'!$H$24:$H$106,'2017'!$L$24:$L$106,A98&amp;" / "&amp;B98,'2017'!$F$24:$F$106,B98)+SUMIFS('2018'!$E$24:$E$106,'2018'!$L$24:$L$106,A98&amp;" / "&amp;B98,'2018'!$C$24:$C$106,B98)+SUMIFS('2018'!$H$24:$H$106,'2018'!$L$24:$L$106,A98&amp;" / "&amp;B98,'2018'!$F$24:$F$106,B98)+SUMIFS('2019'!$E$24:$E$106,'2019'!$L$24:$L$106,A98&amp;" / "&amp;B98,'2019'!$C$24:$C$106,B98)+SUMIFS('2019'!$H$24:$H$106,'2019'!$L$24:$L$106,A98&amp;" / "&amp;B98,'2019'!$F$24:$F$106,B98)+SUMIFS('2020'!$E$24:$E$106,'2020'!$L$24:$L$106,A98&amp;" / "&amp;B98,'2020'!$C$24:$C$106,B98)+SUMIFS('2020'!$H$24:$H$106,'2020'!$L$24:$L$106,A98&amp;" / "&amp;B98,'2020'!$F$24:$F$106,B98)+SUMIFS('2021'!$E$24:$E$112,'2021'!$L$24:$L$112,A98&amp;" / "&amp;B98,'2021'!$C$24:$C$112,B98)+SUMIFS('2021'!$H$24:$H$112,'2021'!$L$24:$L$112,A98&amp;" / "&amp;B98,'2021'!$F$24:$F$112,B98)+SUMIFS('2022'!$E$24:$E$112,'2022'!$L$24:$L$112,A98&amp;" / "&amp;B98,'2022'!$C$24:$C$112,B98)+SUMIFS('2022'!$H$24:$H$112,'2022'!$L$24:$L$112,A98&amp;" / "&amp;B98,'2022'!$F$24:$F$112,B98)+SUMIFS('2023'!$E$24:$E$112,'2023'!$L$24:$L$112,A98&amp;" / "&amp;B98,'2023'!$C$24:$C$112,B98)+SUMIFS('2023'!$H$24:$H$112,'2023'!$L$24:$L$112,A98&amp;" / "&amp;B98,'2023'!$F$24:$F$112,B98)+SUMIFS('2024'!$E$24:$E$112,'2024'!$L$24:$L$112,A98&amp;" / "&amp;B98,'2024'!$C$24:$C$112,B98)+SUMIFS('2024'!$H$24:$H$112,'2024'!$L$24:$L$112,A98&amp;" / "&amp;B98,'2024'!$F$24:$F$112,B98)+SUMIFS('2025'!$E$24:$E$112,'2025'!$L$24:$L$112,A98&amp;" / "&amp;B98,'2025'!$C$24:$C$112,B98)+SUMIFS('2025'!$H$24:$H$112,'2025'!$L$24:$L$112,A98&amp;" / "&amp;B98,'2025'!$F$24:$F$112,B98)</x:f>
        <x:v>687.45</x:v>
      </x:c>
      <x:c r="I98" s="11" t="n">
        <x:f>IF(C98=0,0,(D98+0.5*F98)/C98)</x:f>
        <x:v>0.2</x:v>
      </x:c>
      <x:c r="J98" s="2" t="n">
        <x:f>COUNTIFS('2015'!$L$24:$L$96,A98&amp;" / "&amp;B98,'2015'!$B$24:$B$96,"Regular")+COUNTIFS('2016'!$L$24:$L$96,A98&amp;" / "&amp;B98,'2016'!$B$24:$B$96,"Regular")+COUNTIFS('2017'!$L$24:$L$106,A98&amp;" / "&amp;B98,'2017'!$B$24:$B$106,"Regular")+COUNTIFS('2018'!$L$24:$L$106,A98&amp;" / "&amp;B98,'2018'!$B$24:$B$106,"Regular")+COUNTIFS('2019'!$L$24:$L$106,A98&amp;" / "&amp;B98,'2019'!$B$24:$B$106,"Regular")+COUNTIFS('2020'!$L$24:$L$106,A98&amp;" / "&amp;B98,'2020'!$B$24:$B$106,"Regular")+COUNTIFS('2021'!$L$24:$L$112,A98&amp;" / "&amp;B98,'2021'!$B$24:$B$112,"Regular")+COUNTIFS('2022'!$L$24:$L$112,A98&amp;" / "&amp;B98,'2022'!$B$24:$B$112,"Regular")+COUNTIFS('2023'!$L$24:$L$112,A98&amp;" / "&amp;B98,'2023'!$B$24:$B$112,"Regular")+COUNTIFS('2024'!$L$24:$L$112,A98&amp;" / "&amp;B98,'2024'!$B$24:$B$112,"Regular")+COUNTIFS('2025'!$L$24:$L$112,A98&amp;" / "&amp;B98,'2025'!$B$24:$B$112,"Regular")</x:f>
        <x:v>5</x:v>
      </x:c>
      <x:c r="K98" s="2" t="n">
        <x:f>COUNTIFS('2015'!$L$24:$L$96,A98&amp;" / "&amp;B98,'2015'!$B$24:$B$96,"Playoffs")+COUNTIFS('2016'!$L$24:$L$96,A98&amp;" / "&amp;B98,'2016'!$B$24:$B$96,"Playoffs")+COUNTIFS('2017'!$L$24:$L$106,A98&amp;" / "&amp;B98,'2017'!$B$24:$B$106,"Playoffs")+COUNTIFS('2018'!$L$24:$L$106,A98&amp;" / "&amp;B98,'2018'!$B$24:$B$106,"Playoffs")+COUNTIFS('2019'!$L$24:$L$106,A98&amp;" / "&amp;B98,'2019'!$B$24:$B$106,"Playoffs")+COUNTIFS('2020'!$L$24:$L$106,A98&amp;" / "&amp;B98,'2020'!$B$24:$B$106,"Playoffs")+COUNTIFS('2021'!$L$24:$L$112,A98&amp;" / "&amp;B98,'2021'!$B$24:$B$112,"Playoffs")+COUNTIFS('2022'!$L$24:$L$112,A98&amp;" / "&amp;B98,'2022'!$B$24:$B$112,"Playoffs")+COUNTIFS('2023'!$L$24:$L$112,A98&amp;" / "&amp;B98,'2023'!$B$24:$B$112,"Playoffs")+COUNTIFS('2024'!$L$24:$L$112,A98&amp;" / "&amp;B98,'2024'!$B$24:$B$112,"Playoffs")+COUNTIFS('2025'!$L$24:$L$112,A98&amp;" / "&amp;B98,'2025'!$B$24:$B$112,"Playoffs")</x:f>
        <x:v>0</x:v>
      </x:c>
      <x:c r="L98" s="2" t="n">
        <x:f>COUNTIFS('2015'!$L$24:$L$96,A98&amp;" / "&amp;B98,'2015'!$B$24:$B$96,"Unconfirmed")+COUNTIFS('2016'!$L$24:$L$96,A98&amp;" / "&amp;B98,'2016'!$B$24:$B$96,"Unconfirmed")+COUNTIFS('2017'!$L$24:$L$106,A98&amp;" / "&amp;B98,'2017'!$B$24:$B$106,"Unconfirmed")+COUNTIFS('2018'!$L$24:$L$106,A98&amp;" / "&amp;B98,'2018'!$B$24:$B$106,"Unconfirmed")+COUNTIFS('2019'!$L$24:$L$106,A98&amp;" / "&amp;B98,'2019'!$B$24:$B$106,"Unconfirmed")+COUNTIFS('2020'!$L$24:$L$106,A98&amp;" / "&amp;B98,'2020'!$B$24:$B$106,"Unconfirmed")+COUNTIFS('2021'!$L$24:$L$112,A98&amp;" / "&amp;B98,'2021'!$B$24:$B$112,"Unconfirmed")+COUNTIFS('2022'!$L$24:$L$112,A98&amp;" / "&amp;B98,'2022'!$B$24:$B$112,"Unconfirmed")+COUNTIFS('2023'!$L$24:$L$112,A98&amp;" / "&amp;B98,'2023'!$B$24:$B$112,"Unconfirmed")+COUNTIFS('2024'!$L$24:$L$112,A98&amp;" / "&amp;B98,'2024'!$B$24:$B$112,"Unconfirmed")+COUNTIFS('2025'!$L$24:$L$112,A98&amp;" / "&amp;B98,'2025'!$B$24:$B$112,"Unconfirmed")</x:f>
        <x:v>0</x:v>
      </x:c>
    </x:row>
    <x:row r="99" ht="22" customHeight="1">
      <x:c r="A99" s="2" t="str">
        <x:v>Ed</x:v>
      </x:c>
      <x:c r="B99" s="2" t="str">
        <x:v>Mike</x:v>
      </x:c>
      <x:c r="C99" s="2" t="n">
        <x:f>COUNTIFS('2015'!$L$24:$L$96,A99&amp;" / "&amp;B99)+COUNTIFS('2016'!$L$24:$L$96,A99&amp;" / "&amp;B99)+COUNTIFS('2017'!$L$24:$L$106,A99&amp;" / "&amp;B99)+COUNTIFS('2018'!$L$24:$L$106,A99&amp;" / "&amp;B99)+COUNTIFS('2019'!$L$24:$L$106,A99&amp;" / "&amp;B99)+COUNTIFS('2020'!$L$24:$L$106,A99&amp;" / "&amp;B99)+COUNTIFS('2021'!$L$24:$L$112,A99&amp;" / "&amp;B99)+COUNTIFS('2022'!$L$24:$L$112,A99&amp;" / "&amp;B99)+COUNTIFS('2023'!$L$24:$L$112,A99&amp;" / "&amp;B99)+COUNTIFS('2024'!$L$24:$L$112,A99&amp;" / "&amp;B99)+COUNTIFS('2025'!$L$24:$L$112,A99&amp;" / "&amp;B99)</x:f>
        <x:v>13</x:v>
      </x:c>
      <x:c r="D99" s="2" t="n">
        <x:f>COUNTIFS('2015'!$L$24:$L$96,A99&amp;" / "&amp;B99,'2015'!$I$24:$I$96,A99)+COUNTIFS('2016'!$L$24:$L$96,A99&amp;" / "&amp;B99,'2016'!$I$24:$I$96,A99)+COUNTIFS('2017'!$L$24:$L$106,A99&amp;" / "&amp;B99,'2017'!$I$24:$I$106,A99)+COUNTIFS('2018'!$L$24:$L$106,A99&amp;" / "&amp;B99,'2018'!$I$24:$I$106,A99)+COUNTIFS('2019'!$L$24:$L$106,A99&amp;" / "&amp;B99,'2019'!$I$24:$I$106,A99)+COUNTIFS('2020'!$L$24:$L$106,A99&amp;" / "&amp;B99,'2020'!$I$24:$I$106,A99)+COUNTIFS('2021'!$L$24:$L$112,A99&amp;" / "&amp;B99,'2021'!$I$24:$I$112,A99)+COUNTIFS('2022'!$L$24:$L$112,A99&amp;" / "&amp;B99,'2022'!$I$24:$I$112,A99)+COUNTIFS('2023'!$L$24:$L$112,A99&amp;" / "&amp;B99,'2023'!$I$24:$I$112,A99)+COUNTIFS('2024'!$L$24:$L$112,A99&amp;" / "&amp;B99,'2024'!$I$24:$I$112,A99)+COUNTIFS('2025'!$L$24:$L$112,A99&amp;" / "&amp;B99,'2025'!$I$24:$I$112,A99)</x:f>
        <x:v>6</x:v>
      </x:c>
      <x:c r="E99" s="2" t="n">
        <x:f>COUNTIFS('2015'!$L$24:$L$96,A99&amp;" / "&amp;B99,'2015'!$I$24:$I$96,B99)+COUNTIFS('2016'!$L$24:$L$96,A99&amp;" / "&amp;B99,'2016'!$I$24:$I$96,B99)+COUNTIFS('2017'!$L$24:$L$106,A99&amp;" / "&amp;B99,'2017'!$I$24:$I$106,B99)+COUNTIFS('2018'!$L$24:$L$106,A99&amp;" / "&amp;B99,'2018'!$I$24:$I$106,B99)+COUNTIFS('2019'!$L$24:$L$106,A99&amp;" / "&amp;B99,'2019'!$I$24:$I$106,B99)+COUNTIFS('2020'!$L$24:$L$106,A99&amp;" / "&amp;B99,'2020'!$I$24:$I$106,B99)+COUNTIFS('2021'!$L$24:$L$112,A99&amp;" / "&amp;B99,'2021'!$I$24:$I$112,B99)+COUNTIFS('2022'!$L$24:$L$112,A99&amp;" / "&amp;B99,'2022'!$I$24:$I$112,B99)+COUNTIFS('2023'!$L$24:$L$112,A99&amp;" / "&amp;B99,'2023'!$I$24:$I$112,B99)+COUNTIFS('2024'!$L$24:$L$112,A99&amp;" / "&amp;B99,'2024'!$I$24:$I$112,B99)+COUNTIFS('2025'!$L$24:$L$112,A99&amp;" / "&amp;B99,'2025'!$I$24:$I$112,B99)</x:f>
        <x:v>7</x:v>
      </x:c>
      <x:c r="F99" s="2" t="n">
        <x:f>COUNTIFS('2015'!$L$24:$L$96,A99&amp;" / "&amp;B99,'2015'!$K$24:$K$96,1)+COUNTIFS('2016'!$L$24:$L$96,A99&amp;" / "&amp;B99,'2016'!$K$24:$K$96,1)+COUNTIFS('2017'!$L$24:$L$106,A99&amp;" / "&amp;B99,'2017'!$K$24:$K$106,1)+COUNTIFS('2018'!$L$24:$L$106,A99&amp;" / "&amp;B99,'2018'!$K$24:$K$106,1)+COUNTIFS('2019'!$L$24:$L$106,A99&amp;" / "&amp;B99,'2019'!$K$24:$K$106,1)+COUNTIFS('2020'!$L$24:$L$106,A99&amp;" / "&amp;B99,'2020'!$K$24:$K$106,1)+COUNTIFS('2021'!$L$24:$L$112,A99&amp;" / "&amp;B99,'2021'!$K$24:$K$112,1)+COUNTIFS('2022'!$L$24:$L$112,A99&amp;" / "&amp;B99,'2022'!$K$24:$K$112,1)+COUNTIFS('2023'!$L$24:$L$112,A99&amp;" / "&amp;B99,'2023'!$K$24:$K$112,1)+COUNTIFS('2024'!$L$24:$L$112,A99&amp;" / "&amp;B99,'2024'!$K$24:$K$112,1)+COUNTIFS('2025'!$L$24:$L$112,A99&amp;" / "&amp;B99,'2025'!$K$24:$K$112,1)</x:f>
        <x:v>0</x:v>
      </x:c>
      <x:c r="G99" s="25" t="n">
        <x:f>SUMIFS('2015'!$E$24:$E$96,'2015'!$L$24:$L$96,A99&amp;" / "&amp;B99,'2015'!$C$24:$C$96,A99)+SUMIFS('2015'!$H$24:$H$96,'2015'!$L$24:$L$96,A99&amp;" / "&amp;B99,'2015'!$F$24:$F$96,A99)+SUMIFS('2016'!$E$24:$E$96,'2016'!$L$24:$L$96,A99&amp;" / "&amp;B99,'2016'!$C$24:$C$96,A99)+SUMIFS('2016'!$H$24:$H$96,'2016'!$L$24:$L$96,A99&amp;" / "&amp;B99,'2016'!$F$24:$F$96,A99)+SUMIFS('2017'!$E$24:$E$106,'2017'!$L$24:$L$106,A99&amp;" / "&amp;B99,'2017'!$C$24:$C$106,A99)+SUMIFS('2017'!$H$24:$H$106,'2017'!$L$24:$L$106,A99&amp;" / "&amp;B99,'2017'!$F$24:$F$106,A99)+SUMIFS('2018'!$E$24:$E$106,'2018'!$L$24:$L$106,A99&amp;" / "&amp;B99,'2018'!$C$24:$C$106,A99)+SUMIFS('2018'!$H$24:$H$106,'2018'!$L$24:$L$106,A99&amp;" / "&amp;B99,'2018'!$F$24:$F$106,A99)+SUMIFS('2019'!$E$24:$E$106,'2019'!$L$24:$L$106,A99&amp;" / "&amp;B99,'2019'!$C$24:$C$106,A99)+SUMIFS('2019'!$H$24:$H$106,'2019'!$L$24:$L$106,A99&amp;" / "&amp;B99,'2019'!$F$24:$F$106,A99)+SUMIFS('2020'!$E$24:$E$106,'2020'!$L$24:$L$106,A99&amp;" / "&amp;B99,'2020'!$C$24:$C$106,A99)+SUMIFS('2020'!$H$24:$H$106,'2020'!$L$24:$L$106,A99&amp;" / "&amp;B99,'2020'!$F$24:$F$106,A99)+SUMIFS('2021'!$E$24:$E$112,'2021'!$L$24:$L$112,A99&amp;" / "&amp;B99,'2021'!$C$24:$C$112,A99)+SUMIFS('2021'!$H$24:$H$112,'2021'!$L$24:$L$112,A99&amp;" / "&amp;B99,'2021'!$F$24:$F$112,A99)+SUMIFS('2022'!$E$24:$E$112,'2022'!$L$24:$L$112,A99&amp;" / "&amp;B99,'2022'!$C$24:$C$112,A99)+SUMIFS('2022'!$H$24:$H$112,'2022'!$L$24:$L$112,A99&amp;" / "&amp;B99,'2022'!$F$24:$F$112,A99)+SUMIFS('2023'!$E$24:$E$112,'2023'!$L$24:$L$112,A99&amp;" / "&amp;B99,'2023'!$C$24:$C$112,A99)+SUMIFS('2023'!$H$24:$H$112,'2023'!$L$24:$L$112,A99&amp;" / "&amp;B99,'2023'!$F$24:$F$112,A99)+SUMIFS('2024'!$E$24:$E$112,'2024'!$L$24:$L$112,A99&amp;" / "&amp;B99,'2024'!$C$24:$C$112,A99)+SUMIFS('2024'!$H$24:$H$112,'2024'!$L$24:$L$112,A99&amp;" / "&amp;B99,'2024'!$F$24:$F$112,A99)+SUMIFS('2025'!$E$24:$E$112,'2025'!$L$24:$L$112,A99&amp;" / "&amp;B99,'2025'!$C$24:$C$112,A99)+SUMIFS('2025'!$H$24:$H$112,'2025'!$L$24:$L$112,A99&amp;" / "&amp;B99,'2025'!$F$24:$F$112,A99)</x:f>
        <x:v>1542.8999999999996</x:v>
      </x:c>
      <x:c r="H99" s="25" t="n">
        <x:f>SUMIFS('2015'!$E$24:$E$96,'2015'!$L$24:$L$96,A99&amp;" / "&amp;B99,'2015'!$C$24:$C$96,B99)+SUMIFS('2015'!$H$24:$H$96,'2015'!$L$24:$L$96,A99&amp;" / "&amp;B99,'2015'!$F$24:$F$96,B99)+SUMIFS('2016'!$E$24:$E$96,'2016'!$L$24:$L$96,A99&amp;" / "&amp;B99,'2016'!$C$24:$C$96,B99)+SUMIFS('2016'!$H$24:$H$96,'2016'!$L$24:$L$96,A99&amp;" / "&amp;B99,'2016'!$F$24:$F$96,B99)+SUMIFS('2017'!$E$24:$E$106,'2017'!$L$24:$L$106,A99&amp;" / "&amp;B99,'2017'!$C$24:$C$106,B99)+SUMIFS('2017'!$H$24:$H$106,'2017'!$L$24:$L$106,A99&amp;" / "&amp;B99,'2017'!$F$24:$F$106,B99)+SUMIFS('2018'!$E$24:$E$106,'2018'!$L$24:$L$106,A99&amp;" / "&amp;B99,'2018'!$C$24:$C$106,B99)+SUMIFS('2018'!$H$24:$H$106,'2018'!$L$24:$L$106,A99&amp;" / "&amp;B99,'2018'!$F$24:$F$106,B99)+SUMIFS('2019'!$E$24:$E$106,'2019'!$L$24:$L$106,A99&amp;" / "&amp;B99,'2019'!$C$24:$C$106,B99)+SUMIFS('2019'!$H$24:$H$106,'2019'!$L$24:$L$106,A99&amp;" / "&amp;B99,'2019'!$F$24:$F$106,B99)+SUMIFS('2020'!$E$24:$E$106,'2020'!$L$24:$L$106,A99&amp;" / "&amp;B99,'2020'!$C$24:$C$106,B99)+SUMIFS('2020'!$H$24:$H$106,'2020'!$L$24:$L$106,A99&amp;" / "&amp;B99,'2020'!$F$24:$F$106,B99)+SUMIFS('2021'!$E$24:$E$112,'2021'!$L$24:$L$112,A99&amp;" / "&amp;B99,'2021'!$C$24:$C$112,B99)+SUMIFS('2021'!$H$24:$H$112,'2021'!$L$24:$L$112,A99&amp;" / "&amp;B99,'2021'!$F$24:$F$112,B99)+SUMIFS('2022'!$E$24:$E$112,'2022'!$L$24:$L$112,A99&amp;" / "&amp;B99,'2022'!$C$24:$C$112,B99)+SUMIFS('2022'!$H$24:$H$112,'2022'!$L$24:$L$112,A99&amp;" / "&amp;B99,'2022'!$F$24:$F$112,B99)+SUMIFS('2023'!$E$24:$E$112,'2023'!$L$24:$L$112,A99&amp;" / "&amp;B99,'2023'!$C$24:$C$112,B99)+SUMIFS('2023'!$H$24:$H$112,'2023'!$L$24:$L$112,A99&amp;" / "&amp;B99,'2023'!$F$24:$F$112,B99)+SUMIFS('2024'!$E$24:$E$112,'2024'!$L$24:$L$112,A99&amp;" / "&amp;B99,'2024'!$C$24:$C$112,B99)+SUMIFS('2024'!$H$24:$H$112,'2024'!$L$24:$L$112,A99&amp;" / "&amp;B99,'2024'!$F$24:$F$112,B99)+SUMIFS('2025'!$E$24:$E$112,'2025'!$L$24:$L$112,A99&amp;" / "&amp;B99,'2025'!$C$24:$C$112,B99)+SUMIFS('2025'!$H$24:$H$112,'2025'!$L$24:$L$112,A99&amp;" / "&amp;B99,'2025'!$F$24:$F$112,B99)</x:f>
        <x:v>1656.1</x:v>
      </x:c>
      <x:c r="I99" s="11" t="n">
        <x:f>IF(C99=0,0,(D99+0.5*F99)/C99)</x:f>
        <x:v>0.46153846153846156</x:v>
      </x:c>
      <x:c r="J99" s="2" t="n">
        <x:f>COUNTIFS('2015'!$L$24:$L$96,A99&amp;" / "&amp;B99,'2015'!$B$24:$B$96,"Regular")+COUNTIFS('2016'!$L$24:$L$96,A99&amp;" / "&amp;B99,'2016'!$B$24:$B$96,"Regular")+COUNTIFS('2017'!$L$24:$L$106,A99&amp;" / "&amp;B99,'2017'!$B$24:$B$106,"Regular")+COUNTIFS('2018'!$L$24:$L$106,A99&amp;" / "&amp;B99,'2018'!$B$24:$B$106,"Regular")+COUNTIFS('2019'!$L$24:$L$106,A99&amp;" / "&amp;B99,'2019'!$B$24:$B$106,"Regular")+COUNTIFS('2020'!$L$24:$L$106,A99&amp;" / "&amp;B99,'2020'!$B$24:$B$106,"Regular")+COUNTIFS('2021'!$L$24:$L$112,A99&amp;" / "&amp;B99,'2021'!$B$24:$B$112,"Regular")+COUNTIFS('2022'!$L$24:$L$112,A99&amp;" / "&amp;B99,'2022'!$B$24:$B$112,"Regular")+COUNTIFS('2023'!$L$24:$L$112,A99&amp;" / "&amp;B99,'2023'!$B$24:$B$112,"Regular")+COUNTIFS('2024'!$L$24:$L$112,A99&amp;" / "&amp;B99,'2024'!$B$24:$B$112,"Regular")+COUNTIFS('2025'!$L$24:$L$112,A99&amp;" / "&amp;B99,'2025'!$B$24:$B$112,"Regular")</x:f>
        <x:v>12</x:v>
      </x:c>
      <x:c r="K99" s="2" t="n">
        <x:f>COUNTIFS('2015'!$L$24:$L$96,A99&amp;" / "&amp;B99,'2015'!$B$24:$B$96,"Playoffs")+COUNTIFS('2016'!$L$24:$L$96,A99&amp;" / "&amp;B99,'2016'!$B$24:$B$96,"Playoffs")+COUNTIFS('2017'!$L$24:$L$106,A99&amp;" / "&amp;B99,'2017'!$B$24:$B$106,"Playoffs")+COUNTIFS('2018'!$L$24:$L$106,A99&amp;" / "&amp;B99,'2018'!$B$24:$B$106,"Playoffs")+COUNTIFS('2019'!$L$24:$L$106,A99&amp;" / "&amp;B99,'2019'!$B$24:$B$106,"Playoffs")+COUNTIFS('2020'!$L$24:$L$106,A99&amp;" / "&amp;B99,'2020'!$B$24:$B$106,"Playoffs")+COUNTIFS('2021'!$L$24:$L$112,A99&amp;" / "&amp;B99,'2021'!$B$24:$B$112,"Playoffs")+COUNTIFS('2022'!$L$24:$L$112,A99&amp;" / "&amp;B99,'2022'!$B$24:$B$112,"Playoffs")+COUNTIFS('2023'!$L$24:$L$112,A99&amp;" / "&amp;B99,'2023'!$B$24:$B$112,"Playoffs")+COUNTIFS('2024'!$L$24:$L$112,A99&amp;" / "&amp;B99,'2024'!$B$24:$B$112,"Playoffs")+COUNTIFS('2025'!$L$24:$L$112,A99&amp;" / "&amp;B99,'2025'!$B$24:$B$112,"Playoffs")</x:f>
        <x:v>1</x:v>
      </x:c>
      <x:c r="L99" s="2" t="n">
        <x:f>COUNTIFS('2015'!$L$24:$L$96,A99&amp;" / "&amp;B99,'2015'!$B$24:$B$96,"Unconfirmed")+COUNTIFS('2016'!$L$24:$L$96,A99&amp;" / "&amp;B99,'2016'!$B$24:$B$96,"Unconfirmed")+COUNTIFS('2017'!$L$24:$L$106,A99&amp;" / "&amp;B99,'2017'!$B$24:$B$106,"Unconfirmed")+COUNTIFS('2018'!$L$24:$L$106,A99&amp;" / "&amp;B99,'2018'!$B$24:$B$106,"Unconfirmed")+COUNTIFS('2019'!$L$24:$L$106,A99&amp;" / "&amp;B99,'2019'!$B$24:$B$106,"Unconfirmed")+COUNTIFS('2020'!$L$24:$L$106,A99&amp;" / "&amp;B99,'2020'!$B$24:$B$106,"Unconfirmed")+COUNTIFS('2021'!$L$24:$L$112,A99&amp;" / "&amp;B99,'2021'!$B$24:$B$112,"Unconfirmed")+COUNTIFS('2022'!$L$24:$L$112,A99&amp;" / "&amp;B99,'2022'!$B$24:$B$112,"Unconfirmed")+COUNTIFS('2023'!$L$24:$L$112,A99&amp;" / "&amp;B99,'2023'!$B$24:$B$112,"Unconfirmed")+COUNTIFS('2024'!$L$24:$L$112,A99&amp;" / "&amp;B99,'2024'!$B$24:$B$112,"Unconfirmed")+COUNTIFS('2025'!$L$24:$L$112,A99&amp;" / "&amp;B99,'2025'!$B$24:$B$112,"Unconfirmed")</x:f>
        <x:v>0</x:v>
      </x:c>
    </x:row>
    <x:row r="100" ht="22" customHeight="1">
      <x:c r="A100" s="2" t="str">
        <x:v>Ed</x:v>
      </x:c>
      <x:c r="B100" s="2" t="str">
        <x:v>Nick</x:v>
      </x:c>
      <x:c r="C100" s="2" t="n">
        <x:f>COUNTIFS('2015'!$L$24:$L$96,A100&amp;" / "&amp;B100)+COUNTIFS('2016'!$L$24:$L$96,A100&amp;" / "&amp;B100)+COUNTIFS('2017'!$L$24:$L$106,A100&amp;" / "&amp;B100)+COUNTIFS('2018'!$L$24:$L$106,A100&amp;" / "&amp;B100)+COUNTIFS('2019'!$L$24:$L$106,A100&amp;" / "&amp;B100)+COUNTIFS('2020'!$L$24:$L$106,A100&amp;" / "&amp;B100)+COUNTIFS('2021'!$L$24:$L$112,A100&amp;" / "&amp;B100)+COUNTIFS('2022'!$L$24:$L$112,A100&amp;" / "&amp;B100)+COUNTIFS('2023'!$L$24:$L$112,A100&amp;" / "&amp;B100)+COUNTIFS('2024'!$L$24:$L$112,A100&amp;" / "&amp;B100)+COUNTIFS('2025'!$L$24:$L$112,A100&amp;" / "&amp;B100)</x:f>
        <x:v>7</x:v>
      </x:c>
      <x:c r="D100" s="2" t="n">
        <x:f>COUNTIFS('2015'!$L$24:$L$96,A100&amp;" / "&amp;B100,'2015'!$I$24:$I$96,A100)+COUNTIFS('2016'!$L$24:$L$96,A100&amp;" / "&amp;B100,'2016'!$I$24:$I$96,A100)+COUNTIFS('2017'!$L$24:$L$106,A100&amp;" / "&amp;B100,'2017'!$I$24:$I$106,A100)+COUNTIFS('2018'!$L$24:$L$106,A100&amp;" / "&amp;B100,'2018'!$I$24:$I$106,A100)+COUNTIFS('2019'!$L$24:$L$106,A100&amp;" / "&amp;B100,'2019'!$I$24:$I$106,A100)+COUNTIFS('2020'!$L$24:$L$106,A100&amp;" / "&amp;B100,'2020'!$I$24:$I$106,A100)+COUNTIFS('2021'!$L$24:$L$112,A100&amp;" / "&amp;B100,'2021'!$I$24:$I$112,A100)+COUNTIFS('2022'!$L$24:$L$112,A100&amp;" / "&amp;B100,'2022'!$I$24:$I$112,A100)+COUNTIFS('2023'!$L$24:$L$112,A100&amp;" / "&amp;B100,'2023'!$I$24:$I$112,A100)+COUNTIFS('2024'!$L$24:$L$112,A100&amp;" / "&amp;B100,'2024'!$I$24:$I$112,A100)+COUNTIFS('2025'!$L$24:$L$112,A100&amp;" / "&amp;B100,'2025'!$I$24:$I$112,A100)</x:f>
        <x:v>6</x:v>
      </x:c>
      <x:c r="E100" s="2" t="n">
        <x:f>COUNTIFS('2015'!$L$24:$L$96,A100&amp;" / "&amp;B100,'2015'!$I$24:$I$96,B100)+COUNTIFS('2016'!$L$24:$L$96,A100&amp;" / "&amp;B100,'2016'!$I$24:$I$96,B100)+COUNTIFS('2017'!$L$24:$L$106,A100&amp;" / "&amp;B100,'2017'!$I$24:$I$106,B100)+COUNTIFS('2018'!$L$24:$L$106,A100&amp;" / "&amp;B100,'2018'!$I$24:$I$106,B100)+COUNTIFS('2019'!$L$24:$L$106,A100&amp;" / "&amp;B100,'2019'!$I$24:$I$106,B100)+COUNTIFS('2020'!$L$24:$L$106,A100&amp;" / "&amp;B100,'2020'!$I$24:$I$106,B100)+COUNTIFS('2021'!$L$24:$L$112,A100&amp;" / "&amp;B100,'2021'!$I$24:$I$112,B100)+COUNTIFS('2022'!$L$24:$L$112,A100&amp;" / "&amp;B100,'2022'!$I$24:$I$112,B100)+COUNTIFS('2023'!$L$24:$L$112,A100&amp;" / "&amp;B100,'2023'!$I$24:$I$112,B100)+COUNTIFS('2024'!$L$24:$L$112,A100&amp;" / "&amp;B100,'2024'!$I$24:$I$112,B100)+COUNTIFS('2025'!$L$24:$L$112,A100&amp;" / "&amp;B100,'2025'!$I$24:$I$112,B100)</x:f>
        <x:v>1</x:v>
      </x:c>
      <x:c r="F100" s="2" t="n">
        <x:f>COUNTIFS('2015'!$L$24:$L$96,A100&amp;" / "&amp;B100,'2015'!$K$24:$K$96,1)+COUNTIFS('2016'!$L$24:$L$96,A100&amp;" / "&amp;B100,'2016'!$K$24:$K$96,1)+COUNTIFS('2017'!$L$24:$L$106,A100&amp;" / "&amp;B100,'2017'!$K$24:$K$106,1)+COUNTIFS('2018'!$L$24:$L$106,A100&amp;" / "&amp;B100,'2018'!$K$24:$K$106,1)+COUNTIFS('2019'!$L$24:$L$106,A100&amp;" / "&amp;B100,'2019'!$K$24:$K$106,1)+COUNTIFS('2020'!$L$24:$L$106,A100&amp;" / "&amp;B100,'2020'!$K$24:$K$106,1)+COUNTIFS('2021'!$L$24:$L$112,A100&amp;" / "&amp;B100,'2021'!$K$24:$K$112,1)+COUNTIFS('2022'!$L$24:$L$112,A100&amp;" / "&amp;B100,'2022'!$K$24:$K$112,1)+COUNTIFS('2023'!$L$24:$L$112,A100&amp;" / "&amp;B100,'2023'!$K$24:$K$112,1)+COUNTIFS('2024'!$L$24:$L$112,A100&amp;" / "&amp;B100,'2024'!$K$24:$K$112,1)+COUNTIFS('2025'!$L$24:$L$112,A100&amp;" / "&amp;B100,'2025'!$K$24:$K$112,1)</x:f>
        <x:v>0</x:v>
      </x:c>
      <x:c r="G100" s="25" t="n">
        <x:f>SUMIFS('2015'!$E$24:$E$96,'2015'!$L$24:$L$96,A100&amp;" / "&amp;B100,'2015'!$C$24:$C$96,A100)+SUMIFS('2015'!$H$24:$H$96,'2015'!$L$24:$L$96,A100&amp;" / "&amp;B100,'2015'!$F$24:$F$96,A100)+SUMIFS('2016'!$E$24:$E$96,'2016'!$L$24:$L$96,A100&amp;" / "&amp;B100,'2016'!$C$24:$C$96,A100)+SUMIFS('2016'!$H$24:$H$96,'2016'!$L$24:$L$96,A100&amp;" / "&amp;B100,'2016'!$F$24:$F$96,A100)+SUMIFS('2017'!$E$24:$E$106,'2017'!$L$24:$L$106,A100&amp;" / "&amp;B100,'2017'!$C$24:$C$106,A100)+SUMIFS('2017'!$H$24:$H$106,'2017'!$L$24:$L$106,A100&amp;" / "&amp;B100,'2017'!$F$24:$F$106,A100)+SUMIFS('2018'!$E$24:$E$106,'2018'!$L$24:$L$106,A100&amp;" / "&amp;B100,'2018'!$C$24:$C$106,A100)+SUMIFS('2018'!$H$24:$H$106,'2018'!$L$24:$L$106,A100&amp;" / "&amp;B100,'2018'!$F$24:$F$106,A100)+SUMIFS('2019'!$E$24:$E$106,'2019'!$L$24:$L$106,A100&amp;" / "&amp;B100,'2019'!$C$24:$C$106,A100)+SUMIFS('2019'!$H$24:$H$106,'2019'!$L$24:$L$106,A100&amp;" / "&amp;B100,'2019'!$F$24:$F$106,A100)+SUMIFS('2020'!$E$24:$E$106,'2020'!$L$24:$L$106,A100&amp;" / "&amp;B100,'2020'!$C$24:$C$106,A100)+SUMIFS('2020'!$H$24:$H$106,'2020'!$L$24:$L$106,A100&amp;" / "&amp;B100,'2020'!$F$24:$F$106,A100)+SUMIFS('2021'!$E$24:$E$112,'2021'!$L$24:$L$112,A100&amp;" / "&amp;B100,'2021'!$C$24:$C$112,A100)+SUMIFS('2021'!$H$24:$H$112,'2021'!$L$24:$L$112,A100&amp;" / "&amp;B100,'2021'!$F$24:$F$112,A100)+SUMIFS('2022'!$E$24:$E$112,'2022'!$L$24:$L$112,A100&amp;" / "&amp;B100,'2022'!$C$24:$C$112,A100)+SUMIFS('2022'!$H$24:$H$112,'2022'!$L$24:$L$112,A100&amp;" / "&amp;B100,'2022'!$F$24:$F$112,A100)+SUMIFS('2023'!$E$24:$E$112,'2023'!$L$24:$L$112,A100&amp;" / "&amp;B100,'2023'!$C$24:$C$112,A100)+SUMIFS('2023'!$H$24:$H$112,'2023'!$L$24:$L$112,A100&amp;" / "&amp;B100,'2023'!$F$24:$F$112,A100)+SUMIFS('2024'!$E$24:$E$112,'2024'!$L$24:$L$112,A100&amp;" / "&amp;B100,'2024'!$C$24:$C$112,A100)+SUMIFS('2024'!$H$24:$H$112,'2024'!$L$24:$L$112,A100&amp;" / "&amp;B100,'2024'!$F$24:$F$112,A100)+SUMIFS('2025'!$E$24:$E$112,'2025'!$L$24:$L$112,A100&amp;" / "&amp;B100,'2025'!$C$24:$C$112,A100)+SUMIFS('2025'!$H$24:$H$112,'2025'!$L$24:$L$112,A100&amp;" / "&amp;B100,'2025'!$F$24:$F$112,A100)</x:f>
        <x:v>821.3</x:v>
      </x:c>
      <x:c r="H100" s="25" t="n">
        <x:f>SUMIFS('2015'!$E$24:$E$96,'2015'!$L$24:$L$96,A100&amp;" / "&amp;B100,'2015'!$C$24:$C$96,B100)+SUMIFS('2015'!$H$24:$H$96,'2015'!$L$24:$L$96,A100&amp;" / "&amp;B100,'2015'!$F$24:$F$96,B100)+SUMIFS('2016'!$E$24:$E$96,'2016'!$L$24:$L$96,A100&amp;" / "&amp;B100,'2016'!$C$24:$C$96,B100)+SUMIFS('2016'!$H$24:$H$96,'2016'!$L$24:$L$96,A100&amp;" / "&amp;B100,'2016'!$F$24:$F$96,B100)+SUMIFS('2017'!$E$24:$E$106,'2017'!$L$24:$L$106,A100&amp;" / "&amp;B100,'2017'!$C$24:$C$106,B100)+SUMIFS('2017'!$H$24:$H$106,'2017'!$L$24:$L$106,A100&amp;" / "&amp;B100,'2017'!$F$24:$F$106,B100)+SUMIFS('2018'!$E$24:$E$106,'2018'!$L$24:$L$106,A100&amp;" / "&amp;B100,'2018'!$C$24:$C$106,B100)+SUMIFS('2018'!$H$24:$H$106,'2018'!$L$24:$L$106,A100&amp;" / "&amp;B100,'2018'!$F$24:$F$106,B100)+SUMIFS('2019'!$E$24:$E$106,'2019'!$L$24:$L$106,A100&amp;" / "&amp;B100,'2019'!$C$24:$C$106,B100)+SUMIFS('2019'!$H$24:$H$106,'2019'!$L$24:$L$106,A100&amp;" / "&amp;B100,'2019'!$F$24:$F$106,B100)+SUMIFS('2020'!$E$24:$E$106,'2020'!$L$24:$L$106,A100&amp;" / "&amp;B100,'2020'!$C$24:$C$106,B100)+SUMIFS('2020'!$H$24:$H$106,'2020'!$L$24:$L$106,A100&amp;" / "&amp;B100,'2020'!$F$24:$F$106,B100)+SUMIFS('2021'!$E$24:$E$112,'2021'!$L$24:$L$112,A100&amp;" / "&amp;B100,'2021'!$C$24:$C$112,B100)+SUMIFS('2021'!$H$24:$H$112,'2021'!$L$24:$L$112,A100&amp;" / "&amp;B100,'2021'!$F$24:$F$112,B100)+SUMIFS('2022'!$E$24:$E$112,'2022'!$L$24:$L$112,A100&amp;" / "&amp;B100,'2022'!$C$24:$C$112,B100)+SUMIFS('2022'!$H$24:$H$112,'2022'!$L$24:$L$112,A100&amp;" / "&amp;B100,'2022'!$F$24:$F$112,B100)+SUMIFS('2023'!$E$24:$E$112,'2023'!$L$24:$L$112,A100&amp;" / "&amp;B100,'2023'!$C$24:$C$112,B100)+SUMIFS('2023'!$H$24:$H$112,'2023'!$L$24:$L$112,A100&amp;" / "&amp;B100,'2023'!$F$24:$F$112,B100)+SUMIFS('2024'!$E$24:$E$112,'2024'!$L$24:$L$112,A100&amp;" / "&amp;B100,'2024'!$C$24:$C$112,B100)+SUMIFS('2024'!$H$24:$H$112,'2024'!$L$24:$L$112,A100&amp;" / "&amp;B100,'2024'!$F$24:$F$112,B100)+SUMIFS('2025'!$E$24:$E$112,'2025'!$L$24:$L$112,A100&amp;" / "&amp;B100,'2025'!$C$24:$C$112,B100)+SUMIFS('2025'!$H$24:$H$112,'2025'!$L$24:$L$112,A100&amp;" / "&amp;B100,'2025'!$F$24:$F$112,B100)</x:f>
        <x:v>689.45</x:v>
      </x:c>
      <x:c r="I100" s="11" t="n">
        <x:f>IF(C100=0,0,(D100+0.5*F100)/C100)</x:f>
        <x:v>0.8571428571428571</x:v>
      </x:c>
      <x:c r="J100" s="2" t="n">
        <x:f>COUNTIFS('2015'!$L$24:$L$96,A100&amp;" / "&amp;B100,'2015'!$B$24:$B$96,"Regular")+COUNTIFS('2016'!$L$24:$L$96,A100&amp;" / "&amp;B100,'2016'!$B$24:$B$96,"Regular")+COUNTIFS('2017'!$L$24:$L$106,A100&amp;" / "&amp;B100,'2017'!$B$24:$B$106,"Regular")+COUNTIFS('2018'!$L$24:$L$106,A100&amp;" / "&amp;B100,'2018'!$B$24:$B$106,"Regular")+COUNTIFS('2019'!$L$24:$L$106,A100&amp;" / "&amp;B100,'2019'!$B$24:$B$106,"Regular")+COUNTIFS('2020'!$L$24:$L$106,A100&amp;" / "&amp;B100,'2020'!$B$24:$B$106,"Regular")+COUNTIFS('2021'!$L$24:$L$112,A100&amp;" / "&amp;B100,'2021'!$B$24:$B$112,"Regular")+COUNTIFS('2022'!$L$24:$L$112,A100&amp;" / "&amp;B100,'2022'!$B$24:$B$112,"Regular")+COUNTIFS('2023'!$L$24:$L$112,A100&amp;" / "&amp;B100,'2023'!$B$24:$B$112,"Regular")+COUNTIFS('2024'!$L$24:$L$112,A100&amp;" / "&amp;B100,'2024'!$B$24:$B$112,"Regular")+COUNTIFS('2025'!$L$24:$L$112,A100&amp;" / "&amp;B100,'2025'!$B$24:$B$112,"Regular")</x:f>
        <x:v>7</x:v>
      </x:c>
      <x:c r="K100" s="2" t="n">
        <x:f>COUNTIFS('2015'!$L$24:$L$96,A100&amp;" / "&amp;B100,'2015'!$B$24:$B$96,"Playoffs")+COUNTIFS('2016'!$L$24:$L$96,A100&amp;" / "&amp;B100,'2016'!$B$24:$B$96,"Playoffs")+COUNTIFS('2017'!$L$24:$L$106,A100&amp;" / "&amp;B100,'2017'!$B$24:$B$106,"Playoffs")+COUNTIFS('2018'!$L$24:$L$106,A100&amp;" / "&amp;B100,'2018'!$B$24:$B$106,"Playoffs")+COUNTIFS('2019'!$L$24:$L$106,A100&amp;" / "&amp;B100,'2019'!$B$24:$B$106,"Playoffs")+COUNTIFS('2020'!$L$24:$L$106,A100&amp;" / "&amp;B100,'2020'!$B$24:$B$106,"Playoffs")+COUNTIFS('2021'!$L$24:$L$112,A100&amp;" / "&amp;B100,'2021'!$B$24:$B$112,"Playoffs")+COUNTIFS('2022'!$L$24:$L$112,A100&amp;" / "&amp;B100,'2022'!$B$24:$B$112,"Playoffs")+COUNTIFS('2023'!$L$24:$L$112,A100&amp;" / "&amp;B100,'2023'!$B$24:$B$112,"Playoffs")+COUNTIFS('2024'!$L$24:$L$112,A100&amp;" / "&amp;B100,'2024'!$B$24:$B$112,"Playoffs")+COUNTIFS('2025'!$L$24:$L$112,A100&amp;" / "&amp;B100,'2025'!$B$24:$B$112,"Playoffs")</x:f>
        <x:v>0</x:v>
      </x:c>
      <x:c r="L100" s="2" t="n">
        <x:f>COUNTIFS('2015'!$L$24:$L$96,A100&amp;" / "&amp;B100,'2015'!$B$24:$B$96,"Unconfirmed")+COUNTIFS('2016'!$L$24:$L$96,A100&amp;" / "&amp;B100,'2016'!$B$24:$B$96,"Unconfirmed")+COUNTIFS('2017'!$L$24:$L$106,A100&amp;" / "&amp;B100,'2017'!$B$24:$B$106,"Unconfirmed")+COUNTIFS('2018'!$L$24:$L$106,A100&amp;" / "&amp;B100,'2018'!$B$24:$B$106,"Unconfirmed")+COUNTIFS('2019'!$L$24:$L$106,A100&amp;" / "&amp;B100,'2019'!$B$24:$B$106,"Unconfirmed")+COUNTIFS('2020'!$L$24:$L$106,A100&amp;" / "&amp;B100,'2020'!$B$24:$B$106,"Unconfirmed")+COUNTIFS('2021'!$L$24:$L$112,A100&amp;" / "&amp;B100,'2021'!$B$24:$B$112,"Unconfirmed")+COUNTIFS('2022'!$L$24:$L$112,A100&amp;" / "&amp;B100,'2022'!$B$24:$B$112,"Unconfirmed")+COUNTIFS('2023'!$L$24:$L$112,A100&amp;" / "&amp;B100,'2023'!$B$24:$B$112,"Unconfirmed")+COUNTIFS('2024'!$L$24:$L$112,A100&amp;" / "&amp;B100,'2024'!$B$24:$B$112,"Unconfirmed")+COUNTIFS('2025'!$L$24:$L$112,A100&amp;" / "&amp;B100,'2025'!$B$24:$B$112,"Unconfirmed")</x:f>
        <x:v>0</x:v>
      </x:c>
    </x:row>
    <x:row r="101" ht="22" customHeight="1">
      <x:c r="A101" s="2" t="str">
        <x:v>Ed</x:v>
      </x:c>
      <x:c r="B101" s="2" t="str">
        <x:v>Paul</x:v>
      </x:c>
      <x:c r="C101" s="2" t="n">
        <x:f>COUNTIFS('2015'!$L$24:$L$96,A101&amp;" / "&amp;B101)+COUNTIFS('2016'!$L$24:$L$96,A101&amp;" / "&amp;B101)+COUNTIFS('2017'!$L$24:$L$106,A101&amp;" / "&amp;B101)+COUNTIFS('2018'!$L$24:$L$106,A101&amp;" / "&amp;B101)+COUNTIFS('2019'!$L$24:$L$106,A101&amp;" / "&amp;B101)+COUNTIFS('2020'!$L$24:$L$106,A101&amp;" / "&amp;B101)+COUNTIFS('2021'!$L$24:$L$112,A101&amp;" / "&amp;B101)+COUNTIFS('2022'!$L$24:$L$112,A101&amp;" / "&amp;B101)+COUNTIFS('2023'!$L$24:$L$112,A101&amp;" / "&amp;B101)+COUNTIFS('2024'!$L$24:$L$112,A101&amp;" / "&amp;B101)+COUNTIFS('2025'!$L$24:$L$112,A101&amp;" / "&amp;B101)</x:f>
        <x:v>8</x:v>
      </x:c>
      <x:c r="D101" s="2" t="n">
        <x:f>COUNTIFS('2015'!$L$24:$L$96,A101&amp;" / "&amp;B101,'2015'!$I$24:$I$96,A101)+COUNTIFS('2016'!$L$24:$L$96,A101&amp;" / "&amp;B101,'2016'!$I$24:$I$96,A101)+COUNTIFS('2017'!$L$24:$L$106,A101&amp;" / "&amp;B101,'2017'!$I$24:$I$106,A101)+COUNTIFS('2018'!$L$24:$L$106,A101&amp;" / "&amp;B101,'2018'!$I$24:$I$106,A101)+COUNTIFS('2019'!$L$24:$L$106,A101&amp;" / "&amp;B101,'2019'!$I$24:$I$106,A101)+COUNTIFS('2020'!$L$24:$L$106,A101&amp;" / "&amp;B101,'2020'!$I$24:$I$106,A101)+COUNTIFS('2021'!$L$24:$L$112,A101&amp;" / "&amp;B101,'2021'!$I$24:$I$112,A101)+COUNTIFS('2022'!$L$24:$L$112,A101&amp;" / "&amp;B101,'2022'!$I$24:$I$112,A101)+COUNTIFS('2023'!$L$24:$L$112,A101&amp;" / "&amp;B101,'2023'!$I$24:$I$112,A101)+COUNTIFS('2024'!$L$24:$L$112,A101&amp;" / "&amp;B101,'2024'!$I$24:$I$112,A101)+COUNTIFS('2025'!$L$24:$L$112,A101&amp;" / "&amp;B101,'2025'!$I$24:$I$112,A101)</x:f>
        <x:v>4</x:v>
      </x:c>
      <x:c r="E101" s="2" t="n">
        <x:f>COUNTIFS('2015'!$L$24:$L$96,A101&amp;" / "&amp;B101,'2015'!$I$24:$I$96,B101)+COUNTIFS('2016'!$L$24:$L$96,A101&amp;" / "&amp;B101,'2016'!$I$24:$I$96,B101)+COUNTIFS('2017'!$L$24:$L$106,A101&amp;" / "&amp;B101,'2017'!$I$24:$I$106,B101)+COUNTIFS('2018'!$L$24:$L$106,A101&amp;" / "&amp;B101,'2018'!$I$24:$I$106,B101)+COUNTIFS('2019'!$L$24:$L$106,A101&amp;" / "&amp;B101,'2019'!$I$24:$I$106,B101)+COUNTIFS('2020'!$L$24:$L$106,A101&amp;" / "&amp;B101,'2020'!$I$24:$I$106,B101)+COUNTIFS('2021'!$L$24:$L$112,A101&amp;" / "&amp;B101,'2021'!$I$24:$I$112,B101)+COUNTIFS('2022'!$L$24:$L$112,A101&amp;" / "&amp;B101,'2022'!$I$24:$I$112,B101)+COUNTIFS('2023'!$L$24:$L$112,A101&amp;" / "&amp;B101,'2023'!$I$24:$I$112,B101)+COUNTIFS('2024'!$L$24:$L$112,A101&amp;" / "&amp;B101,'2024'!$I$24:$I$112,B101)+COUNTIFS('2025'!$L$24:$L$112,A101&amp;" / "&amp;B101,'2025'!$I$24:$I$112,B101)</x:f>
        <x:v>4</x:v>
      </x:c>
      <x:c r="F101" s="2" t="n">
        <x:f>COUNTIFS('2015'!$L$24:$L$96,A101&amp;" / "&amp;B101,'2015'!$K$24:$K$96,1)+COUNTIFS('2016'!$L$24:$L$96,A101&amp;" / "&amp;B101,'2016'!$K$24:$K$96,1)+COUNTIFS('2017'!$L$24:$L$106,A101&amp;" / "&amp;B101,'2017'!$K$24:$K$106,1)+COUNTIFS('2018'!$L$24:$L$106,A101&amp;" / "&amp;B101,'2018'!$K$24:$K$106,1)+COUNTIFS('2019'!$L$24:$L$106,A101&amp;" / "&amp;B101,'2019'!$K$24:$K$106,1)+COUNTIFS('2020'!$L$24:$L$106,A101&amp;" / "&amp;B101,'2020'!$K$24:$K$106,1)+COUNTIFS('2021'!$L$24:$L$112,A101&amp;" / "&amp;B101,'2021'!$K$24:$K$112,1)+COUNTIFS('2022'!$L$24:$L$112,A101&amp;" / "&amp;B101,'2022'!$K$24:$K$112,1)+COUNTIFS('2023'!$L$24:$L$112,A101&amp;" / "&amp;B101,'2023'!$K$24:$K$112,1)+COUNTIFS('2024'!$L$24:$L$112,A101&amp;" / "&amp;B101,'2024'!$K$24:$K$112,1)+COUNTIFS('2025'!$L$24:$L$112,A101&amp;" / "&amp;B101,'2025'!$K$24:$K$112,1)</x:f>
        <x:v>0</x:v>
      </x:c>
      <x:c r="G101" s="25" t="n">
        <x:f>SUMIFS('2015'!$E$24:$E$96,'2015'!$L$24:$L$96,A101&amp;" / "&amp;B101,'2015'!$C$24:$C$96,A101)+SUMIFS('2015'!$H$24:$H$96,'2015'!$L$24:$L$96,A101&amp;" / "&amp;B101,'2015'!$F$24:$F$96,A101)+SUMIFS('2016'!$E$24:$E$96,'2016'!$L$24:$L$96,A101&amp;" / "&amp;B101,'2016'!$C$24:$C$96,A101)+SUMIFS('2016'!$H$24:$H$96,'2016'!$L$24:$L$96,A101&amp;" / "&amp;B101,'2016'!$F$24:$F$96,A101)+SUMIFS('2017'!$E$24:$E$106,'2017'!$L$24:$L$106,A101&amp;" / "&amp;B101,'2017'!$C$24:$C$106,A101)+SUMIFS('2017'!$H$24:$H$106,'2017'!$L$24:$L$106,A101&amp;" / "&amp;B101,'2017'!$F$24:$F$106,A101)+SUMIFS('2018'!$E$24:$E$106,'2018'!$L$24:$L$106,A101&amp;" / "&amp;B101,'2018'!$C$24:$C$106,A101)+SUMIFS('2018'!$H$24:$H$106,'2018'!$L$24:$L$106,A101&amp;" / "&amp;B101,'2018'!$F$24:$F$106,A101)+SUMIFS('2019'!$E$24:$E$106,'2019'!$L$24:$L$106,A101&amp;" / "&amp;B101,'2019'!$C$24:$C$106,A101)+SUMIFS('2019'!$H$24:$H$106,'2019'!$L$24:$L$106,A101&amp;" / "&amp;B101,'2019'!$F$24:$F$106,A101)+SUMIFS('2020'!$E$24:$E$106,'2020'!$L$24:$L$106,A101&amp;" / "&amp;B101,'2020'!$C$24:$C$106,A101)+SUMIFS('2020'!$H$24:$H$106,'2020'!$L$24:$L$106,A101&amp;" / "&amp;B101,'2020'!$F$24:$F$106,A101)+SUMIFS('2021'!$E$24:$E$112,'2021'!$L$24:$L$112,A101&amp;" / "&amp;B101,'2021'!$C$24:$C$112,A101)+SUMIFS('2021'!$H$24:$H$112,'2021'!$L$24:$L$112,A101&amp;" / "&amp;B101,'2021'!$F$24:$F$112,A101)+SUMIFS('2022'!$E$24:$E$112,'2022'!$L$24:$L$112,A101&amp;" / "&amp;B101,'2022'!$C$24:$C$112,A101)+SUMIFS('2022'!$H$24:$H$112,'2022'!$L$24:$L$112,A101&amp;" / "&amp;B101,'2022'!$F$24:$F$112,A101)+SUMIFS('2023'!$E$24:$E$112,'2023'!$L$24:$L$112,A101&amp;" / "&amp;B101,'2023'!$C$24:$C$112,A101)+SUMIFS('2023'!$H$24:$H$112,'2023'!$L$24:$L$112,A101&amp;" / "&amp;B101,'2023'!$F$24:$F$112,A101)+SUMIFS('2024'!$E$24:$E$112,'2024'!$L$24:$L$112,A101&amp;" / "&amp;B101,'2024'!$C$24:$C$112,A101)+SUMIFS('2024'!$H$24:$H$112,'2024'!$L$24:$L$112,A101&amp;" / "&amp;B101,'2024'!$F$24:$F$112,A101)+SUMIFS('2025'!$E$24:$E$112,'2025'!$L$24:$L$112,A101&amp;" / "&amp;B101,'2025'!$C$24:$C$112,A101)+SUMIFS('2025'!$H$24:$H$112,'2025'!$L$24:$L$112,A101&amp;" / "&amp;B101,'2025'!$F$24:$F$112,A101)</x:f>
        <x:v>951.55</x:v>
      </x:c>
      <x:c r="H101" s="25" t="n">
        <x:f>SUMIFS('2015'!$E$24:$E$96,'2015'!$L$24:$L$96,A101&amp;" / "&amp;B101,'2015'!$C$24:$C$96,B101)+SUMIFS('2015'!$H$24:$H$96,'2015'!$L$24:$L$96,A101&amp;" / "&amp;B101,'2015'!$F$24:$F$96,B101)+SUMIFS('2016'!$E$24:$E$96,'2016'!$L$24:$L$96,A101&amp;" / "&amp;B101,'2016'!$C$24:$C$96,B101)+SUMIFS('2016'!$H$24:$H$96,'2016'!$L$24:$L$96,A101&amp;" / "&amp;B101,'2016'!$F$24:$F$96,B101)+SUMIFS('2017'!$E$24:$E$106,'2017'!$L$24:$L$106,A101&amp;" / "&amp;B101,'2017'!$C$24:$C$106,B101)+SUMIFS('2017'!$H$24:$H$106,'2017'!$L$24:$L$106,A101&amp;" / "&amp;B101,'2017'!$F$24:$F$106,B101)+SUMIFS('2018'!$E$24:$E$106,'2018'!$L$24:$L$106,A101&amp;" / "&amp;B101,'2018'!$C$24:$C$106,B101)+SUMIFS('2018'!$H$24:$H$106,'2018'!$L$24:$L$106,A101&amp;" / "&amp;B101,'2018'!$F$24:$F$106,B101)+SUMIFS('2019'!$E$24:$E$106,'2019'!$L$24:$L$106,A101&amp;" / "&amp;B101,'2019'!$C$24:$C$106,B101)+SUMIFS('2019'!$H$24:$H$106,'2019'!$L$24:$L$106,A101&amp;" / "&amp;B101,'2019'!$F$24:$F$106,B101)+SUMIFS('2020'!$E$24:$E$106,'2020'!$L$24:$L$106,A101&amp;" / "&amp;B101,'2020'!$C$24:$C$106,B101)+SUMIFS('2020'!$H$24:$H$106,'2020'!$L$24:$L$106,A101&amp;" / "&amp;B101,'2020'!$F$24:$F$106,B101)+SUMIFS('2021'!$E$24:$E$112,'2021'!$L$24:$L$112,A101&amp;" / "&amp;B101,'2021'!$C$24:$C$112,B101)+SUMIFS('2021'!$H$24:$H$112,'2021'!$L$24:$L$112,A101&amp;" / "&amp;B101,'2021'!$F$24:$F$112,B101)+SUMIFS('2022'!$E$24:$E$112,'2022'!$L$24:$L$112,A101&amp;" / "&amp;B101,'2022'!$C$24:$C$112,B101)+SUMIFS('2022'!$H$24:$H$112,'2022'!$L$24:$L$112,A101&amp;" / "&amp;B101,'2022'!$F$24:$F$112,B101)+SUMIFS('2023'!$E$24:$E$112,'2023'!$L$24:$L$112,A101&amp;" / "&amp;B101,'2023'!$C$24:$C$112,B101)+SUMIFS('2023'!$H$24:$H$112,'2023'!$L$24:$L$112,A101&amp;" / "&amp;B101,'2023'!$F$24:$F$112,B101)+SUMIFS('2024'!$E$24:$E$112,'2024'!$L$24:$L$112,A101&amp;" / "&amp;B101,'2024'!$C$24:$C$112,B101)+SUMIFS('2024'!$H$24:$H$112,'2024'!$L$24:$L$112,A101&amp;" / "&amp;B101,'2024'!$F$24:$F$112,B101)+SUMIFS('2025'!$E$24:$E$112,'2025'!$L$24:$L$112,A101&amp;" / "&amp;B101,'2025'!$C$24:$C$112,B101)+SUMIFS('2025'!$H$24:$H$112,'2025'!$L$24:$L$112,A101&amp;" / "&amp;B101,'2025'!$F$24:$F$112,B101)</x:f>
        <x:v>970.9</x:v>
      </x:c>
      <x:c r="I101" s="11" t="n">
        <x:f>IF(C101=0,0,(D101+0.5*F101)/C101)</x:f>
        <x:v>0.5</x:v>
      </x:c>
      <x:c r="J101" s="2" t="n">
        <x:f>COUNTIFS('2015'!$L$24:$L$96,A101&amp;" / "&amp;B101,'2015'!$B$24:$B$96,"Regular")+COUNTIFS('2016'!$L$24:$L$96,A101&amp;" / "&amp;B101,'2016'!$B$24:$B$96,"Regular")+COUNTIFS('2017'!$L$24:$L$106,A101&amp;" / "&amp;B101,'2017'!$B$24:$B$106,"Regular")+COUNTIFS('2018'!$L$24:$L$106,A101&amp;" / "&amp;B101,'2018'!$B$24:$B$106,"Regular")+COUNTIFS('2019'!$L$24:$L$106,A101&amp;" / "&amp;B101,'2019'!$B$24:$B$106,"Regular")+COUNTIFS('2020'!$L$24:$L$106,A101&amp;" / "&amp;B101,'2020'!$B$24:$B$106,"Regular")+COUNTIFS('2021'!$L$24:$L$112,A101&amp;" / "&amp;B101,'2021'!$B$24:$B$112,"Regular")+COUNTIFS('2022'!$L$24:$L$112,A101&amp;" / "&amp;B101,'2022'!$B$24:$B$112,"Regular")+COUNTIFS('2023'!$L$24:$L$112,A101&amp;" / "&amp;B101,'2023'!$B$24:$B$112,"Regular")+COUNTIFS('2024'!$L$24:$L$112,A101&amp;" / "&amp;B101,'2024'!$B$24:$B$112,"Regular")+COUNTIFS('2025'!$L$24:$L$112,A101&amp;" / "&amp;B101,'2025'!$B$24:$B$112,"Regular")</x:f>
        <x:v>8</x:v>
      </x:c>
      <x:c r="K101" s="2" t="n">
        <x:f>COUNTIFS('2015'!$L$24:$L$96,A101&amp;" / "&amp;B101,'2015'!$B$24:$B$96,"Playoffs")+COUNTIFS('2016'!$L$24:$L$96,A101&amp;" / "&amp;B101,'2016'!$B$24:$B$96,"Playoffs")+COUNTIFS('2017'!$L$24:$L$106,A101&amp;" / "&amp;B101,'2017'!$B$24:$B$106,"Playoffs")+COUNTIFS('2018'!$L$24:$L$106,A101&amp;" / "&amp;B101,'2018'!$B$24:$B$106,"Playoffs")+COUNTIFS('2019'!$L$24:$L$106,A101&amp;" / "&amp;B101,'2019'!$B$24:$B$106,"Playoffs")+COUNTIFS('2020'!$L$24:$L$106,A101&amp;" / "&amp;B101,'2020'!$B$24:$B$106,"Playoffs")+COUNTIFS('2021'!$L$24:$L$112,A101&amp;" / "&amp;B101,'2021'!$B$24:$B$112,"Playoffs")+COUNTIFS('2022'!$L$24:$L$112,A101&amp;" / "&amp;B101,'2022'!$B$24:$B$112,"Playoffs")+COUNTIFS('2023'!$L$24:$L$112,A101&amp;" / "&amp;B101,'2023'!$B$24:$B$112,"Playoffs")+COUNTIFS('2024'!$L$24:$L$112,A101&amp;" / "&amp;B101,'2024'!$B$24:$B$112,"Playoffs")+COUNTIFS('2025'!$L$24:$L$112,A101&amp;" / "&amp;B101,'2025'!$B$24:$B$112,"Playoffs")</x:f>
        <x:v>0</x:v>
      </x:c>
      <x:c r="L101" s="2" t="n">
        <x:f>COUNTIFS('2015'!$L$24:$L$96,A101&amp;" / "&amp;B101,'2015'!$B$24:$B$96,"Unconfirmed")+COUNTIFS('2016'!$L$24:$L$96,A101&amp;" / "&amp;B101,'2016'!$B$24:$B$96,"Unconfirmed")+COUNTIFS('2017'!$L$24:$L$106,A101&amp;" / "&amp;B101,'2017'!$B$24:$B$106,"Unconfirmed")+COUNTIFS('2018'!$L$24:$L$106,A101&amp;" / "&amp;B101,'2018'!$B$24:$B$106,"Unconfirmed")+COUNTIFS('2019'!$L$24:$L$106,A101&amp;" / "&amp;B101,'2019'!$B$24:$B$106,"Unconfirmed")+COUNTIFS('2020'!$L$24:$L$106,A101&amp;" / "&amp;B101,'2020'!$B$24:$B$106,"Unconfirmed")+COUNTIFS('2021'!$L$24:$L$112,A101&amp;" / "&amp;B101,'2021'!$B$24:$B$112,"Unconfirmed")+COUNTIFS('2022'!$L$24:$L$112,A101&amp;" / "&amp;B101,'2022'!$B$24:$B$112,"Unconfirmed")+COUNTIFS('2023'!$L$24:$L$112,A101&amp;" / "&amp;B101,'2023'!$B$24:$B$112,"Unconfirmed")+COUNTIFS('2024'!$L$24:$L$112,A101&amp;" / "&amp;B101,'2024'!$B$24:$B$112,"Unconfirmed")+COUNTIFS('2025'!$L$24:$L$112,A101&amp;" / "&amp;B101,'2025'!$B$24:$B$112,"Unconfirmed")</x:f>
        <x:v>0</x:v>
      </x:c>
    </x:row>
    <x:row r="102" ht="22" customHeight="1">
      <x:c r="A102" s="2" t="str">
        <x:v>Ed</x:v>
      </x:c>
      <x:c r="B102" s="2" t="str">
        <x:v>Poker Dude</x:v>
      </x:c>
      <x:c r="C102" s="2" t="n">
        <x:f>COUNTIFS('2015'!$L$24:$L$96,A102&amp;" / "&amp;B102)+COUNTIFS('2016'!$L$24:$L$96,A102&amp;" / "&amp;B102)+COUNTIFS('2017'!$L$24:$L$106,A102&amp;" / "&amp;B102)+COUNTIFS('2018'!$L$24:$L$106,A102&amp;" / "&amp;B102)+COUNTIFS('2019'!$L$24:$L$106,A102&amp;" / "&amp;B102)+COUNTIFS('2020'!$L$24:$L$106,A102&amp;" / "&amp;B102)+COUNTIFS('2021'!$L$24:$L$112,A102&amp;" / "&amp;B102)+COUNTIFS('2022'!$L$24:$L$112,A102&amp;" / "&amp;B102)+COUNTIFS('2023'!$L$24:$L$112,A102&amp;" / "&amp;B102)+COUNTIFS('2024'!$L$24:$L$112,A102&amp;" / "&amp;B102)+COUNTIFS('2025'!$L$24:$L$112,A102&amp;" / "&amp;B102)</x:f>
        <x:v>4</x:v>
      </x:c>
      <x:c r="D102" s="2" t="n">
        <x:f>COUNTIFS('2015'!$L$24:$L$96,A102&amp;" / "&amp;B102,'2015'!$I$24:$I$96,A102)+COUNTIFS('2016'!$L$24:$L$96,A102&amp;" / "&amp;B102,'2016'!$I$24:$I$96,A102)+COUNTIFS('2017'!$L$24:$L$106,A102&amp;" / "&amp;B102,'2017'!$I$24:$I$106,A102)+COUNTIFS('2018'!$L$24:$L$106,A102&amp;" / "&amp;B102,'2018'!$I$24:$I$106,A102)+COUNTIFS('2019'!$L$24:$L$106,A102&amp;" / "&amp;B102,'2019'!$I$24:$I$106,A102)+COUNTIFS('2020'!$L$24:$L$106,A102&amp;" / "&amp;B102,'2020'!$I$24:$I$106,A102)+COUNTIFS('2021'!$L$24:$L$112,A102&amp;" / "&amp;B102,'2021'!$I$24:$I$112,A102)+COUNTIFS('2022'!$L$24:$L$112,A102&amp;" / "&amp;B102,'2022'!$I$24:$I$112,A102)+COUNTIFS('2023'!$L$24:$L$112,A102&amp;" / "&amp;B102,'2023'!$I$24:$I$112,A102)+COUNTIFS('2024'!$L$24:$L$112,A102&amp;" / "&amp;B102,'2024'!$I$24:$I$112,A102)+COUNTIFS('2025'!$L$24:$L$112,A102&amp;" / "&amp;B102,'2025'!$I$24:$I$112,A102)</x:f>
        <x:v>3</x:v>
      </x:c>
      <x:c r="E102" s="2" t="n">
        <x:f>COUNTIFS('2015'!$L$24:$L$96,A102&amp;" / "&amp;B102,'2015'!$I$24:$I$96,B102)+COUNTIFS('2016'!$L$24:$L$96,A102&amp;" / "&amp;B102,'2016'!$I$24:$I$96,B102)+COUNTIFS('2017'!$L$24:$L$106,A102&amp;" / "&amp;B102,'2017'!$I$24:$I$106,B102)+COUNTIFS('2018'!$L$24:$L$106,A102&amp;" / "&amp;B102,'2018'!$I$24:$I$106,B102)+COUNTIFS('2019'!$L$24:$L$106,A102&amp;" / "&amp;B102,'2019'!$I$24:$I$106,B102)+COUNTIFS('2020'!$L$24:$L$106,A102&amp;" / "&amp;B102,'2020'!$I$24:$I$106,B102)+COUNTIFS('2021'!$L$24:$L$112,A102&amp;" / "&amp;B102,'2021'!$I$24:$I$112,B102)+COUNTIFS('2022'!$L$24:$L$112,A102&amp;" / "&amp;B102,'2022'!$I$24:$I$112,B102)+COUNTIFS('2023'!$L$24:$L$112,A102&amp;" / "&amp;B102,'2023'!$I$24:$I$112,B102)+COUNTIFS('2024'!$L$24:$L$112,A102&amp;" / "&amp;B102,'2024'!$I$24:$I$112,B102)+COUNTIFS('2025'!$L$24:$L$112,A102&amp;" / "&amp;B102,'2025'!$I$24:$I$112,B102)</x:f>
        <x:v>1</x:v>
      </x:c>
      <x:c r="F102" s="2" t="n">
        <x:f>COUNTIFS('2015'!$L$24:$L$96,A102&amp;" / "&amp;B102,'2015'!$K$24:$K$96,1)+COUNTIFS('2016'!$L$24:$L$96,A102&amp;" / "&amp;B102,'2016'!$K$24:$K$96,1)+COUNTIFS('2017'!$L$24:$L$106,A102&amp;" / "&amp;B102,'2017'!$K$24:$K$106,1)+COUNTIFS('2018'!$L$24:$L$106,A102&amp;" / "&amp;B102,'2018'!$K$24:$K$106,1)+COUNTIFS('2019'!$L$24:$L$106,A102&amp;" / "&amp;B102,'2019'!$K$24:$K$106,1)+COUNTIFS('2020'!$L$24:$L$106,A102&amp;" / "&amp;B102,'2020'!$K$24:$K$106,1)+COUNTIFS('2021'!$L$24:$L$112,A102&amp;" / "&amp;B102,'2021'!$K$24:$K$112,1)+COUNTIFS('2022'!$L$24:$L$112,A102&amp;" / "&amp;B102,'2022'!$K$24:$K$112,1)+COUNTIFS('2023'!$L$24:$L$112,A102&amp;" / "&amp;B102,'2023'!$K$24:$K$112,1)+COUNTIFS('2024'!$L$24:$L$112,A102&amp;" / "&amp;B102,'2024'!$K$24:$K$112,1)+COUNTIFS('2025'!$L$24:$L$112,A102&amp;" / "&amp;B102,'2025'!$K$24:$K$112,1)</x:f>
        <x:v>0</x:v>
      </x:c>
      <x:c r="G102" s="25" t="n">
        <x:f>SUMIFS('2015'!$E$24:$E$96,'2015'!$L$24:$L$96,A102&amp;" / "&amp;B102,'2015'!$C$24:$C$96,A102)+SUMIFS('2015'!$H$24:$H$96,'2015'!$L$24:$L$96,A102&amp;" / "&amp;B102,'2015'!$F$24:$F$96,A102)+SUMIFS('2016'!$E$24:$E$96,'2016'!$L$24:$L$96,A102&amp;" / "&amp;B102,'2016'!$C$24:$C$96,A102)+SUMIFS('2016'!$H$24:$H$96,'2016'!$L$24:$L$96,A102&amp;" / "&amp;B102,'2016'!$F$24:$F$96,A102)+SUMIFS('2017'!$E$24:$E$106,'2017'!$L$24:$L$106,A102&amp;" / "&amp;B102,'2017'!$C$24:$C$106,A102)+SUMIFS('2017'!$H$24:$H$106,'2017'!$L$24:$L$106,A102&amp;" / "&amp;B102,'2017'!$F$24:$F$106,A102)+SUMIFS('2018'!$E$24:$E$106,'2018'!$L$24:$L$106,A102&amp;" / "&amp;B102,'2018'!$C$24:$C$106,A102)+SUMIFS('2018'!$H$24:$H$106,'2018'!$L$24:$L$106,A102&amp;" / "&amp;B102,'2018'!$F$24:$F$106,A102)+SUMIFS('2019'!$E$24:$E$106,'2019'!$L$24:$L$106,A102&amp;" / "&amp;B102,'2019'!$C$24:$C$106,A102)+SUMIFS('2019'!$H$24:$H$106,'2019'!$L$24:$L$106,A102&amp;" / "&amp;B102,'2019'!$F$24:$F$106,A102)+SUMIFS('2020'!$E$24:$E$106,'2020'!$L$24:$L$106,A102&amp;" / "&amp;B102,'2020'!$C$24:$C$106,A102)+SUMIFS('2020'!$H$24:$H$106,'2020'!$L$24:$L$106,A102&amp;" / "&amp;B102,'2020'!$F$24:$F$106,A102)+SUMIFS('2021'!$E$24:$E$112,'2021'!$L$24:$L$112,A102&amp;" / "&amp;B102,'2021'!$C$24:$C$112,A102)+SUMIFS('2021'!$H$24:$H$112,'2021'!$L$24:$L$112,A102&amp;" / "&amp;B102,'2021'!$F$24:$F$112,A102)+SUMIFS('2022'!$E$24:$E$112,'2022'!$L$24:$L$112,A102&amp;" / "&amp;B102,'2022'!$C$24:$C$112,A102)+SUMIFS('2022'!$H$24:$H$112,'2022'!$L$24:$L$112,A102&amp;" / "&amp;B102,'2022'!$F$24:$F$112,A102)+SUMIFS('2023'!$E$24:$E$112,'2023'!$L$24:$L$112,A102&amp;" / "&amp;B102,'2023'!$C$24:$C$112,A102)+SUMIFS('2023'!$H$24:$H$112,'2023'!$L$24:$L$112,A102&amp;" / "&amp;B102,'2023'!$F$24:$F$112,A102)+SUMIFS('2024'!$E$24:$E$112,'2024'!$L$24:$L$112,A102&amp;" / "&amp;B102,'2024'!$C$24:$C$112,A102)+SUMIFS('2024'!$H$24:$H$112,'2024'!$L$24:$L$112,A102&amp;" / "&amp;B102,'2024'!$F$24:$F$112,A102)+SUMIFS('2025'!$E$24:$E$112,'2025'!$L$24:$L$112,A102&amp;" / "&amp;B102,'2025'!$C$24:$C$112,A102)+SUMIFS('2025'!$H$24:$H$112,'2025'!$L$24:$L$112,A102&amp;" / "&amp;B102,'2025'!$F$24:$F$112,A102)</x:f>
        <x:v>465.65</x:v>
      </x:c>
      <x:c r="H102" s="25" t="n">
        <x:f>SUMIFS('2015'!$E$24:$E$96,'2015'!$L$24:$L$96,A102&amp;" / "&amp;B102,'2015'!$C$24:$C$96,B102)+SUMIFS('2015'!$H$24:$H$96,'2015'!$L$24:$L$96,A102&amp;" / "&amp;B102,'2015'!$F$24:$F$96,B102)+SUMIFS('2016'!$E$24:$E$96,'2016'!$L$24:$L$96,A102&amp;" / "&amp;B102,'2016'!$C$24:$C$96,B102)+SUMIFS('2016'!$H$24:$H$96,'2016'!$L$24:$L$96,A102&amp;" / "&amp;B102,'2016'!$F$24:$F$96,B102)+SUMIFS('2017'!$E$24:$E$106,'2017'!$L$24:$L$106,A102&amp;" / "&amp;B102,'2017'!$C$24:$C$106,B102)+SUMIFS('2017'!$H$24:$H$106,'2017'!$L$24:$L$106,A102&amp;" / "&amp;B102,'2017'!$F$24:$F$106,B102)+SUMIFS('2018'!$E$24:$E$106,'2018'!$L$24:$L$106,A102&amp;" / "&amp;B102,'2018'!$C$24:$C$106,B102)+SUMIFS('2018'!$H$24:$H$106,'2018'!$L$24:$L$106,A102&amp;" / "&amp;B102,'2018'!$F$24:$F$106,B102)+SUMIFS('2019'!$E$24:$E$106,'2019'!$L$24:$L$106,A102&amp;" / "&amp;B102,'2019'!$C$24:$C$106,B102)+SUMIFS('2019'!$H$24:$H$106,'2019'!$L$24:$L$106,A102&amp;" / "&amp;B102,'2019'!$F$24:$F$106,B102)+SUMIFS('2020'!$E$24:$E$106,'2020'!$L$24:$L$106,A102&amp;" / "&amp;B102,'2020'!$C$24:$C$106,B102)+SUMIFS('2020'!$H$24:$H$106,'2020'!$L$24:$L$106,A102&amp;" / "&amp;B102,'2020'!$F$24:$F$106,B102)+SUMIFS('2021'!$E$24:$E$112,'2021'!$L$24:$L$112,A102&amp;" / "&amp;B102,'2021'!$C$24:$C$112,B102)+SUMIFS('2021'!$H$24:$H$112,'2021'!$L$24:$L$112,A102&amp;" / "&amp;B102,'2021'!$F$24:$F$112,B102)+SUMIFS('2022'!$E$24:$E$112,'2022'!$L$24:$L$112,A102&amp;" / "&amp;B102,'2022'!$C$24:$C$112,B102)+SUMIFS('2022'!$H$24:$H$112,'2022'!$L$24:$L$112,A102&amp;" / "&amp;B102,'2022'!$F$24:$F$112,B102)+SUMIFS('2023'!$E$24:$E$112,'2023'!$L$24:$L$112,A102&amp;" / "&amp;B102,'2023'!$C$24:$C$112,B102)+SUMIFS('2023'!$H$24:$H$112,'2023'!$L$24:$L$112,A102&amp;" / "&amp;B102,'2023'!$F$24:$F$112,B102)+SUMIFS('2024'!$E$24:$E$112,'2024'!$L$24:$L$112,A102&amp;" / "&amp;B102,'2024'!$C$24:$C$112,B102)+SUMIFS('2024'!$H$24:$H$112,'2024'!$L$24:$L$112,A102&amp;" / "&amp;B102,'2024'!$F$24:$F$112,B102)+SUMIFS('2025'!$E$24:$E$112,'2025'!$L$24:$L$112,A102&amp;" / "&amp;B102,'2025'!$C$24:$C$112,B102)+SUMIFS('2025'!$H$24:$H$112,'2025'!$L$24:$L$112,A102&amp;" / "&amp;B102,'2025'!$F$24:$F$112,B102)</x:f>
        <x:v>368.6</x:v>
      </x:c>
      <x:c r="I102" s="11" t="n">
        <x:f>IF(C102=0,0,(D102+0.5*F102)/C102)</x:f>
        <x:v>0.75</x:v>
      </x:c>
      <x:c r="J102" s="2" t="n">
        <x:f>COUNTIFS('2015'!$L$24:$L$96,A102&amp;" / "&amp;B102,'2015'!$B$24:$B$96,"Regular")+COUNTIFS('2016'!$L$24:$L$96,A102&amp;" / "&amp;B102,'2016'!$B$24:$B$96,"Regular")+COUNTIFS('2017'!$L$24:$L$106,A102&amp;" / "&amp;B102,'2017'!$B$24:$B$106,"Regular")+COUNTIFS('2018'!$L$24:$L$106,A102&amp;" / "&amp;B102,'2018'!$B$24:$B$106,"Regular")+COUNTIFS('2019'!$L$24:$L$106,A102&amp;" / "&amp;B102,'2019'!$B$24:$B$106,"Regular")+COUNTIFS('2020'!$L$24:$L$106,A102&amp;" / "&amp;B102,'2020'!$B$24:$B$106,"Regular")+COUNTIFS('2021'!$L$24:$L$112,A102&amp;" / "&amp;B102,'2021'!$B$24:$B$112,"Regular")+COUNTIFS('2022'!$L$24:$L$112,A102&amp;" / "&amp;B102,'2022'!$B$24:$B$112,"Regular")+COUNTIFS('2023'!$L$24:$L$112,A102&amp;" / "&amp;B102,'2023'!$B$24:$B$112,"Regular")+COUNTIFS('2024'!$L$24:$L$112,A102&amp;" / "&amp;B102,'2024'!$B$24:$B$112,"Regular")+COUNTIFS('2025'!$L$24:$L$112,A102&amp;" / "&amp;B102,'2025'!$B$24:$B$112,"Regular")</x:f>
        <x:v>4</x:v>
      </x:c>
      <x:c r="K102" s="2" t="n">
        <x:f>COUNTIFS('2015'!$L$24:$L$96,A102&amp;" / "&amp;B102,'2015'!$B$24:$B$96,"Playoffs")+COUNTIFS('2016'!$L$24:$L$96,A102&amp;" / "&amp;B102,'2016'!$B$24:$B$96,"Playoffs")+COUNTIFS('2017'!$L$24:$L$106,A102&amp;" / "&amp;B102,'2017'!$B$24:$B$106,"Playoffs")+COUNTIFS('2018'!$L$24:$L$106,A102&amp;" / "&amp;B102,'2018'!$B$24:$B$106,"Playoffs")+COUNTIFS('2019'!$L$24:$L$106,A102&amp;" / "&amp;B102,'2019'!$B$24:$B$106,"Playoffs")+COUNTIFS('2020'!$L$24:$L$106,A102&amp;" / "&amp;B102,'2020'!$B$24:$B$106,"Playoffs")+COUNTIFS('2021'!$L$24:$L$112,A102&amp;" / "&amp;B102,'2021'!$B$24:$B$112,"Playoffs")+COUNTIFS('2022'!$L$24:$L$112,A102&amp;" / "&amp;B102,'2022'!$B$24:$B$112,"Playoffs")+COUNTIFS('2023'!$L$24:$L$112,A102&amp;" / "&amp;B102,'2023'!$B$24:$B$112,"Playoffs")+COUNTIFS('2024'!$L$24:$L$112,A102&amp;" / "&amp;B102,'2024'!$B$24:$B$112,"Playoffs")+COUNTIFS('2025'!$L$24:$L$112,A102&amp;" / "&amp;B102,'2025'!$B$24:$B$112,"Playoffs")</x:f>
        <x:v>0</x:v>
      </x:c>
      <x:c r="L102" s="2" t="n">
        <x:f>COUNTIFS('2015'!$L$24:$L$96,A102&amp;" / "&amp;B102,'2015'!$B$24:$B$96,"Unconfirmed")+COUNTIFS('2016'!$L$24:$L$96,A102&amp;" / "&amp;B102,'2016'!$B$24:$B$96,"Unconfirmed")+COUNTIFS('2017'!$L$24:$L$106,A102&amp;" / "&amp;B102,'2017'!$B$24:$B$106,"Unconfirmed")+COUNTIFS('2018'!$L$24:$L$106,A102&amp;" / "&amp;B102,'2018'!$B$24:$B$106,"Unconfirmed")+COUNTIFS('2019'!$L$24:$L$106,A102&amp;" / "&amp;B102,'2019'!$B$24:$B$106,"Unconfirmed")+COUNTIFS('2020'!$L$24:$L$106,A102&amp;" / "&amp;B102,'2020'!$B$24:$B$106,"Unconfirmed")+COUNTIFS('2021'!$L$24:$L$112,A102&amp;" / "&amp;B102,'2021'!$B$24:$B$112,"Unconfirmed")+COUNTIFS('2022'!$L$24:$L$112,A102&amp;" / "&amp;B102,'2022'!$B$24:$B$112,"Unconfirmed")+COUNTIFS('2023'!$L$24:$L$112,A102&amp;" / "&amp;B102,'2023'!$B$24:$B$112,"Unconfirmed")+COUNTIFS('2024'!$L$24:$L$112,A102&amp;" / "&amp;B102,'2024'!$B$24:$B$112,"Unconfirmed")+COUNTIFS('2025'!$L$24:$L$112,A102&amp;" / "&amp;B102,'2025'!$B$24:$B$112,"Unconfirmed")</x:f>
        <x:v>0</x:v>
      </x:c>
    </x:row>
    <x:row r="103" ht="22" customHeight="1">
      <x:c r="A103" s="2" t="str">
        <x:v>Ed</x:v>
      </x:c>
      <x:c r="B103" s="2" t="str">
        <x:v>Ryan</x:v>
      </x:c>
      <x:c r="C103" s="2" t="n">
        <x:f>COUNTIFS('2015'!$L$24:$L$96,A103&amp;" / "&amp;B103)+COUNTIFS('2016'!$L$24:$L$96,A103&amp;" / "&amp;B103)+COUNTIFS('2017'!$L$24:$L$106,A103&amp;" / "&amp;B103)+COUNTIFS('2018'!$L$24:$L$106,A103&amp;" / "&amp;B103)+COUNTIFS('2019'!$L$24:$L$106,A103&amp;" / "&amp;B103)+COUNTIFS('2020'!$L$24:$L$106,A103&amp;" / "&amp;B103)+COUNTIFS('2021'!$L$24:$L$112,A103&amp;" / "&amp;B103)+COUNTIFS('2022'!$L$24:$L$112,A103&amp;" / "&amp;B103)+COUNTIFS('2023'!$L$24:$L$112,A103&amp;" / "&amp;B103)+COUNTIFS('2024'!$L$24:$L$112,A103&amp;" / "&amp;B103)+COUNTIFS('2025'!$L$24:$L$112,A103&amp;" / "&amp;B103)</x:f>
        <x:v>1</x:v>
      </x:c>
      <x:c r="D103" s="2" t="n">
        <x:f>COUNTIFS('2015'!$L$24:$L$96,A103&amp;" / "&amp;B103,'2015'!$I$24:$I$96,A103)+COUNTIFS('2016'!$L$24:$L$96,A103&amp;" / "&amp;B103,'2016'!$I$24:$I$96,A103)+COUNTIFS('2017'!$L$24:$L$106,A103&amp;" / "&amp;B103,'2017'!$I$24:$I$106,A103)+COUNTIFS('2018'!$L$24:$L$106,A103&amp;" / "&amp;B103,'2018'!$I$24:$I$106,A103)+COUNTIFS('2019'!$L$24:$L$106,A103&amp;" / "&amp;B103,'2019'!$I$24:$I$106,A103)+COUNTIFS('2020'!$L$24:$L$106,A103&amp;" / "&amp;B103,'2020'!$I$24:$I$106,A103)+COUNTIFS('2021'!$L$24:$L$112,A103&amp;" / "&amp;B103,'2021'!$I$24:$I$112,A103)+COUNTIFS('2022'!$L$24:$L$112,A103&amp;" / "&amp;B103,'2022'!$I$24:$I$112,A103)+COUNTIFS('2023'!$L$24:$L$112,A103&amp;" / "&amp;B103,'2023'!$I$24:$I$112,A103)+COUNTIFS('2024'!$L$24:$L$112,A103&amp;" / "&amp;B103,'2024'!$I$24:$I$112,A103)+COUNTIFS('2025'!$L$24:$L$112,A103&amp;" / "&amp;B103,'2025'!$I$24:$I$112,A103)</x:f>
        <x:v>1</x:v>
      </x:c>
      <x:c r="E103" s="2" t="n">
        <x:f>COUNTIFS('2015'!$L$24:$L$96,A103&amp;" / "&amp;B103,'2015'!$I$24:$I$96,B103)+COUNTIFS('2016'!$L$24:$L$96,A103&amp;" / "&amp;B103,'2016'!$I$24:$I$96,B103)+COUNTIFS('2017'!$L$24:$L$106,A103&amp;" / "&amp;B103,'2017'!$I$24:$I$106,B103)+COUNTIFS('2018'!$L$24:$L$106,A103&amp;" / "&amp;B103,'2018'!$I$24:$I$106,B103)+COUNTIFS('2019'!$L$24:$L$106,A103&amp;" / "&amp;B103,'2019'!$I$24:$I$106,B103)+COUNTIFS('2020'!$L$24:$L$106,A103&amp;" / "&amp;B103,'2020'!$I$24:$I$106,B103)+COUNTIFS('2021'!$L$24:$L$112,A103&amp;" / "&amp;B103,'2021'!$I$24:$I$112,B103)+COUNTIFS('2022'!$L$24:$L$112,A103&amp;" / "&amp;B103,'2022'!$I$24:$I$112,B103)+COUNTIFS('2023'!$L$24:$L$112,A103&amp;" / "&amp;B103,'2023'!$I$24:$I$112,B103)+COUNTIFS('2024'!$L$24:$L$112,A103&amp;" / "&amp;B103,'2024'!$I$24:$I$112,B103)+COUNTIFS('2025'!$L$24:$L$112,A103&amp;" / "&amp;B103,'2025'!$I$24:$I$112,B103)</x:f>
        <x:v>0</x:v>
      </x:c>
      <x:c r="F103" s="2" t="n">
        <x:f>COUNTIFS('2015'!$L$24:$L$96,A103&amp;" / "&amp;B103,'2015'!$K$24:$K$96,1)+COUNTIFS('2016'!$L$24:$L$96,A103&amp;" / "&amp;B103,'2016'!$K$24:$K$96,1)+COUNTIFS('2017'!$L$24:$L$106,A103&amp;" / "&amp;B103,'2017'!$K$24:$K$106,1)+COUNTIFS('2018'!$L$24:$L$106,A103&amp;" / "&amp;B103,'2018'!$K$24:$K$106,1)+COUNTIFS('2019'!$L$24:$L$106,A103&amp;" / "&amp;B103,'2019'!$K$24:$K$106,1)+COUNTIFS('2020'!$L$24:$L$106,A103&amp;" / "&amp;B103,'2020'!$K$24:$K$106,1)+COUNTIFS('2021'!$L$24:$L$112,A103&amp;" / "&amp;B103,'2021'!$K$24:$K$112,1)+COUNTIFS('2022'!$L$24:$L$112,A103&amp;" / "&amp;B103,'2022'!$K$24:$K$112,1)+COUNTIFS('2023'!$L$24:$L$112,A103&amp;" / "&amp;B103,'2023'!$K$24:$K$112,1)+COUNTIFS('2024'!$L$24:$L$112,A103&amp;" / "&amp;B103,'2024'!$K$24:$K$112,1)+COUNTIFS('2025'!$L$24:$L$112,A103&amp;" / "&amp;B103,'2025'!$K$24:$K$112,1)</x:f>
        <x:v>0</x:v>
      </x:c>
      <x:c r="G103" s="25" t="n">
        <x:f>SUMIFS('2015'!$E$24:$E$96,'2015'!$L$24:$L$96,A103&amp;" / "&amp;B103,'2015'!$C$24:$C$96,A103)+SUMIFS('2015'!$H$24:$H$96,'2015'!$L$24:$L$96,A103&amp;" / "&amp;B103,'2015'!$F$24:$F$96,A103)+SUMIFS('2016'!$E$24:$E$96,'2016'!$L$24:$L$96,A103&amp;" / "&amp;B103,'2016'!$C$24:$C$96,A103)+SUMIFS('2016'!$H$24:$H$96,'2016'!$L$24:$L$96,A103&amp;" / "&amp;B103,'2016'!$F$24:$F$96,A103)+SUMIFS('2017'!$E$24:$E$106,'2017'!$L$24:$L$106,A103&amp;" / "&amp;B103,'2017'!$C$24:$C$106,A103)+SUMIFS('2017'!$H$24:$H$106,'2017'!$L$24:$L$106,A103&amp;" / "&amp;B103,'2017'!$F$24:$F$106,A103)+SUMIFS('2018'!$E$24:$E$106,'2018'!$L$24:$L$106,A103&amp;" / "&amp;B103,'2018'!$C$24:$C$106,A103)+SUMIFS('2018'!$H$24:$H$106,'2018'!$L$24:$L$106,A103&amp;" / "&amp;B103,'2018'!$F$24:$F$106,A103)+SUMIFS('2019'!$E$24:$E$106,'2019'!$L$24:$L$106,A103&amp;" / "&amp;B103,'2019'!$C$24:$C$106,A103)+SUMIFS('2019'!$H$24:$H$106,'2019'!$L$24:$L$106,A103&amp;" / "&amp;B103,'2019'!$F$24:$F$106,A103)+SUMIFS('2020'!$E$24:$E$106,'2020'!$L$24:$L$106,A103&amp;" / "&amp;B103,'2020'!$C$24:$C$106,A103)+SUMIFS('2020'!$H$24:$H$106,'2020'!$L$24:$L$106,A103&amp;" / "&amp;B103,'2020'!$F$24:$F$106,A103)+SUMIFS('2021'!$E$24:$E$112,'2021'!$L$24:$L$112,A103&amp;" / "&amp;B103,'2021'!$C$24:$C$112,A103)+SUMIFS('2021'!$H$24:$H$112,'2021'!$L$24:$L$112,A103&amp;" / "&amp;B103,'2021'!$F$24:$F$112,A103)+SUMIFS('2022'!$E$24:$E$112,'2022'!$L$24:$L$112,A103&amp;" / "&amp;B103,'2022'!$C$24:$C$112,A103)+SUMIFS('2022'!$H$24:$H$112,'2022'!$L$24:$L$112,A103&amp;" / "&amp;B103,'2022'!$F$24:$F$112,A103)+SUMIFS('2023'!$E$24:$E$112,'2023'!$L$24:$L$112,A103&amp;" / "&amp;B103,'2023'!$C$24:$C$112,A103)+SUMIFS('2023'!$H$24:$H$112,'2023'!$L$24:$L$112,A103&amp;" / "&amp;B103,'2023'!$F$24:$F$112,A103)+SUMIFS('2024'!$E$24:$E$112,'2024'!$L$24:$L$112,A103&amp;" / "&amp;B103,'2024'!$C$24:$C$112,A103)+SUMIFS('2024'!$H$24:$H$112,'2024'!$L$24:$L$112,A103&amp;" / "&amp;B103,'2024'!$F$24:$F$112,A103)+SUMIFS('2025'!$E$24:$E$112,'2025'!$L$24:$L$112,A103&amp;" / "&amp;B103,'2025'!$C$24:$C$112,A103)+SUMIFS('2025'!$H$24:$H$112,'2025'!$L$24:$L$112,A103&amp;" / "&amp;B103,'2025'!$F$24:$F$112,A103)</x:f>
        <x:v>143.65</x:v>
      </x:c>
      <x:c r="H103" s="25" t="n">
        <x:f>SUMIFS('2015'!$E$24:$E$96,'2015'!$L$24:$L$96,A103&amp;" / "&amp;B103,'2015'!$C$24:$C$96,B103)+SUMIFS('2015'!$H$24:$H$96,'2015'!$L$24:$L$96,A103&amp;" / "&amp;B103,'2015'!$F$24:$F$96,B103)+SUMIFS('2016'!$E$24:$E$96,'2016'!$L$24:$L$96,A103&amp;" / "&amp;B103,'2016'!$C$24:$C$96,B103)+SUMIFS('2016'!$H$24:$H$96,'2016'!$L$24:$L$96,A103&amp;" / "&amp;B103,'2016'!$F$24:$F$96,B103)+SUMIFS('2017'!$E$24:$E$106,'2017'!$L$24:$L$106,A103&amp;" / "&amp;B103,'2017'!$C$24:$C$106,B103)+SUMIFS('2017'!$H$24:$H$106,'2017'!$L$24:$L$106,A103&amp;" / "&amp;B103,'2017'!$F$24:$F$106,B103)+SUMIFS('2018'!$E$24:$E$106,'2018'!$L$24:$L$106,A103&amp;" / "&amp;B103,'2018'!$C$24:$C$106,B103)+SUMIFS('2018'!$H$24:$H$106,'2018'!$L$24:$L$106,A103&amp;" / "&amp;B103,'2018'!$F$24:$F$106,B103)+SUMIFS('2019'!$E$24:$E$106,'2019'!$L$24:$L$106,A103&amp;" / "&amp;B103,'2019'!$C$24:$C$106,B103)+SUMIFS('2019'!$H$24:$H$106,'2019'!$L$24:$L$106,A103&amp;" / "&amp;B103,'2019'!$F$24:$F$106,B103)+SUMIFS('2020'!$E$24:$E$106,'2020'!$L$24:$L$106,A103&amp;" / "&amp;B103,'2020'!$C$24:$C$106,B103)+SUMIFS('2020'!$H$24:$H$106,'2020'!$L$24:$L$106,A103&amp;" / "&amp;B103,'2020'!$F$24:$F$106,B103)+SUMIFS('2021'!$E$24:$E$112,'2021'!$L$24:$L$112,A103&amp;" / "&amp;B103,'2021'!$C$24:$C$112,B103)+SUMIFS('2021'!$H$24:$H$112,'2021'!$L$24:$L$112,A103&amp;" / "&amp;B103,'2021'!$F$24:$F$112,B103)+SUMIFS('2022'!$E$24:$E$112,'2022'!$L$24:$L$112,A103&amp;" / "&amp;B103,'2022'!$C$24:$C$112,B103)+SUMIFS('2022'!$H$24:$H$112,'2022'!$L$24:$L$112,A103&amp;" / "&amp;B103,'2022'!$F$24:$F$112,B103)+SUMIFS('2023'!$E$24:$E$112,'2023'!$L$24:$L$112,A103&amp;" / "&amp;B103,'2023'!$C$24:$C$112,B103)+SUMIFS('2023'!$H$24:$H$112,'2023'!$L$24:$L$112,A103&amp;" / "&amp;B103,'2023'!$F$24:$F$112,B103)+SUMIFS('2024'!$E$24:$E$112,'2024'!$L$24:$L$112,A103&amp;" / "&amp;B103,'2024'!$C$24:$C$112,B103)+SUMIFS('2024'!$H$24:$H$112,'2024'!$L$24:$L$112,A103&amp;" / "&amp;B103,'2024'!$F$24:$F$112,B103)+SUMIFS('2025'!$E$24:$E$112,'2025'!$L$24:$L$112,A103&amp;" / "&amp;B103,'2025'!$C$24:$C$112,B103)+SUMIFS('2025'!$H$24:$H$112,'2025'!$L$24:$L$112,A103&amp;" / "&amp;B103,'2025'!$F$24:$F$112,B103)</x:f>
        <x:v>102.75</x:v>
      </x:c>
      <x:c r="I103" s="11" t="n">
        <x:f>IF(C103=0,0,(D103+0.5*F103)/C103)</x:f>
        <x:v>1</x:v>
      </x:c>
      <x:c r="J103" s="2" t="n">
        <x:f>COUNTIFS('2015'!$L$24:$L$96,A103&amp;" / "&amp;B103,'2015'!$B$24:$B$96,"Regular")+COUNTIFS('2016'!$L$24:$L$96,A103&amp;" / "&amp;B103,'2016'!$B$24:$B$96,"Regular")+COUNTIFS('2017'!$L$24:$L$106,A103&amp;" / "&amp;B103,'2017'!$B$24:$B$106,"Regular")+COUNTIFS('2018'!$L$24:$L$106,A103&amp;" / "&amp;B103,'2018'!$B$24:$B$106,"Regular")+COUNTIFS('2019'!$L$24:$L$106,A103&amp;" / "&amp;B103,'2019'!$B$24:$B$106,"Regular")+COUNTIFS('2020'!$L$24:$L$106,A103&amp;" / "&amp;B103,'2020'!$B$24:$B$106,"Regular")+COUNTIFS('2021'!$L$24:$L$112,A103&amp;" / "&amp;B103,'2021'!$B$24:$B$112,"Regular")+COUNTIFS('2022'!$L$24:$L$112,A103&amp;" / "&amp;B103,'2022'!$B$24:$B$112,"Regular")+COUNTIFS('2023'!$L$24:$L$112,A103&amp;" / "&amp;B103,'2023'!$B$24:$B$112,"Regular")+COUNTIFS('2024'!$L$24:$L$112,A103&amp;" / "&amp;B103,'2024'!$B$24:$B$112,"Regular")+COUNTIFS('2025'!$L$24:$L$112,A103&amp;" / "&amp;B103,'2025'!$B$24:$B$112,"Regular")</x:f>
        <x:v>1</x:v>
      </x:c>
      <x:c r="K103" s="2" t="n">
        <x:f>COUNTIFS('2015'!$L$24:$L$96,A103&amp;" / "&amp;B103,'2015'!$B$24:$B$96,"Playoffs")+COUNTIFS('2016'!$L$24:$L$96,A103&amp;" / "&amp;B103,'2016'!$B$24:$B$96,"Playoffs")+COUNTIFS('2017'!$L$24:$L$106,A103&amp;" / "&amp;B103,'2017'!$B$24:$B$106,"Playoffs")+COUNTIFS('2018'!$L$24:$L$106,A103&amp;" / "&amp;B103,'2018'!$B$24:$B$106,"Playoffs")+COUNTIFS('2019'!$L$24:$L$106,A103&amp;" / "&amp;B103,'2019'!$B$24:$B$106,"Playoffs")+COUNTIFS('2020'!$L$24:$L$106,A103&amp;" / "&amp;B103,'2020'!$B$24:$B$106,"Playoffs")+COUNTIFS('2021'!$L$24:$L$112,A103&amp;" / "&amp;B103,'2021'!$B$24:$B$112,"Playoffs")+COUNTIFS('2022'!$L$24:$L$112,A103&amp;" / "&amp;B103,'2022'!$B$24:$B$112,"Playoffs")+COUNTIFS('2023'!$L$24:$L$112,A103&amp;" / "&amp;B103,'2023'!$B$24:$B$112,"Playoffs")+COUNTIFS('2024'!$L$24:$L$112,A103&amp;" / "&amp;B103,'2024'!$B$24:$B$112,"Playoffs")+COUNTIFS('2025'!$L$24:$L$112,A103&amp;" / "&amp;B103,'2025'!$B$24:$B$112,"Playoffs")</x:f>
        <x:v>0</x:v>
      </x:c>
      <x:c r="L103" s="2" t="n">
        <x:f>COUNTIFS('2015'!$L$24:$L$96,A103&amp;" / "&amp;B103,'2015'!$B$24:$B$96,"Unconfirmed")+COUNTIFS('2016'!$L$24:$L$96,A103&amp;" / "&amp;B103,'2016'!$B$24:$B$96,"Unconfirmed")+COUNTIFS('2017'!$L$24:$L$106,A103&amp;" / "&amp;B103,'2017'!$B$24:$B$106,"Unconfirmed")+COUNTIFS('2018'!$L$24:$L$106,A103&amp;" / "&amp;B103,'2018'!$B$24:$B$106,"Unconfirmed")+COUNTIFS('2019'!$L$24:$L$106,A103&amp;" / "&amp;B103,'2019'!$B$24:$B$106,"Unconfirmed")+COUNTIFS('2020'!$L$24:$L$106,A103&amp;" / "&amp;B103,'2020'!$B$24:$B$106,"Unconfirmed")+COUNTIFS('2021'!$L$24:$L$112,A103&amp;" / "&amp;B103,'2021'!$B$24:$B$112,"Unconfirmed")+COUNTIFS('2022'!$L$24:$L$112,A103&amp;" / "&amp;B103,'2022'!$B$24:$B$112,"Unconfirmed")+COUNTIFS('2023'!$L$24:$L$112,A103&amp;" / "&amp;B103,'2023'!$B$24:$B$112,"Unconfirmed")+COUNTIFS('2024'!$L$24:$L$112,A103&amp;" / "&amp;B103,'2024'!$B$24:$B$112,"Unconfirmed")+COUNTIFS('2025'!$L$24:$L$112,A103&amp;" / "&amp;B103,'2025'!$B$24:$B$112,"Unconfirmed")</x:f>
        <x:v>0</x:v>
      </x:c>
    </x:row>
    <x:row r="104" ht="22" customHeight="1">
      <x:c r="A104" s="2" t="str">
        <x:v>Ed</x:v>
      </x:c>
      <x:c r="B104" s="2" t="str">
        <x:v>Taylor</x:v>
      </x:c>
      <x:c r="C104" s="2" t="n">
        <x:f>COUNTIFS('2015'!$L$24:$L$96,A104&amp;" / "&amp;B104)+COUNTIFS('2016'!$L$24:$L$96,A104&amp;" / "&amp;B104)+COUNTIFS('2017'!$L$24:$L$106,A104&amp;" / "&amp;B104)+COUNTIFS('2018'!$L$24:$L$106,A104&amp;" / "&amp;B104)+COUNTIFS('2019'!$L$24:$L$106,A104&amp;" / "&amp;B104)+COUNTIFS('2020'!$L$24:$L$106,A104&amp;" / "&amp;B104)+COUNTIFS('2021'!$L$24:$L$112,A104&amp;" / "&amp;B104)+COUNTIFS('2022'!$L$24:$L$112,A104&amp;" / "&amp;B104)+COUNTIFS('2023'!$L$24:$L$112,A104&amp;" / "&amp;B104)+COUNTIFS('2024'!$L$24:$L$112,A104&amp;" / "&amp;B104)+COUNTIFS('2025'!$L$24:$L$112,A104&amp;" / "&amp;B104)</x:f>
        <x:v>5</x:v>
      </x:c>
      <x:c r="D104" s="2" t="n">
        <x:f>COUNTIFS('2015'!$L$24:$L$96,A104&amp;" / "&amp;B104,'2015'!$I$24:$I$96,A104)+COUNTIFS('2016'!$L$24:$L$96,A104&amp;" / "&amp;B104,'2016'!$I$24:$I$96,A104)+COUNTIFS('2017'!$L$24:$L$106,A104&amp;" / "&amp;B104,'2017'!$I$24:$I$106,A104)+COUNTIFS('2018'!$L$24:$L$106,A104&amp;" / "&amp;B104,'2018'!$I$24:$I$106,A104)+COUNTIFS('2019'!$L$24:$L$106,A104&amp;" / "&amp;B104,'2019'!$I$24:$I$106,A104)+COUNTIFS('2020'!$L$24:$L$106,A104&amp;" / "&amp;B104,'2020'!$I$24:$I$106,A104)+COUNTIFS('2021'!$L$24:$L$112,A104&amp;" / "&amp;B104,'2021'!$I$24:$I$112,A104)+COUNTIFS('2022'!$L$24:$L$112,A104&amp;" / "&amp;B104,'2022'!$I$24:$I$112,A104)+COUNTIFS('2023'!$L$24:$L$112,A104&amp;" / "&amp;B104,'2023'!$I$24:$I$112,A104)+COUNTIFS('2024'!$L$24:$L$112,A104&amp;" / "&amp;B104,'2024'!$I$24:$I$112,A104)+COUNTIFS('2025'!$L$24:$L$112,A104&amp;" / "&amp;B104,'2025'!$I$24:$I$112,A104)</x:f>
        <x:v>1</x:v>
      </x:c>
      <x:c r="E104" s="2" t="n">
        <x:f>COUNTIFS('2015'!$L$24:$L$96,A104&amp;" / "&amp;B104,'2015'!$I$24:$I$96,B104)+COUNTIFS('2016'!$L$24:$L$96,A104&amp;" / "&amp;B104,'2016'!$I$24:$I$96,B104)+COUNTIFS('2017'!$L$24:$L$106,A104&amp;" / "&amp;B104,'2017'!$I$24:$I$106,B104)+COUNTIFS('2018'!$L$24:$L$106,A104&amp;" / "&amp;B104,'2018'!$I$24:$I$106,B104)+COUNTIFS('2019'!$L$24:$L$106,A104&amp;" / "&amp;B104,'2019'!$I$24:$I$106,B104)+COUNTIFS('2020'!$L$24:$L$106,A104&amp;" / "&amp;B104,'2020'!$I$24:$I$106,B104)+COUNTIFS('2021'!$L$24:$L$112,A104&amp;" / "&amp;B104,'2021'!$I$24:$I$112,B104)+COUNTIFS('2022'!$L$24:$L$112,A104&amp;" / "&amp;B104,'2022'!$I$24:$I$112,B104)+COUNTIFS('2023'!$L$24:$L$112,A104&amp;" / "&amp;B104,'2023'!$I$24:$I$112,B104)+COUNTIFS('2024'!$L$24:$L$112,A104&amp;" / "&amp;B104,'2024'!$I$24:$I$112,B104)+COUNTIFS('2025'!$L$24:$L$112,A104&amp;" / "&amp;B104,'2025'!$I$24:$I$112,B104)</x:f>
        <x:v>4</x:v>
      </x:c>
      <x:c r="F104" s="2" t="n">
        <x:f>COUNTIFS('2015'!$L$24:$L$96,A104&amp;" / "&amp;B104,'2015'!$K$24:$K$96,1)+COUNTIFS('2016'!$L$24:$L$96,A104&amp;" / "&amp;B104,'2016'!$K$24:$K$96,1)+COUNTIFS('2017'!$L$24:$L$106,A104&amp;" / "&amp;B104,'2017'!$K$24:$K$106,1)+COUNTIFS('2018'!$L$24:$L$106,A104&amp;" / "&amp;B104,'2018'!$K$24:$K$106,1)+COUNTIFS('2019'!$L$24:$L$106,A104&amp;" / "&amp;B104,'2019'!$K$24:$K$106,1)+COUNTIFS('2020'!$L$24:$L$106,A104&amp;" / "&amp;B104,'2020'!$K$24:$K$106,1)+COUNTIFS('2021'!$L$24:$L$112,A104&amp;" / "&amp;B104,'2021'!$K$24:$K$112,1)+COUNTIFS('2022'!$L$24:$L$112,A104&amp;" / "&amp;B104,'2022'!$K$24:$K$112,1)+COUNTIFS('2023'!$L$24:$L$112,A104&amp;" / "&amp;B104,'2023'!$K$24:$K$112,1)+COUNTIFS('2024'!$L$24:$L$112,A104&amp;" / "&amp;B104,'2024'!$K$24:$K$112,1)+COUNTIFS('2025'!$L$24:$L$112,A104&amp;" / "&amp;B104,'2025'!$K$24:$K$112,1)</x:f>
        <x:v>0</x:v>
      </x:c>
      <x:c r="G104" s="25" t="n">
        <x:f>SUMIFS('2015'!$E$24:$E$96,'2015'!$L$24:$L$96,A104&amp;" / "&amp;B104,'2015'!$C$24:$C$96,A104)+SUMIFS('2015'!$H$24:$H$96,'2015'!$L$24:$L$96,A104&amp;" / "&amp;B104,'2015'!$F$24:$F$96,A104)+SUMIFS('2016'!$E$24:$E$96,'2016'!$L$24:$L$96,A104&amp;" / "&amp;B104,'2016'!$C$24:$C$96,A104)+SUMIFS('2016'!$H$24:$H$96,'2016'!$L$24:$L$96,A104&amp;" / "&amp;B104,'2016'!$F$24:$F$96,A104)+SUMIFS('2017'!$E$24:$E$106,'2017'!$L$24:$L$106,A104&amp;" / "&amp;B104,'2017'!$C$24:$C$106,A104)+SUMIFS('2017'!$H$24:$H$106,'2017'!$L$24:$L$106,A104&amp;" / "&amp;B104,'2017'!$F$24:$F$106,A104)+SUMIFS('2018'!$E$24:$E$106,'2018'!$L$24:$L$106,A104&amp;" / "&amp;B104,'2018'!$C$24:$C$106,A104)+SUMIFS('2018'!$H$24:$H$106,'2018'!$L$24:$L$106,A104&amp;" / "&amp;B104,'2018'!$F$24:$F$106,A104)+SUMIFS('2019'!$E$24:$E$106,'2019'!$L$24:$L$106,A104&amp;" / "&amp;B104,'2019'!$C$24:$C$106,A104)+SUMIFS('2019'!$H$24:$H$106,'2019'!$L$24:$L$106,A104&amp;" / "&amp;B104,'2019'!$F$24:$F$106,A104)+SUMIFS('2020'!$E$24:$E$106,'2020'!$L$24:$L$106,A104&amp;" / "&amp;B104,'2020'!$C$24:$C$106,A104)+SUMIFS('2020'!$H$24:$H$106,'2020'!$L$24:$L$106,A104&amp;" / "&amp;B104,'2020'!$F$24:$F$106,A104)+SUMIFS('2021'!$E$24:$E$112,'2021'!$L$24:$L$112,A104&amp;" / "&amp;B104,'2021'!$C$24:$C$112,A104)+SUMIFS('2021'!$H$24:$H$112,'2021'!$L$24:$L$112,A104&amp;" / "&amp;B104,'2021'!$F$24:$F$112,A104)+SUMIFS('2022'!$E$24:$E$112,'2022'!$L$24:$L$112,A104&amp;" / "&amp;B104,'2022'!$C$24:$C$112,A104)+SUMIFS('2022'!$H$24:$H$112,'2022'!$L$24:$L$112,A104&amp;" / "&amp;B104,'2022'!$F$24:$F$112,A104)+SUMIFS('2023'!$E$24:$E$112,'2023'!$L$24:$L$112,A104&amp;" / "&amp;B104,'2023'!$C$24:$C$112,A104)+SUMIFS('2023'!$H$24:$H$112,'2023'!$L$24:$L$112,A104&amp;" / "&amp;B104,'2023'!$F$24:$F$112,A104)+SUMIFS('2024'!$E$24:$E$112,'2024'!$L$24:$L$112,A104&amp;" / "&amp;B104,'2024'!$C$24:$C$112,A104)+SUMIFS('2024'!$H$24:$H$112,'2024'!$L$24:$L$112,A104&amp;" / "&amp;B104,'2024'!$F$24:$F$112,A104)+SUMIFS('2025'!$E$24:$E$112,'2025'!$L$24:$L$112,A104&amp;" / "&amp;B104,'2025'!$C$24:$C$112,A104)+SUMIFS('2025'!$H$24:$H$112,'2025'!$L$24:$L$112,A104&amp;" / "&amp;B104,'2025'!$F$24:$F$112,A104)</x:f>
        <x:v>495</x:v>
      </x:c>
      <x:c r="H104" s="25" t="n">
        <x:f>SUMIFS('2015'!$E$24:$E$96,'2015'!$L$24:$L$96,A104&amp;" / "&amp;B104,'2015'!$C$24:$C$96,B104)+SUMIFS('2015'!$H$24:$H$96,'2015'!$L$24:$L$96,A104&amp;" / "&amp;B104,'2015'!$F$24:$F$96,B104)+SUMIFS('2016'!$E$24:$E$96,'2016'!$L$24:$L$96,A104&amp;" / "&amp;B104,'2016'!$C$24:$C$96,B104)+SUMIFS('2016'!$H$24:$H$96,'2016'!$L$24:$L$96,A104&amp;" / "&amp;B104,'2016'!$F$24:$F$96,B104)+SUMIFS('2017'!$E$24:$E$106,'2017'!$L$24:$L$106,A104&amp;" / "&amp;B104,'2017'!$C$24:$C$106,B104)+SUMIFS('2017'!$H$24:$H$106,'2017'!$L$24:$L$106,A104&amp;" / "&amp;B104,'2017'!$F$24:$F$106,B104)+SUMIFS('2018'!$E$24:$E$106,'2018'!$L$24:$L$106,A104&amp;" / "&amp;B104,'2018'!$C$24:$C$106,B104)+SUMIFS('2018'!$H$24:$H$106,'2018'!$L$24:$L$106,A104&amp;" / "&amp;B104,'2018'!$F$24:$F$106,B104)+SUMIFS('2019'!$E$24:$E$106,'2019'!$L$24:$L$106,A104&amp;" / "&amp;B104,'2019'!$C$24:$C$106,B104)+SUMIFS('2019'!$H$24:$H$106,'2019'!$L$24:$L$106,A104&amp;" / "&amp;B104,'2019'!$F$24:$F$106,B104)+SUMIFS('2020'!$E$24:$E$106,'2020'!$L$24:$L$106,A104&amp;" / "&amp;B104,'2020'!$C$24:$C$106,B104)+SUMIFS('2020'!$H$24:$H$106,'2020'!$L$24:$L$106,A104&amp;" / "&amp;B104,'2020'!$F$24:$F$106,B104)+SUMIFS('2021'!$E$24:$E$112,'2021'!$L$24:$L$112,A104&amp;" / "&amp;B104,'2021'!$C$24:$C$112,B104)+SUMIFS('2021'!$H$24:$H$112,'2021'!$L$24:$L$112,A104&amp;" / "&amp;B104,'2021'!$F$24:$F$112,B104)+SUMIFS('2022'!$E$24:$E$112,'2022'!$L$24:$L$112,A104&amp;" / "&amp;B104,'2022'!$C$24:$C$112,B104)+SUMIFS('2022'!$H$24:$H$112,'2022'!$L$24:$L$112,A104&amp;" / "&amp;B104,'2022'!$F$24:$F$112,B104)+SUMIFS('2023'!$E$24:$E$112,'2023'!$L$24:$L$112,A104&amp;" / "&amp;B104,'2023'!$C$24:$C$112,B104)+SUMIFS('2023'!$H$24:$H$112,'2023'!$L$24:$L$112,A104&amp;" / "&amp;B104,'2023'!$F$24:$F$112,B104)+SUMIFS('2024'!$E$24:$E$112,'2024'!$L$24:$L$112,A104&amp;" / "&amp;B104,'2024'!$C$24:$C$112,B104)+SUMIFS('2024'!$H$24:$H$112,'2024'!$L$24:$L$112,A104&amp;" / "&amp;B104,'2024'!$F$24:$F$112,B104)+SUMIFS('2025'!$E$24:$E$112,'2025'!$L$24:$L$112,A104&amp;" / "&amp;B104,'2025'!$C$24:$C$112,B104)+SUMIFS('2025'!$H$24:$H$112,'2025'!$L$24:$L$112,A104&amp;" / "&amp;B104,'2025'!$F$24:$F$112,B104)</x:f>
        <x:v>546</x:v>
      </x:c>
      <x:c r="I104" s="11" t="n">
        <x:f>IF(C104=0,0,(D104+0.5*F104)/C104)</x:f>
        <x:v>0.2</x:v>
      </x:c>
      <x:c r="J104" s="2" t="n">
        <x:f>COUNTIFS('2015'!$L$24:$L$96,A104&amp;" / "&amp;B104,'2015'!$B$24:$B$96,"Regular")+COUNTIFS('2016'!$L$24:$L$96,A104&amp;" / "&amp;B104,'2016'!$B$24:$B$96,"Regular")+COUNTIFS('2017'!$L$24:$L$106,A104&amp;" / "&amp;B104,'2017'!$B$24:$B$106,"Regular")+COUNTIFS('2018'!$L$24:$L$106,A104&amp;" / "&amp;B104,'2018'!$B$24:$B$106,"Regular")+COUNTIFS('2019'!$L$24:$L$106,A104&amp;" / "&amp;B104,'2019'!$B$24:$B$106,"Regular")+COUNTIFS('2020'!$L$24:$L$106,A104&amp;" / "&amp;B104,'2020'!$B$24:$B$106,"Regular")+COUNTIFS('2021'!$L$24:$L$112,A104&amp;" / "&amp;B104,'2021'!$B$24:$B$112,"Regular")+COUNTIFS('2022'!$L$24:$L$112,A104&amp;" / "&amp;B104,'2022'!$B$24:$B$112,"Regular")+COUNTIFS('2023'!$L$24:$L$112,A104&amp;" / "&amp;B104,'2023'!$B$24:$B$112,"Regular")+COUNTIFS('2024'!$L$24:$L$112,A104&amp;" / "&amp;B104,'2024'!$B$24:$B$112,"Regular")+COUNTIFS('2025'!$L$24:$L$112,A104&amp;" / "&amp;B104,'2025'!$B$24:$B$112,"Regular")</x:f>
        <x:v>5</x:v>
      </x:c>
      <x:c r="K104" s="2" t="n">
        <x:f>COUNTIFS('2015'!$L$24:$L$96,A104&amp;" / "&amp;B104,'2015'!$B$24:$B$96,"Playoffs")+COUNTIFS('2016'!$L$24:$L$96,A104&amp;" / "&amp;B104,'2016'!$B$24:$B$96,"Playoffs")+COUNTIFS('2017'!$L$24:$L$106,A104&amp;" / "&amp;B104,'2017'!$B$24:$B$106,"Playoffs")+COUNTIFS('2018'!$L$24:$L$106,A104&amp;" / "&amp;B104,'2018'!$B$24:$B$106,"Playoffs")+COUNTIFS('2019'!$L$24:$L$106,A104&amp;" / "&amp;B104,'2019'!$B$24:$B$106,"Playoffs")+COUNTIFS('2020'!$L$24:$L$106,A104&amp;" / "&amp;B104,'2020'!$B$24:$B$106,"Playoffs")+COUNTIFS('2021'!$L$24:$L$112,A104&amp;" / "&amp;B104,'2021'!$B$24:$B$112,"Playoffs")+COUNTIFS('2022'!$L$24:$L$112,A104&amp;" / "&amp;B104,'2022'!$B$24:$B$112,"Playoffs")+COUNTIFS('2023'!$L$24:$L$112,A104&amp;" / "&amp;B104,'2023'!$B$24:$B$112,"Playoffs")+COUNTIFS('2024'!$L$24:$L$112,A104&amp;" / "&amp;B104,'2024'!$B$24:$B$112,"Playoffs")+COUNTIFS('2025'!$L$24:$L$112,A104&amp;" / "&amp;B104,'2025'!$B$24:$B$112,"Playoffs")</x:f>
        <x:v>0</x:v>
      </x:c>
      <x:c r="L104" s="2" t="n">
        <x:f>COUNTIFS('2015'!$L$24:$L$96,A104&amp;" / "&amp;B104,'2015'!$B$24:$B$96,"Unconfirmed")+COUNTIFS('2016'!$L$24:$L$96,A104&amp;" / "&amp;B104,'2016'!$B$24:$B$96,"Unconfirmed")+COUNTIFS('2017'!$L$24:$L$106,A104&amp;" / "&amp;B104,'2017'!$B$24:$B$106,"Unconfirmed")+COUNTIFS('2018'!$L$24:$L$106,A104&amp;" / "&amp;B104,'2018'!$B$24:$B$106,"Unconfirmed")+COUNTIFS('2019'!$L$24:$L$106,A104&amp;" / "&amp;B104,'2019'!$B$24:$B$106,"Unconfirmed")+COUNTIFS('2020'!$L$24:$L$106,A104&amp;" / "&amp;B104,'2020'!$B$24:$B$106,"Unconfirmed")+COUNTIFS('2021'!$L$24:$L$112,A104&amp;" / "&amp;B104,'2021'!$B$24:$B$112,"Unconfirmed")+COUNTIFS('2022'!$L$24:$L$112,A104&amp;" / "&amp;B104,'2022'!$B$24:$B$112,"Unconfirmed")+COUNTIFS('2023'!$L$24:$L$112,A104&amp;" / "&amp;B104,'2023'!$B$24:$B$112,"Unconfirmed")+COUNTIFS('2024'!$L$24:$L$112,A104&amp;" / "&amp;B104,'2024'!$B$24:$B$112,"Unconfirmed")+COUNTIFS('2025'!$L$24:$L$112,A104&amp;" / "&amp;B104,'2025'!$B$24:$B$112,"Unconfirmed")</x:f>
        <x:v>0</x:v>
      </x:c>
    </x:row>
    <x:row r="105" ht="22" customHeight="1">
      <x:c r="A105" s="2" t="str">
        <x:v>Ed</x:v>
      </x:c>
      <x:c r="B105" s="2" t="str">
        <x:v>Troy</x:v>
      </x:c>
      <x:c r="C105" s="2" t="n">
        <x:f>COUNTIFS('2015'!$L$24:$L$96,A105&amp;" / "&amp;B105)+COUNTIFS('2016'!$L$24:$L$96,A105&amp;" / "&amp;B105)+COUNTIFS('2017'!$L$24:$L$106,A105&amp;" / "&amp;B105)+COUNTIFS('2018'!$L$24:$L$106,A105&amp;" / "&amp;B105)+COUNTIFS('2019'!$L$24:$L$106,A105&amp;" / "&amp;B105)+COUNTIFS('2020'!$L$24:$L$106,A105&amp;" / "&amp;B105)+COUNTIFS('2021'!$L$24:$L$112,A105&amp;" / "&amp;B105)+COUNTIFS('2022'!$L$24:$L$112,A105&amp;" / "&amp;B105)+COUNTIFS('2023'!$L$24:$L$112,A105&amp;" / "&amp;B105)+COUNTIFS('2024'!$L$24:$L$112,A105&amp;" / "&amp;B105)+COUNTIFS('2025'!$L$24:$L$112,A105&amp;" / "&amp;B105)</x:f>
        <x:v>1</x:v>
      </x:c>
      <x:c r="D105" s="2" t="n">
        <x:f>COUNTIFS('2015'!$L$24:$L$96,A105&amp;" / "&amp;B105,'2015'!$I$24:$I$96,A105)+COUNTIFS('2016'!$L$24:$L$96,A105&amp;" / "&amp;B105,'2016'!$I$24:$I$96,A105)+COUNTIFS('2017'!$L$24:$L$106,A105&amp;" / "&amp;B105,'2017'!$I$24:$I$106,A105)+COUNTIFS('2018'!$L$24:$L$106,A105&amp;" / "&amp;B105,'2018'!$I$24:$I$106,A105)+COUNTIFS('2019'!$L$24:$L$106,A105&amp;" / "&amp;B105,'2019'!$I$24:$I$106,A105)+COUNTIFS('2020'!$L$24:$L$106,A105&amp;" / "&amp;B105,'2020'!$I$24:$I$106,A105)+COUNTIFS('2021'!$L$24:$L$112,A105&amp;" / "&amp;B105,'2021'!$I$24:$I$112,A105)+COUNTIFS('2022'!$L$24:$L$112,A105&amp;" / "&amp;B105,'2022'!$I$24:$I$112,A105)+COUNTIFS('2023'!$L$24:$L$112,A105&amp;" / "&amp;B105,'2023'!$I$24:$I$112,A105)+COUNTIFS('2024'!$L$24:$L$112,A105&amp;" / "&amp;B105,'2024'!$I$24:$I$112,A105)+COUNTIFS('2025'!$L$24:$L$112,A105&amp;" / "&amp;B105,'2025'!$I$24:$I$112,A105)</x:f>
        <x:v>1</x:v>
      </x:c>
      <x:c r="E105" s="2" t="n">
        <x:f>COUNTIFS('2015'!$L$24:$L$96,A105&amp;" / "&amp;B105,'2015'!$I$24:$I$96,B105)+COUNTIFS('2016'!$L$24:$L$96,A105&amp;" / "&amp;B105,'2016'!$I$24:$I$96,B105)+COUNTIFS('2017'!$L$24:$L$106,A105&amp;" / "&amp;B105,'2017'!$I$24:$I$106,B105)+COUNTIFS('2018'!$L$24:$L$106,A105&amp;" / "&amp;B105,'2018'!$I$24:$I$106,B105)+COUNTIFS('2019'!$L$24:$L$106,A105&amp;" / "&amp;B105,'2019'!$I$24:$I$106,B105)+COUNTIFS('2020'!$L$24:$L$106,A105&amp;" / "&amp;B105,'2020'!$I$24:$I$106,B105)+COUNTIFS('2021'!$L$24:$L$112,A105&amp;" / "&amp;B105,'2021'!$I$24:$I$112,B105)+COUNTIFS('2022'!$L$24:$L$112,A105&amp;" / "&amp;B105,'2022'!$I$24:$I$112,B105)+COUNTIFS('2023'!$L$24:$L$112,A105&amp;" / "&amp;B105,'2023'!$I$24:$I$112,B105)+COUNTIFS('2024'!$L$24:$L$112,A105&amp;" / "&amp;B105,'2024'!$I$24:$I$112,B105)+COUNTIFS('2025'!$L$24:$L$112,A105&amp;" / "&amp;B105,'2025'!$I$24:$I$112,B105)</x:f>
        <x:v>0</x:v>
      </x:c>
      <x:c r="F105" s="2" t="n">
        <x:f>COUNTIFS('2015'!$L$24:$L$96,A105&amp;" / "&amp;B105,'2015'!$K$24:$K$96,1)+COUNTIFS('2016'!$L$24:$L$96,A105&amp;" / "&amp;B105,'2016'!$K$24:$K$96,1)+COUNTIFS('2017'!$L$24:$L$106,A105&amp;" / "&amp;B105,'2017'!$K$24:$K$106,1)+COUNTIFS('2018'!$L$24:$L$106,A105&amp;" / "&amp;B105,'2018'!$K$24:$K$106,1)+COUNTIFS('2019'!$L$24:$L$106,A105&amp;" / "&amp;B105,'2019'!$K$24:$K$106,1)+COUNTIFS('2020'!$L$24:$L$106,A105&amp;" / "&amp;B105,'2020'!$K$24:$K$106,1)+COUNTIFS('2021'!$L$24:$L$112,A105&amp;" / "&amp;B105,'2021'!$K$24:$K$112,1)+COUNTIFS('2022'!$L$24:$L$112,A105&amp;" / "&amp;B105,'2022'!$K$24:$K$112,1)+COUNTIFS('2023'!$L$24:$L$112,A105&amp;" / "&amp;B105,'2023'!$K$24:$K$112,1)+COUNTIFS('2024'!$L$24:$L$112,A105&amp;" / "&amp;B105,'2024'!$K$24:$K$112,1)+COUNTIFS('2025'!$L$24:$L$112,A105&amp;" / "&amp;B105,'2025'!$K$24:$K$112,1)</x:f>
        <x:v>0</x:v>
      </x:c>
      <x:c r="G105" s="25" t="n">
        <x:f>SUMIFS('2015'!$E$24:$E$96,'2015'!$L$24:$L$96,A105&amp;" / "&amp;B105,'2015'!$C$24:$C$96,A105)+SUMIFS('2015'!$H$24:$H$96,'2015'!$L$24:$L$96,A105&amp;" / "&amp;B105,'2015'!$F$24:$F$96,A105)+SUMIFS('2016'!$E$24:$E$96,'2016'!$L$24:$L$96,A105&amp;" / "&amp;B105,'2016'!$C$24:$C$96,A105)+SUMIFS('2016'!$H$24:$H$96,'2016'!$L$24:$L$96,A105&amp;" / "&amp;B105,'2016'!$F$24:$F$96,A105)+SUMIFS('2017'!$E$24:$E$106,'2017'!$L$24:$L$106,A105&amp;" / "&amp;B105,'2017'!$C$24:$C$106,A105)+SUMIFS('2017'!$H$24:$H$106,'2017'!$L$24:$L$106,A105&amp;" / "&amp;B105,'2017'!$F$24:$F$106,A105)+SUMIFS('2018'!$E$24:$E$106,'2018'!$L$24:$L$106,A105&amp;" / "&amp;B105,'2018'!$C$24:$C$106,A105)+SUMIFS('2018'!$H$24:$H$106,'2018'!$L$24:$L$106,A105&amp;" / "&amp;B105,'2018'!$F$24:$F$106,A105)+SUMIFS('2019'!$E$24:$E$106,'2019'!$L$24:$L$106,A105&amp;" / "&amp;B105,'2019'!$C$24:$C$106,A105)+SUMIFS('2019'!$H$24:$H$106,'2019'!$L$24:$L$106,A105&amp;" / "&amp;B105,'2019'!$F$24:$F$106,A105)+SUMIFS('2020'!$E$24:$E$106,'2020'!$L$24:$L$106,A105&amp;" / "&amp;B105,'2020'!$C$24:$C$106,A105)+SUMIFS('2020'!$H$24:$H$106,'2020'!$L$24:$L$106,A105&amp;" / "&amp;B105,'2020'!$F$24:$F$106,A105)+SUMIFS('2021'!$E$24:$E$112,'2021'!$L$24:$L$112,A105&amp;" / "&amp;B105,'2021'!$C$24:$C$112,A105)+SUMIFS('2021'!$H$24:$H$112,'2021'!$L$24:$L$112,A105&amp;" / "&amp;B105,'2021'!$F$24:$F$112,A105)+SUMIFS('2022'!$E$24:$E$112,'2022'!$L$24:$L$112,A105&amp;" / "&amp;B105,'2022'!$C$24:$C$112,A105)+SUMIFS('2022'!$H$24:$H$112,'2022'!$L$24:$L$112,A105&amp;" / "&amp;B105,'2022'!$F$24:$F$112,A105)+SUMIFS('2023'!$E$24:$E$112,'2023'!$L$24:$L$112,A105&amp;" / "&amp;B105,'2023'!$C$24:$C$112,A105)+SUMIFS('2023'!$H$24:$H$112,'2023'!$L$24:$L$112,A105&amp;" / "&amp;B105,'2023'!$F$24:$F$112,A105)+SUMIFS('2024'!$E$24:$E$112,'2024'!$L$24:$L$112,A105&amp;" / "&amp;B105,'2024'!$C$24:$C$112,A105)+SUMIFS('2024'!$H$24:$H$112,'2024'!$L$24:$L$112,A105&amp;" / "&amp;B105,'2024'!$F$24:$F$112,A105)+SUMIFS('2025'!$E$24:$E$112,'2025'!$L$24:$L$112,A105&amp;" / "&amp;B105,'2025'!$C$24:$C$112,A105)+SUMIFS('2025'!$H$24:$H$112,'2025'!$L$24:$L$112,A105&amp;" / "&amp;B105,'2025'!$F$24:$F$112,A105)</x:f>
        <x:v>109</x:v>
      </x:c>
      <x:c r="H105" s="25" t="n">
        <x:f>SUMIFS('2015'!$E$24:$E$96,'2015'!$L$24:$L$96,A105&amp;" / "&amp;B105,'2015'!$C$24:$C$96,B105)+SUMIFS('2015'!$H$24:$H$96,'2015'!$L$24:$L$96,A105&amp;" / "&amp;B105,'2015'!$F$24:$F$96,B105)+SUMIFS('2016'!$E$24:$E$96,'2016'!$L$24:$L$96,A105&amp;" / "&amp;B105,'2016'!$C$24:$C$96,B105)+SUMIFS('2016'!$H$24:$H$96,'2016'!$L$24:$L$96,A105&amp;" / "&amp;B105,'2016'!$F$24:$F$96,B105)+SUMIFS('2017'!$E$24:$E$106,'2017'!$L$24:$L$106,A105&amp;" / "&amp;B105,'2017'!$C$24:$C$106,B105)+SUMIFS('2017'!$H$24:$H$106,'2017'!$L$24:$L$106,A105&amp;" / "&amp;B105,'2017'!$F$24:$F$106,B105)+SUMIFS('2018'!$E$24:$E$106,'2018'!$L$24:$L$106,A105&amp;" / "&amp;B105,'2018'!$C$24:$C$106,B105)+SUMIFS('2018'!$H$24:$H$106,'2018'!$L$24:$L$106,A105&amp;" / "&amp;B105,'2018'!$F$24:$F$106,B105)+SUMIFS('2019'!$E$24:$E$106,'2019'!$L$24:$L$106,A105&amp;" / "&amp;B105,'2019'!$C$24:$C$106,B105)+SUMIFS('2019'!$H$24:$H$106,'2019'!$L$24:$L$106,A105&amp;" / "&amp;B105,'2019'!$F$24:$F$106,B105)+SUMIFS('2020'!$E$24:$E$106,'2020'!$L$24:$L$106,A105&amp;" / "&amp;B105,'2020'!$C$24:$C$106,B105)+SUMIFS('2020'!$H$24:$H$106,'2020'!$L$24:$L$106,A105&amp;" / "&amp;B105,'2020'!$F$24:$F$106,B105)+SUMIFS('2021'!$E$24:$E$112,'2021'!$L$24:$L$112,A105&amp;" / "&amp;B105,'2021'!$C$24:$C$112,B105)+SUMIFS('2021'!$H$24:$H$112,'2021'!$L$24:$L$112,A105&amp;" / "&amp;B105,'2021'!$F$24:$F$112,B105)+SUMIFS('2022'!$E$24:$E$112,'2022'!$L$24:$L$112,A105&amp;" / "&amp;B105,'2022'!$C$24:$C$112,B105)+SUMIFS('2022'!$H$24:$H$112,'2022'!$L$24:$L$112,A105&amp;" / "&amp;B105,'2022'!$F$24:$F$112,B105)+SUMIFS('2023'!$E$24:$E$112,'2023'!$L$24:$L$112,A105&amp;" / "&amp;B105,'2023'!$C$24:$C$112,B105)+SUMIFS('2023'!$H$24:$H$112,'2023'!$L$24:$L$112,A105&amp;" / "&amp;B105,'2023'!$F$24:$F$112,B105)+SUMIFS('2024'!$E$24:$E$112,'2024'!$L$24:$L$112,A105&amp;" / "&amp;B105,'2024'!$C$24:$C$112,B105)+SUMIFS('2024'!$H$24:$H$112,'2024'!$L$24:$L$112,A105&amp;" / "&amp;B105,'2024'!$F$24:$F$112,B105)+SUMIFS('2025'!$E$24:$E$112,'2025'!$L$24:$L$112,A105&amp;" / "&amp;B105,'2025'!$C$24:$C$112,B105)+SUMIFS('2025'!$H$24:$H$112,'2025'!$L$24:$L$112,A105&amp;" / "&amp;B105,'2025'!$F$24:$F$112,B105)</x:f>
        <x:v>97</x:v>
      </x:c>
      <x:c r="I105" s="11" t="n">
        <x:f>IF(C105=0,0,(D105+0.5*F105)/C105)</x:f>
        <x:v>1</x:v>
      </x:c>
      <x:c r="J105" s="2" t="n">
        <x:f>COUNTIFS('2015'!$L$24:$L$96,A105&amp;" / "&amp;B105,'2015'!$B$24:$B$96,"Regular")+COUNTIFS('2016'!$L$24:$L$96,A105&amp;" / "&amp;B105,'2016'!$B$24:$B$96,"Regular")+COUNTIFS('2017'!$L$24:$L$106,A105&amp;" / "&amp;B105,'2017'!$B$24:$B$106,"Regular")+COUNTIFS('2018'!$L$24:$L$106,A105&amp;" / "&amp;B105,'2018'!$B$24:$B$106,"Regular")+COUNTIFS('2019'!$L$24:$L$106,A105&amp;" / "&amp;B105,'2019'!$B$24:$B$106,"Regular")+COUNTIFS('2020'!$L$24:$L$106,A105&amp;" / "&amp;B105,'2020'!$B$24:$B$106,"Regular")+COUNTIFS('2021'!$L$24:$L$112,A105&amp;" / "&amp;B105,'2021'!$B$24:$B$112,"Regular")+COUNTIFS('2022'!$L$24:$L$112,A105&amp;" / "&amp;B105,'2022'!$B$24:$B$112,"Regular")+COUNTIFS('2023'!$L$24:$L$112,A105&amp;" / "&amp;B105,'2023'!$B$24:$B$112,"Regular")+COUNTIFS('2024'!$L$24:$L$112,A105&amp;" / "&amp;B105,'2024'!$B$24:$B$112,"Regular")+COUNTIFS('2025'!$L$24:$L$112,A105&amp;" / "&amp;B105,'2025'!$B$24:$B$112,"Regular")</x:f>
        <x:v>1</x:v>
      </x:c>
      <x:c r="K105" s="2" t="n">
        <x:f>COUNTIFS('2015'!$L$24:$L$96,A105&amp;" / "&amp;B105,'2015'!$B$24:$B$96,"Playoffs")+COUNTIFS('2016'!$L$24:$L$96,A105&amp;" / "&amp;B105,'2016'!$B$24:$B$96,"Playoffs")+COUNTIFS('2017'!$L$24:$L$106,A105&amp;" / "&amp;B105,'2017'!$B$24:$B$106,"Playoffs")+COUNTIFS('2018'!$L$24:$L$106,A105&amp;" / "&amp;B105,'2018'!$B$24:$B$106,"Playoffs")+COUNTIFS('2019'!$L$24:$L$106,A105&amp;" / "&amp;B105,'2019'!$B$24:$B$106,"Playoffs")+COUNTIFS('2020'!$L$24:$L$106,A105&amp;" / "&amp;B105,'2020'!$B$24:$B$106,"Playoffs")+COUNTIFS('2021'!$L$24:$L$112,A105&amp;" / "&amp;B105,'2021'!$B$24:$B$112,"Playoffs")+COUNTIFS('2022'!$L$24:$L$112,A105&amp;" / "&amp;B105,'2022'!$B$24:$B$112,"Playoffs")+COUNTIFS('2023'!$L$24:$L$112,A105&amp;" / "&amp;B105,'2023'!$B$24:$B$112,"Playoffs")+COUNTIFS('2024'!$L$24:$L$112,A105&amp;" / "&amp;B105,'2024'!$B$24:$B$112,"Playoffs")+COUNTIFS('2025'!$L$24:$L$112,A105&amp;" / "&amp;B105,'2025'!$B$24:$B$112,"Playoffs")</x:f>
        <x:v>0</x:v>
      </x:c>
      <x:c r="L105" s="2" t="n">
        <x:f>COUNTIFS('2015'!$L$24:$L$96,A105&amp;" / "&amp;B105,'2015'!$B$24:$B$96,"Unconfirmed")+COUNTIFS('2016'!$L$24:$L$96,A105&amp;" / "&amp;B105,'2016'!$B$24:$B$96,"Unconfirmed")+COUNTIFS('2017'!$L$24:$L$106,A105&amp;" / "&amp;B105,'2017'!$B$24:$B$106,"Unconfirmed")+COUNTIFS('2018'!$L$24:$L$106,A105&amp;" / "&amp;B105,'2018'!$B$24:$B$106,"Unconfirmed")+COUNTIFS('2019'!$L$24:$L$106,A105&amp;" / "&amp;B105,'2019'!$B$24:$B$106,"Unconfirmed")+COUNTIFS('2020'!$L$24:$L$106,A105&amp;" / "&amp;B105,'2020'!$B$24:$B$106,"Unconfirmed")+COUNTIFS('2021'!$L$24:$L$112,A105&amp;" / "&amp;B105,'2021'!$B$24:$B$112,"Unconfirmed")+COUNTIFS('2022'!$L$24:$L$112,A105&amp;" / "&amp;B105,'2022'!$B$24:$B$112,"Unconfirmed")+COUNTIFS('2023'!$L$24:$L$112,A105&amp;" / "&amp;B105,'2023'!$B$24:$B$112,"Unconfirmed")+COUNTIFS('2024'!$L$24:$L$112,A105&amp;" / "&amp;B105,'2024'!$B$24:$B$112,"Unconfirmed")+COUNTIFS('2025'!$L$24:$L$112,A105&amp;" / "&amp;B105,'2025'!$B$24:$B$112,"Unconfirmed")</x:f>
        <x:v>0</x:v>
      </x:c>
    </x:row>
    <x:row r="106" ht="22" customHeight="1">
      <x:c r="A106" s="2" t="str">
        <x:v>Frank</x:v>
      </x:c>
      <x:c r="B106" s="2" t="str">
        <x:v>Josh</x:v>
      </x:c>
      <x:c r="C106" s="2" t="n">
        <x:f>COUNTIFS('2015'!$L$24:$L$96,A106&amp;" / "&amp;B106)+COUNTIFS('2016'!$L$24:$L$96,A106&amp;" / "&amp;B106)+COUNTIFS('2017'!$L$24:$L$106,A106&amp;" / "&amp;B106)+COUNTIFS('2018'!$L$24:$L$106,A106&amp;" / "&amp;B106)+COUNTIFS('2019'!$L$24:$L$106,A106&amp;" / "&amp;B106)+COUNTIFS('2020'!$L$24:$L$106,A106&amp;" / "&amp;B106)+COUNTIFS('2021'!$L$24:$L$112,A106&amp;" / "&amp;B106)+COUNTIFS('2022'!$L$24:$L$112,A106&amp;" / "&amp;B106)+COUNTIFS('2023'!$L$24:$L$112,A106&amp;" / "&amp;B106)+COUNTIFS('2024'!$L$24:$L$112,A106&amp;" / "&amp;B106)+COUNTIFS('2025'!$L$24:$L$112,A106&amp;" / "&amp;B106)</x:f>
        <x:v>10</x:v>
      </x:c>
      <x:c r="D106" s="2" t="n">
        <x:f>COUNTIFS('2015'!$L$24:$L$96,A106&amp;" / "&amp;B106,'2015'!$I$24:$I$96,A106)+COUNTIFS('2016'!$L$24:$L$96,A106&amp;" / "&amp;B106,'2016'!$I$24:$I$96,A106)+COUNTIFS('2017'!$L$24:$L$106,A106&amp;" / "&amp;B106,'2017'!$I$24:$I$106,A106)+COUNTIFS('2018'!$L$24:$L$106,A106&amp;" / "&amp;B106,'2018'!$I$24:$I$106,A106)+COUNTIFS('2019'!$L$24:$L$106,A106&amp;" / "&amp;B106,'2019'!$I$24:$I$106,A106)+COUNTIFS('2020'!$L$24:$L$106,A106&amp;" / "&amp;B106,'2020'!$I$24:$I$106,A106)+COUNTIFS('2021'!$L$24:$L$112,A106&amp;" / "&amp;B106,'2021'!$I$24:$I$112,A106)+COUNTIFS('2022'!$L$24:$L$112,A106&amp;" / "&amp;B106,'2022'!$I$24:$I$112,A106)+COUNTIFS('2023'!$L$24:$L$112,A106&amp;" / "&amp;B106,'2023'!$I$24:$I$112,A106)+COUNTIFS('2024'!$L$24:$L$112,A106&amp;" / "&amp;B106,'2024'!$I$24:$I$112,A106)+COUNTIFS('2025'!$L$24:$L$112,A106&amp;" / "&amp;B106,'2025'!$I$24:$I$112,A106)</x:f>
        <x:v>3</x:v>
      </x:c>
      <x:c r="E106" s="2" t="n">
        <x:f>COUNTIFS('2015'!$L$24:$L$96,A106&amp;" / "&amp;B106,'2015'!$I$24:$I$96,B106)+COUNTIFS('2016'!$L$24:$L$96,A106&amp;" / "&amp;B106,'2016'!$I$24:$I$96,B106)+COUNTIFS('2017'!$L$24:$L$106,A106&amp;" / "&amp;B106,'2017'!$I$24:$I$106,B106)+COUNTIFS('2018'!$L$24:$L$106,A106&amp;" / "&amp;B106,'2018'!$I$24:$I$106,B106)+COUNTIFS('2019'!$L$24:$L$106,A106&amp;" / "&amp;B106,'2019'!$I$24:$I$106,B106)+COUNTIFS('2020'!$L$24:$L$106,A106&amp;" / "&amp;B106,'2020'!$I$24:$I$106,B106)+COUNTIFS('2021'!$L$24:$L$112,A106&amp;" / "&amp;B106,'2021'!$I$24:$I$112,B106)+COUNTIFS('2022'!$L$24:$L$112,A106&amp;" / "&amp;B106,'2022'!$I$24:$I$112,B106)+COUNTIFS('2023'!$L$24:$L$112,A106&amp;" / "&amp;B106,'2023'!$I$24:$I$112,B106)+COUNTIFS('2024'!$L$24:$L$112,A106&amp;" / "&amp;B106,'2024'!$I$24:$I$112,B106)+COUNTIFS('2025'!$L$24:$L$112,A106&amp;" / "&amp;B106,'2025'!$I$24:$I$112,B106)</x:f>
        <x:v>7</x:v>
      </x:c>
      <x:c r="F106" s="2" t="n">
        <x:f>COUNTIFS('2015'!$L$24:$L$96,A106&amp;" / "&amp;B106,'2015'!$K$24:$K$96,1)+COUNTIFS('2016'!$L$24:$L$96,A106&amp;" / "&amp;B106,'2016'!$K$24:$K$96,1)+COUNTIFS('2017'!$L$24:$L$106,A106&amp;" / "&amp;B106,'2017'!$K$24:$K$106,1)+COUNTIFS('2018'!$L$24:$L$106,A106&amp;" / "&amp;B106,'2018'!$K$24:$K$106,1)+COUNTIFS('2019'!$L$24:$L$106,A106&amp;" / "&amp;B106,'2019'!$K$24:$K$106,1)+COUNTIFS('2020'!$L$24:$L$106,A106&amp;" / "&amp;B106,'2020'!$K$24:$K$106,1)+COUNTIFS('2021'!$L$24:$L$112,A106&amp;" / "&amp;B106,'2021'!$K$24:$K$112,1)+COUNTIFS('2022'!$L$24:$L$112,A106&amp;" / "&amp;B106,'2022'!$K$24:$K$112,1)+COUNTIFS('2023'!$L$24:$L$112,A106&amp;" / "&amp;B106,'2023'!$K$24:$K$112,1)+COUNTIFS('2024'!$L$24:$L$112,A106&amp;" / "&amp;B106,'2024'!$K$24:$K$112,1)+COUNTIFS('2025'!$L$24:$L$112,A106&amp;" / "&amp;B106,'2025'!$K$24:$K$112,1)</x:f>
        <x:v>0</x:v>
      </x:c>
      <x:c r="G106" s="25" t="n">
        <x:f>SUMIFS('2015'!$E$24:$E$96,'2015'!$L$24:$L$96,A106&amp;" / "&amp;B106,'2015'!$C$24:$C$96,A106)+SUMIFS('2015'!$H$24:$H$96,'2015'!$L$24:$L$96,A106&amp;" / "&amp;B106,'2015'!$F$24:$F$96,A106)+SUMIFS('2016'!$E$24:$E$96,'2016'!$L$24:$L$96,A106&amp;" / "&amp;B106,'2016'!$C$24:$C$96,A106)+SUMIFS('2016'!$H$24:$H$96,'2016'!$L$24:$L$96,A106&amp;" / "&amp;B106,'2016'!$F$24:$F$96,A106)+SUMIFS('2017'!$E$24:$E$106,'2017'!$L$24:$L$106,A106&amp;" / "&amp;B106,'2017'!$C$24:$C$106,A106)+SUMIFS('2017'!$H$24:$H$106,'2017'!$L$24:$L$106,A106&amp;" / "&amp;B106,'2017'!$F$24:$F$106,A106)+SUMIFS('2018'!$E$24:$E$106,'2018'!$L$24:$L$106,A106&amp;" / "&amp;B106,'2018'!$C$24:$C$106,A106)+SUMIFS('2018'!$H$24:$H$106,'2018'!$L$24:$L$106,A106&amp;" / "&amp;B106,'2018'!$F$24:$F$106,A106)+SUMIFS('2019'!$E$24:$E$106,'2019'!$L$24:$L$106,A106&amp;" / "&amp;B106,'2019'!$C$24:$C$106,A106)+SUMIFS('2019'!$H$24:$H$106,'2019'!$L$24:$L$106,A106&amp;" / "&amp;B106,'2019'!$F$24:$F$106,A106)+SUMIFS('2020'!$E$24:$E$106,'2020'!$L$24:$L$106,A106&amp;" / "&amp;B106,'2020'!$C$24:$C$106,A106)+SUMIFS('2020'!$H$24:$H$106,'2020'!$L$24:$L$106,A106&amp;" / "&amp;B106,'2020'!$F$24:$F$106,A106)+SUMIFS('2021'!$E$24:$E$112,'2021'!$L$24:$L$112,A106&amp;" / "&amp;B106,'2021'!$C$24:$C$112,A106)+SUMIFS('2021'!$H$24:$H$112,'2021'!$L$24:$L$112,A106&amp;" / "&amp;B106,'2021'!$F$24:$F$112,A106)+SUMIFS('2022'!$E$24:$E$112,'2022'!$L$24:$L$112,A106&amp;" / "&amp;B106,'2022'!$C$24:$C$112,A106)+SUMIFS('2022'!$H$24:$H$112,'2022'!$L$24:$L$112,A106&amp;" / "&amp;B106,'2022'!$F$24:$F$112,A106)+SUMIFS('2023'!$E$24:$E$112,'2023'!$L$24:$L$112,A106&amp;" / "&amp;B106,'2023'!$C$24:$C$112,A106)+SUMIFS('2023'!$H$24:$H$112,'2023'!$L$24:$L$112,A106&amp;" / "&amp;B106,'2023'!$F$24:$F$112,A106)+SUMIFS('2024'!$E$24:$E$112,'2024'!$L$24:$L$112,A106&amp;" / "&amp;B106,'2024'!$C$24:$C$112,A106)+SUMIFS('2024'!$H$24:$H$112,'2024'!$L$24:$L$112,A106&amp;" / "&amp;B106,'2024'!$F$24:$F$112,A106)+SUMIFS('2025'!$E$24:$E$112,'2025'!$L$24:$L$112,A106&amp;" / "&amp;B106,'2025'!$C$24:$C$112,A106)+SUMIFS('2025'!$H$24:$H$112,'2025'!$L$24:$L$112,A106&amp;" / "&amp;B106,'2025'!$F$24:$F$112,A106)</x:f>
        <x:v>1234.35</x:v>
      </x:c>
      <x:c r="H106" s="25" t="n">
        <x:f>SUMIFS('2015'!$E$24:$E$96,'2015'!$L$24:$L$96,A106&amp;" / "&amp;B106,'2015'!$C$24:$C$96,B106)+SUMIFS('2015'!$H$24:$H$96,'2015'!$L$24:$L$96,A106&amp;" / "&amp;B106,'2015'!$F$24:$F$96,B106)+SUMIFS('2016'!$E$24:$E$96,'2016'!$L$24:$L$96,A106&amp;" / "&amp;B106,'2016'!$C$24:$C$96,B106)+SUMIFS('2016'!$H$24:$H$96,'2016'!$L$24:$L$96,A106&amp;" / "&amp;B106,'2016'!$F$24:$F$96,B106)+SUMIFS('2017'!$E$24:$E$106,'2017'!$L$24:$L$106,A106&amp;" / "&amp;B106,'2017'!$C$24:$C$106,B106)+SUMIFS('2017'!$H$24:$H$106,'2017'!$L$24:$L$106,A106&amp;" / "&amp;B106,'2017'!$F$24:$F$106,B106)+SUMIFS('2018'!$E$24:$E$106,'2018'!$L$24:$L$106,A106&amp;" / "&amp;B106,'2018'!$C$24:$C$106,B106)+SUMIFS('2018'!$H$24:$H$106,'2018'!$L$24:$L$106,A106&amp;" / "&amp;B106,'2018'!$F$24:$F$106,B106)+SUMIFS('2019'!$E$24:$E$106,'2019'!$L$24:$L$106,A106&amp;" / "&amp;B106,'2019'!$C$24:$C$106,B106)+SUMIFS('2019'!$H$24:$H$106,'2019'!$L$24:$L$106,A106&amp;" / "&amp;B106,'2019'!$F$24:$F$106,B106)+SUMIFS('2020'!$E$24:$E$106,'2020'!$L$24:$L$106,A106&amp;" / "&amp;B106,'2020'!$C$24:$C$106,B106)+SUMIFS('2020'!$H$24:$H$106,'2020'!$L$24:$L$106,A106&amp;" / "&amp;B106,'2020'!$F$24:$F$106,B106)+SUMIFS('2021'!$E$24:$E$112,'2021'!$L$24:$L$112,A106&amp;" / "&amp;B106,'2021'!$C$24:$C$112,B106)+SUMIFS('2021'!$H$24:$H$112,'2021'!$L$24:$L$112,A106&amp;" / "&amp;B106,'2021'!$F$24:$F$112,B106)+SUMIFS('2022'!$E$24:$E$112,'2022'!$L$24:$L$112,A106&amp;" / "&amp;B106,'2022'!$C$24:$C$112,B106)+SUMIFS('2022'!$H$24:$H$112,'2022'!$L$24:$L$112,A106&amp;" / "&amp;B106,'2022'!$F$24:$F$112,B106)+SUMIFS('2023'!$E$24:$E$112,'2023'!$L$24:$L$112,A106&amp;" / "&amp;B106,'2023'!$C$24:$C$112,B106)+SUMIFS('2023'!$H$24:$H$112,'2023'!$L$24:$L$112,A106&amp;" / "&amp;B106,'2023'!$F$24:$F$112,B106)+SUMIFS('2024'!$E$24:$E$112,'2024'!$L$24:$L$112,A106&amp;" / "&amp;B106,'2024'!$C$24:$C$112,B106)+SUMIFS('2024'!$H$24:$H$112,'2024'!$L$24:$L$112,A106&amp;" / "&amp;B106,'2024'!$F$24:$F$112,B106)+SUMIFS('2025'!$E$24:$E$112,'2025'!$L$24:$L$112,A106&amp;" / "&amp;B106,'2025'!$C$24:$C$112,B106)+SUMIFS('2025'!$H$24:$H$112,'2025'!$L$24:$L$112,A106&amp;" / "&amp;B106,'2025'!$F$24:$F$112,B106)</x:f>
        <x:v>1246.05</x:v>
      </x:c>
      <x:c r="I106" s="11" t="n">
        <x:f>IF(C106=0,0,(D106+0.5*F106)/C106)</x:f>
        <x:v>0.3</x:v>
      </x:c>
      <x:c r="J106" s="2" t="n">
        <x:f>COUNTIFS('2015'!$L$24:$L$96,A106&amp;" / "&amp;B106,'2015'!$B$24:$B$96,"Regular")+COUNTIFS('2016'!$L$24:$L$96,A106&amp;" / "&amp;B106,'2016'!$B$24:$B$96,"Regular")+COUNTIFS('2017'!$L$24:$L$106,A106&amp;" / "&amp;B106,'2017'!$B$24:$B$106,"Regular")+COUNTIFS('2018'!$L$24:$L$106,A106&amp;" / "&amp;B106,'2018'!$B$24:$B$106,"Regular")+COUNTIFS('2019'!$L$24:$L$106,A106&amp;" / "&amp;B106,'2019'!$B$24:$B$106,"Regular")+COUNTIFS('2020'!$L$24:$L$106,A106&amp;" / "&amp;B106,'2020'!$B$24:$B$106,"Regular")+COUNTIFS('2021'!$L$24:$L$112,A106&amp;" / "&amp;B106,'2021'!$B$24:$B$112,"Regular")+COUNTIFS('2022'!$L$24:$L$112,A106&amp;" / "&amp;B106,'2022'!$B$24:$B$112,"Regular")+COUNTIFS('2023'!$L$24:$L$112,A106&amp;" / "&amp;B106,'2023'!$B$24:$B$112,"Regular")+COUNTIFS('2024'!$L$24:$L$112,A106&amp;" / "&amp;B106,'2024'!$B$24:$B$112,"Regular")+COUNTIFS('2025'!$L$24:$L$112,A106&amp;" / "&amp;B106,'2025'!$B$24:$B$112,"Regular")</x:f>
        <x:v>10</x:v>
      </x:c>
      <x:c r="K106" s="2" t="n">
        <x:f>COUNTIFS('2015'!$L$24:$L$96,A106&amp;" / "&amp;B106,'2015'!$B$24:$B$96,"Playoffs")+COUNTIFS('2016'!$L$24:$L$96,A106&amp;" / "&amp;B106,'2016'!$B$24:$B$96,"Playoffs")+COUNTIFS('2017'!$L$24:$L$106,A106&amp;" / "&amp;B106,'2017'!$B$24:$B$106,"Playoffs")+COUNTIFS('2018'!$L$24:$L$106,A106&amp;" / "&amp;B106,'2018'!$B$24:$B$106,"Playoffs")+COUNTIFS('2019'!$L$24:$L$106,A106&amp;" / "&amp;B106,'2019'!$B$24:$B$106,"Playoffs")+COUNTIFS('2020'!$L$24:$L$106,A106&amp;" / "&amp;B106,'2020'!$B$24:$B$106,"Playoffs")+COUNTIFS('2021'!$L$24:$L$112,A106&amp;" / "&amp;B106,'2021'!$B$24:$B$112,"Playoffs")+COUNTIFS('2022'!$L$24:$L$112,A106&amp;" / "&amp;B106,'2022'!$B$24:$B$112,"Playoffs")+COUNTIFS('2023'!$L$24:$L$112,A106&amp;" / "&amp;B106,'2023'!$B$24:$B$112,"Playoffs")+COUNTIFS('2024'!$L$24:$L$112,A106&amp;" / "&amp;B106,'2024'!$B$24:$B$112,"Playoffs")+COUNTIFS('2025'!$L$24:$L$112,A106&amp;" / "&amp;B106,'2025'!$B$24:$B$112,"Playoffs")</x:f>
        <x:v>0</x:v>
      </x:c>
      <x:c r="L106" s="2" t="n">
        <x:f>COUNTIFS('2015'!$L$24:$L$96,A106&amp;" / "&amp;B106,'2015'!$B$24:$B$96,"Unconfirmed")+COUNTIFS('2016'!$L$24:$L$96,A106&amp;" / "&amp;B106,'2016'!$B$24:$B$96,"Unconfirmed")+COUNTIFS('2017'!$L$24:$L$106,A106&amp;" / "&amp;B106,'2017'!$B$24:$B$106,"Unconfirmed")+COUNTIFS('2018'!$L$24:$L$106,A106&amp;" / "&amp;B106,'2018'!$B$24:$B$106,"Unconfirmed")+COUNTIFS('2019'!$L$24:$L$106,A106&amp;" / "&amp;B106,'2019'!$B$24:$B$106,"Unconfirmed")+COUNTIFS('2020'!$L$24:$L$106,A106&amp;" / "&amp;B106,'2020'!$B$24:$B$106,"Unconfirmed")+COUNTIFS('2021'!$L$24:$L$112,A106&amp;" / "&amp;B106,'2021'!$B$24:$B$112,"Unconfirmed")+COUNTIFS('2022'!$L$24:$L$112,A106&amp;" / "&amp;B106,'2022'!$B$24:$B$112,"Unconfirmed")+COUNTIFS('2023'!$L$24:$L$112,A106&amp;" / "&amp;B106,'2023'!$B$24:$B$112,"Unconfirmed")+COUNTIFS('2024'!$L$24:$L$112,A106&amp;" / "&amp;B106,'2024'!$B$24:$B$112,"Unconfirmed")+COUNTIFS('2025'!$L$24:$L$112,A106&amp;" / "&amp;B106,'2025'!$B$24:$B$112,"Unconfirmed")</x:f>
        <x:v>0</x:v>
      </x:c>
    </x:row>
    <x:row r="107" ht="22" customHeight="1">
      <x:c r="A107" s="2" t="str">
        <x:v>Frank</x:v>
      </x:c>
      <x:c r="B107" s="2" t="str">
        <x:v>Mark</x:v>
      </x:c>
      <x:c r="C107" s="2" t="n">
        <x:f>COUNTIFS('2015'!$L$24:$L$96,A107&amp;" / "&amp;B107)+COUNTIFS('2016'!$L$24:$L$96,A107&amp;" / "&amp;B107)+COUNTIFS('2017'!$L$24:$L$106,A107&amp;" / "&amp;B107)+COUNTIFS('2018'!$L$24:$L$106,A107&amp;" / "&amp;B107)+COUNTIFS('2019'!$L$24:$L$106,A107&amp;" / "&amp;B107)+COUNTIFS('2020'!$L$24:$L$106,A107&amp;" / "&amp;B107)+COUNTIFS('2021'!$L$24:$L$112,A107&amp;" / "&amp;B107)+COUNTIFS('2022'!$L$24:$L$112,A107&amp;" / "&amp;B107)+COUNTIFS('2023'!$L$24:$L$112,A107&amp;" / "&amp;B107)+COUNTIFS('2024'!$L$24:$L$112,A107&amp;" / "&amp;B107)+COUNTIFS('2025'!$L$24:$L$112,A107&amp;" / "&amp;B107)</x:f>
        <x:v>11</x:v>
      </x:c>
      <x:c r="D107" s="2" t="n">
        <x:f>COUNTIFS('2015'!$L$24:$L$96,A107&amp;" / "&amp;B107,'2015'!$I$24:$I$96,A107)+COUNTIFS('2016'!$L$24:$L$96,A107&amp;" / "&amp;B107,'2016'!$I$24:$I$96,A107)+COUNTIFS('2017'!$L$24:$L$106,A107&amp;" / "&amp;B107,'2017'!$I$24:$I$106,A107)+COUNTIFS('2018'!$L$24:$L$106,A107&amp;" / "&amp;B107,'2018'!$I$24:$I$106,A107)+COUNTIFS('2019'!$L$24:$L$106,A107&amp;" / "&amp;B107,'2019'!$I$24:$I$106,A107)+COUNTIFS('2020'!$L$24:$L$106,A107&amp;" / "&amp;B107,'2020'!$I$24:$I$106,A107)+COUNTIFS('2021'!$L$24:$L$112,A107&amp;" / "&amp;B107,'2021'!$I$24:$I$112,A107)+COUNTIFS('2022'!$L$24:$L$112,A107&amp;" / "&amp;B107,'2022'!$I$24:$I$112,A107)+COUNTIFS('2023'!$L$24:$L$112,A107&amp;" / "&amp;B107,'2023'!$I$24:$I$112,A107)+COUNTIFS('2024'!$L$24:$L$112,A107&amp;" / "&amp;B107,'2024'!$I$24:$I$112,A107)+COUNTIFS('2025'!$L$24:$L$112,A107&amp;" / "&amp;B107,'2025'!$I$24:$I$112,A107)</x:f>
        <x:v>4</x:v>
      </x:c>
      <x:c r="E107" s="2" t="n">
        <x:f>COUNTIFS('2015'!$L$24:$L$96,A107&amp;" / "&amp;B107,'2015'!$I$24:$I$96,B107)+COUNTIFS('2016'!$L$24:$L$96,A107&amp;" / "&amp;B107,'2016'!$I$24:$I$96,B107)+COUNTIFS('2017'!$L$24:$L$106,A107&amp;" / "&amp;B107,'2017'!$I$24:$I$106,B107)+COUNTIFS('2018'!$L$24:$L$106,A107&amp;" / "&amp;B107,'2018'!$I$24:$I$106,B107)+COUNTIFS('2019'!$L$24:$L$106,A107&amp;" / "&amp;B107,'2019'!$I$24:$I$106,B107)+COUNTIFS('2020'!$L$24:$L$106,A107&amp;" / "&amp;B107,'2020'!$I$24:$I$106,B107)+COUNTIFS('2021'!$L$24:$L$112,A107&amp;" / "&amp;B107,'2021'!$I$24:$I$112,B107)+COUNTIFS('2022'!$L$24:$L$112,A107&amp;" / "&amp;B107,'2022'!$I$24:$I$112,B107)+COUNTIFS('2023'!$L$24:$L$112,A107&amp;" / "&amp;B107,'2023'!$I$24:$I$112,B107)+COUNTIFS('2024'!$L$24:$L$112,A107&amp;" / "&amp;B107,'2024'!$I$24:$I$112,B107)+COUNTIFS('2025'!$L$24:$L$112,A107&amp;" / "&amp;B107,'2025'!$I$24:$I$112,B107)</x:f>
        <x:v>7</x:v>
      </x:c>
      <x:c r="F107" s="2" t="n">
        <x:f>COUNTIFS('2015'!$L$24:$L$96,A107&amp;" / "&amp;B107,'2015'!$K$24:$K$96,1)+COUNTIFS('2016'!$L$24:$L$96,A107&amp;" / "&amp;B107,'2016'!$K$24:$K$96,1)+COUNTIFS('2017'!$L$24:$L$106,A107&amp;" / "&amp;B107,'2017'!$K$24:$K$106,1)+COUNTIFS('2018'!$L$24:$L$106,A107&amp;" / "&amp;B107,'2018'!$K$24:$K$106,1)+COUNTIFS('2019'!$L$24:$L$106,A107&amp;" / "&amp;B107,'2019'!$K$24:$K$106,1)+COUNTIFS('2020'!$L$24:$L$106,A107&amp;" / "&amp;B107,'2020'!$K$24:$K$106,1)+COUNTIFS('2021'!$L$24:$L$112,A107&amp;" / "&amp;B107,'2021'!$K$24:$K$112,1)+COUNTIFS('2022'!$L$24:$L$112,A107&amp;" / "&amp;B107,'2022'!$K$24:$K$112,1)+COUNTIFS('2023'!$L$24:$L$112,A107&amp;" / "&amp;B107,'2023'!$K$24:$K$112,1)+COUNTIFS('2024'!$L$24:$L$112,A107&amp;" / "&amp;B107,'2024'!$K$24:$K$112,1)+COUNTIFS('2025'!$L$24:$L$112,A107&amp;" / "&amp;B107,'2025'!$K$24:$K$112,1)</x:f>
        <x:v>0</x:v>
      </x:c>
      <x:c r="G107" s="25" t="n">
        <x:f>SUMIFS('2015'!$E$24:$E$96,'2015'!$L$24:$L$96,A107&amp;" / "&amp;B107,'2015'!$C$24:$C$96,A107)+SUMIFS('2015'!$H$24:$H$96,'2015'!$L$24:$L$96,A107&amp;" / "&amp;B107,'2015'!$F$24:$F$96,A107)+SUMIFS('2016'!$E$24:$E$96,'2016'!$L$24:$L$96,A107&amp;" / "&amp;B107,'2016'!$C$24:$C$96,A107)+SUMIFS('2016'!$H$24:$H$96,'2016'!$L$24:$L$96,A107&amp;" / "&amp;B107,'2016'!$F$24:$F$96,A107)+SUMIFS('2017'!$E$24:$E$106,'2017'!$L$24:$L$106,A107&amp;" / "&amp;B107,'2017'!$C$24:$C$106,A107)+SUMIFS('2017'!$H$24:$H$106,'2017'!$L$24:$L$106,A107&amp;" / "&amp;B107,'2017'!$F$24:$F$106,A107)+SUMIFS('2018'!$E$24:$E$106,'2018'!$L$24:$L$106,A107&amp;" / "&amp;B107,'2018'!$C$24:$C$106,A107)+SUMIFS('2018'!$H$24:$H$106,'2018'!$L$24:$L$106,A107&amp;" / "&amp;B107,'2018'!$F$24:$F$106,A107)+SUMIFS('2019'!$E$24:$E$106,'2019'!$L$24:$L$106,A107&amp;" / "&amp;B107,'2019'!$C$24:$C$106,A107)+SUMIFS('2019'!$H$24:$H$106,'2019'!$L$24:$L$106,A107&amp;" / "&amp;B107,'2019'!$F$24:$F$106,A107)+SUMIFS('2020'!$E$24:$E$106,'2020'!$L$24:$L$106,A107&amp;" / "&amp;B107,'2020'!$C$24:$C$106,A107)+SUMIFS('2020'!$H$24:$H$106,'2020'!$L$24:$L$106,A107&amp;" / "&amp;B107,'2020'!$F$24:$F$106,A107)+SUMIFS('2021'!$E$24:$E$112,'2021'!$L$24:$L$112,A107&amp;" / "&amp;B107,'2021'!$C$24:$C$112,A107)+SUMIFS('2021'!$H$24:$H$112,'2021'!$L$24:$L$112,A107&amp;" / "&amp;B107,'2021'!$F$24:$F$112,A107)+SUMIFS('2022'!$E$24:$E$112,'2022'!$L$24:$L$112,A107&amp;" / "&amp;B107,'2022'!$C$24:$C$112,A107)+SUMIFS('2022'!$H$24:$H$112,'2022'!$L$24:$L$112,A107&amp;" / "&amp;B107,'2022'!$F$24:$F$112,A107)+SUMIFS('2023'!$E$24:$E$112,'2023'!$L$24:$L$112,A107&amp;" / "&amp;B107,'2023'!$C$24:$C$112,A107)+SUMIFS('2023'!$H$24:$H$112,'2023'!$L$24:$L$112,A107&amp;" / "&amp;B107,'2023'!$F$24:$F$112,A107)+SUMIFS('2024'!$E$24:$E$112,'2024'!$L$24:$L$112,A107&amp;" / "&amp;B107,'2024'!$C$24:$C$112,A107)+SUMIFS('2024'!$H$24:$H$112,'2024'!$L$24:$L$112,A107&amp;" / "&amp;B107,'2024'!$F$24:$F$112,A107)+SUMIFS('2025'!$E$24:$E$112,'2025'!$L$24:$L$112,A107&amp;" / "&amp;B107,'2025'!$C$24:$C$112,A107)+SUMIFS('2025'!$H$24:$H$112,'2025'!$L$24:$L$112,A107&amp;" / "&amp;B107,'2025'!$F$24:$F$112,A107)</x:f>
        <x:v>1123.3999999999999</x:v>
      </x:c>
      <x:c r="H107" s="25" t="n">
        <x:f>SUMIFS('2015'!$E$24:$E$96,'2015'!$L$24:$L$96,A107&amp;" / "&amp;B107,'2015'!$C$24:$C$96,B107)+SUMIFS('2015'!$H$24:$H$96,'2015'!$L$24:$L$96,A107&amp;" / "&amp;B107,'2015'!$F$24:$F$96,B107)+SUMIFS('2016'!$E$24:$E$96,'2016'!$L$24:$L$96,A107&amp;" / "&amp;B107,'2016'!$C$24:$C$96,B107)+SUMIFS('2016'!$H$24:$H$96,'2016'!$L$24:$L$96,A107&amp;" / "&amp;B107,'2016'!$F$24:$F$96,B107)+SUMIFS('2017'!$E$24:$E$106,'2017'!$L$24:$L$106,A107&amp;" / "&amp;B107,'2017'!$C$24:$C$106,B107)+SUMIFS('2017'!$H$24:$H$106,'2017'!$L$24:$L$106,A107&amp;" / "&amp;B107,'2017'!$F$24:$F$106,B107)+SUMIFS('2018'!$E$24:$E$106,'2018'!$L$24:$L$106,A107&amp;" / "&amp;B107,'2018'!$C$24:$C$106,B107)+SUMIFS('2018'!$H$24:$H$106,'2018'!$L$24:$L$106,A107&amp;" / "&amp;B107,'2018'!$F$24:$F$106,B107)+SUMIFS('2019'!$E$24:$E$106,'2019'!$L$24:$L$106,A107&amp;" / "&amp;B107,'2019'!$C$24:$C$106,B107)+SUMIFS('2019'!$H$24:$H$106,'2019'!$L$24:$L$106,A107&amp;" / "&amp;B107,'2019'!$F$24:$F$106,B107)+SUMIFS('2020'!$E$24:$E$106,'2020'!$L$24:$L$106,A107&amp;" / "&amp;B107,'2020'!$C$24:$C$106,B107)+SUMIFS('2020'!$H$24:$H$106,'2020'!$L$24:$L$106,A107&amp;" / "&amp;B107,'2020'!$F$24:$F$106,B107)+SUMIFS('2021'!$E$24:$E$112,'2021'!$L$24:$L$112,A107&amp;" / "&amp;B107,'2021'!$C$24:$C$112,B107)+SUMIFS('2021'!$H$24:$H$112,'2021'!$L$24:$L$112,A107&amp;" / "&amp;B107,'2021'!$F$24:$F$112,B107)+SUMIFS('2022'!$E$24:$E$112,'2022'!$L$24:$L$112,A107&amp;" / "&amp;B107,'2022'!$C$24:$C$112,B107)+SUMIFS('2022'!$H$24:$H$112,'2022'!$L$24:$L$112,A107&amp;" / "&amp;B107,'2022'!$F$24:$F$112,B107)+SUMIFS('2023'!$E$24:$E$112,'2023'!$L$24:$L$112,A107&amp;" / "&amp;B107,'2023'!$C$24:$C$112,B107)+SUMIFS('2023'!$H$24:$H$112,'2023'!$L$24:$L$112,A107&amp;" / "&amp;B107,'2023'!$F$24:$F$112,B107)+SUMIFS('2024'!$E$24:$E$112,'2024'!$L$24:$L$112,A107&amp;" / "&amp;B107,'2024'!$C$24:$C$112,B107)+SUMIFS('2024'!$H$24:$H$112,'2024'!$L$24:$L$112,A107&amp;" / "&amp;B107,'2024'!$F$24:$F$112,B107)+SUMIFS('2025'!$E$24:$E$112,'2025'!$L$24:$L$112,A107&amp;" / "&amp;B107,'2025'!$C$24:$C$112,B107)+SUMIFS('2025'!$H$24:$H$112,'2025'!$L$24:$L$112,A107&amp;" / "&amp;B107,'2025'!$F$24:$F$112,B107)</x:f>
        <x:v>1278.3</x:v>
      </x:c>
      <x:c r="I107" s="11" t="n">
        <x:f>IF(C107=0,0,(D107+0.5*F107)/C107)</x:f>
        <x:v>0.36363636363636365</x:v>
      </x:c>
      <x:c r="J107" s="2" t="n">
        <x:f>COUNTIFS('2015'!$L$24:$L$96,A107&amp;" / "&amp;B107,'2015'!$B$24:$B$96,"Regular")+COUNTIFS('2016'!$L$24:$L$96,A107&amp;" / "&amp;B107,'2016'!$B$24:$B$96,"Regular")+COUNTIFS('2017'!$L$24:$L$106,A107&amp;" / "&amp;B107,'2017'!$B$24:$B$106,"Regular")+COUNTIFS('2018'!$L$24:$L$106,A107&amp;" / "&amp;B107,'2018'!$B$24:$B$106,"Regular")+COUNTIFS('2019'!$L$24:$L$106,A107&amp;" / "&amp;B107,'2019'!$B$24:$B$106,"Regular")+COUNTIFS('2020'!$L$24:$L$106,A107&amp;" / "&amp;B107,'2020'!$B$24:$B$106,"Regular")+COUNTIFS('2021'!$L$24:$L$112,A107&amp;" / "&amp;B107,'2021'!$B$24:$B$112,"Regular")+COUNTIFS('2022'!$L$24:$L$112,A107&amp;" / "&amp;B107,'2022'!$B$24:$B$112,"Regular")+COUNTIFS('2023'!$L$24:$L$112,A107&amp;" / "&amp;B107,'2023'!$B$24:$B$112,"Regular")+COUNTIFS('2024'!$L$24:$L$112,A107&amp;" / "&amp;B107,'2024'!$B$24:$B$112,"Regular")+COUNTIFS('2025'!$L$24:$L$112,A107&amp;" / "&amp;B107,'2025'!$B$24:$B$112,"Regular")</x:f>
        <x:v>11</x:v>
      </x:c>
      <x:c r="K107" s="2" t="n">
        <x:f>COUNTIFS('2015'!$L$24:$L$96,A107&amp;" / "&amp;B107,'2015'!$B$24:$B$96,"Playoffs")+COUNTIFS('2016'!$L$24:$L$96,A107&amp;" / "&amp;B107,'2016'!$B$24:$B$96,"Playoffs")+COUNTIFS('2017'!$L$24:$L$106,A107&amp;" / "&amp;B107,'2017'!$B$24:$B$106,"Playoffs")+COUNTIFS('2018'!$L$24:$L$106,A107&amp;" / "&amp;B107,'2018'!$B$24:$B$106,"Playoffs")+COUNTIFS('2019'!$L$24:$L$106,A107&amp;" / "&amp;B107,'2019'!$B$24:$B$106,"Playoffs")+COUNTIFS('2020'!$L$24:$L$106,A107&amp;" / "&amp;B107,'2020'!$B$24:$B$106,"Playoffs")+COUNTIFS('2021'!$L$24:$L$112,A107&amp;" / "&amp;B107,'2021'!$B$24:$B$112,"Playoffs")+COUNTIFS('2022'!$L$24:$L$112,A107&amp;" / "&amp;B107,'2022'!$B$24:$B$112,"Playoffs")+COUNTIFS('2023'!$L$24:$L$112,A107&amp;" / "&amp;B107,'2023'!$B$24:$B$112,"Playoffs")+COUNTIFS('2024'!$L$24:$L$112,A107&amp;" / "&amp;B107,'2024'!$B$24:$B$112,"Playoffs")+COUNTIFS('2025'!$L$24:$L$112,A107&amp;" / "&amp;B107,'2025'!$B$24:$B$112,"Playoffs")</x:f>
        <x:v>0</x:v>
      </x:c>
      <x:c r="L107" s="2" t="n">
        <x:f>COUNTIFS('2015'!$L$24:$L$96,A107&amp;" / "&amp;B107,'2015'!$B$24:$B$96,"Unconfirmed")+COUNTIFS('2016'!$L$24:$L$96,A107&amp;" / "&amp;B107,'2016'!$B$24:$B$96,"Unconfirmed")+COUNTIFS('2017'!$L$24:$L$106,A107&amp;" / "&amp;B107,'2017'!$B$24:$B$106,"Unconfirmed")+COUNTIFS('2018'!$L$24:$L$106,A107&amp;" / "&amp;B107,'2018'!$B$24:$B$106,"Unconfirmed")+COUNTIFS('2019'!$L$24:$L$106,A107&amp;" / "&amp;B107,'2019'!$B$24:$B$106,"Unconfirmed")+COUNTIFS('2020'!$L$24:$L$106,A107&amp;" / "&amp;B107,'2020'!$B$24:$B$106,"Unconfirmed")+COUNTIFS('2021'!$L$24:$L$112,A107&amp;" / "&amp;B107,'2021'!$B$24:$B$112,"Unconfirmed")+COUNTIFS('2022'!$L$24:$L$112,A107&amp;" / "&amp;B107,'2022'!$B$24:$B$112,"Unconfirmed")+COUNTIFS('2023'!$L$24:$L$112,A107&amp;" / "&amp;B107,'2023'!$B$24:$B$112,"Unconfirmed")+COUNTIFS('2024'!$L$24:$L$112,A107&amp;" / "&amp;B107,'2024'!$B$24:$B$112,"Unconfirmed")+COUNTIFS('2025'!$L$24:$L$112,A107&amp;" / "&amp;B107,'2025'!$B$24:$B$112,"Unconfirmed")</x:f>
        <x:v>0</x:v>
      </x:c>
    </x:row>
    <x:row r="108" ht="22" customHeight="1">
      <x:c r="A108" s="2" t="str">
        <x:v>Frank</x:v>
      </x:c>
      <x:c r="B108" s="2" t="str">
        <x:v>Matt</x:v>
      </x:c>
      <x:c r="C108" s="2" t="n">
        <x:f>COUNTIFS('2015'!$L$24:$L$96,A108&amp;" / "&amp;B108)+COUNTIFS('2016'!$L$24:$L$96,A108&amp;" / "&amp;B108)+COUNTIFS('2017'!$L$24:$L$106,A108&amp;" / "&amp;B108)+COUNTIFS('2018'!$L$24:$L$106,A108&amp;" / "&amp;B108)+COUNTIFS('2019'!$L$24:$L$106,A108&amp;" / "&amp;B108)+COUNTIFS('2020'!$L$24:$L$106,A108&amp;" / "&amp;B108)+COUNTIFS('2021'!$L$24:$L$112,A108&amp;" / "&amp;B108)+COUNTIFS('2022'!$L$24:$L$112,A108&amp;" / "&amp;B108)+COUNTIFS('2023'!$L$24:$L$112,A108&amp;" / "&amp;B108)+COUNTIFS('2024'!$L$24:$L$112,A108&amp;" / "&amp;B108)+COUNTIFS('2025'!$L$24:$L$112,A108&amp;" / "&amp;B108)</x:f>
        <x:v>11</x:v>
      </x:c>
      <x:c r="D108" s="2" t="n">
        <x:f>COUNTIFS('2015'!$L$24:$L$96,A108&amp;" / "&amp;B108,'2015'!$I$24:$I$96,A108)+COUNTIFS('2016'!$L$24:$L$96,A108&amp;" / "&amp;B108,'2016'!$I$24:$I$96,A108)+COUNTIFS('2017'!$L$24:$L$106,A108&amp;" / "&amp;B108,'2017'!$I$24:$I$106,A108)+COUNTIFS('2018'!$L$24:$L$106,A108&amp;" / "&amp;B108,'2018'!$I$24:$I$106,A108)+COUNTIFS('2019'!$L$24:$L$106,A108&amp;" / "&amp;B108,'2019'!$I$24:$I$106,A108)+COUNTIFS('2020'!$L$24:$L$106,A108&amp;" / "&amp;B108,'2020'!$I$24:$I$106,A108)+COUNTIFS('2021'!$L$24:$L$112,A108&amp;" / "&amp;B108,'2021'!$I$24:$I$112,A108)+COUNTIFS('2022'!$L$24:$L$112,A108&amp;" / "&amp;B108,'2022'!$I$24:$I$112,A108)+COUNTIFS('2023'!$L$24:$L$112,A108&amp;" / "&amp;B108,'2023'!$I$24:$I$112,A108)+COUNTIFS('2024'!$L$24:$L$112,A108&amp;" / "&amp;B108,'2024'!$I$24:$I$112,A108)+COUNTIFS('2025'!$L$24:$L$112,A108&amp;" / "&amp;B108,'2025'!$I$24:$I$112,A108)</x:f>
        <x:v>5</x:v>
      </x:c>
      <x:c r="E108" s="2" t="n">
        <x:f>COUNTIFS('2015'!$L$24:$L$96,A108&amp;" / "&amp;B108,'2015'!$I$24:$I$96,B108)+COUNTIFS('2016'!$L$24:$L$96,A108&amp;" / "&amp;B108,'2016'!$I$24:$I$96,B108)+COUNTIFS('2017'!$L$24:$L$106,A108&amp;" / "&amp;B108,'2017'!$I$24:$I$106,B108)+COUNTIFS('2018'!$L$24:$L$106,A108&amp;" / "&amp;B108,'2018'!$I$24:$I$106,B108)+COUNTIFS('2019'!$L$24:$L$106,A108&amp;" / "&amp;B108,'2019'!$I$24:$I$106,B108)+COUNTIFS('2020'!$L$24:$L$106,A108&amp;" / "&amp;B108,'2020'!$I$24:$I$106,B108)+COUNTIFS('2021'!$L$24:$L$112,A108&amp;" / "&amp;B108,'2021'!$I$24:$I$112,B108)+COUNTIFS('2022'!$L$24:$L$112,A108&amp;" / "&amp;B108,'2022'!$I$24:$I$112,B108)+COUNTIFS('2023'!$L$24:$L$112,A108&amp;" / "&amp;B108,'2023'!$I$24:$I$112,B108)+COUNTIFS('2024'!$L$24:$L$112,A108&amp;" / "&amp;B108,'2024'!$I$24:$I$112,B108)+COUNTIFS('2025'!$L$24:$L$112,A108&amp;" / "&amp;B108,'2025'!$I$24:$I$112,B108)</x:f>
        <x:v>6</x:v>
      </x:c>
      <x:c r="F108" s="2" t="n">
        <x:f>COUNTIFS('2015'!$L$24:$L$96,A108&amp;" / "&amp;B108,'2015'!$K$24:$K$96,1)+COUNTIFS('2016'!$L$24:$L$96,A108&amp;" / "&amp;B108,'2016'!$K$24:$K$96,1)+COUNTIFS('2017'!$L$24:$L$106,A108&amp;" / "&amp;B108,'2017'!$K$24:$K$106,1)+COUNTIFS('2018'!$L$24:$L$106,A108&amp;" / "&amp;B108,'2018'!$K$24:$K$106,1)+COUNTIFS('2019'!$L$24:$L$106,A108&amp;" / "&amp;B108,'2019'!$K$24:$K$106,1)+COUNTIFS('2020'!$L$24:$L$106,A108&amp;" / "&amp;B108,'2020'!$K$24:$K$106,1)+COUNTIFS('2021'!$L$24:$L$112,A108&amp;" / "&amp;B108,'2021'!$K$24:$K$112,1)+COUNTIFS('2022'!$L$24:$L$112,A108&amp;" / "&amp;B108,'2022'!$K$24:$K$112,1)+COUNTIFS('2023'!$L$24:$L$112,A108&amp;" / "&amp;B108,'2023'!$K$24:$K$112,1)+COUNTIFS('2024'!$L$24:$L$112,A108&amp;" / "&amp;B108,'2024'!$K$24:$K$112,1)+COUNTIFS('2025'!$L$24:$L$112,A108&amp;" / "&amp;B108,'2025'!$K$24:$K$112,1)</x:f>
        <x:v>0</x:v>
      </x:c>
      <x:c r="G108" s="25" t="n">
        <x:f>SUMIFS('2015'!$E$24:$E$96,'2015'!$L$24:$L$96,A108&amp;" / "&amp;B108,'2015'!$C$24:$C$96,A108)+SUMIFS('2015'!$H$24:$H$96,'2015'!$L$24:$L$96,A108&amp;" / "&amp;B108,'2015'!$F$24:$F$96,A108)+SUMIFS('2016'!$E$24:$E$96,'2016'!$L$24:$L$96,A108&amp;" / "&amp;B108,'2016'!$C$24:$C$96,A108)+SUMIFS('2016'!$H$24:$H$96,'2016'!$L$24:$L$96,A108&amp;" / "&amp;B108,'2016'!$F$24:$F$96,A108)+SUMIFS('2017'!$E$24:$E$106,'2017'!$L$24:$L$106,A108&amp;" / "&amp;B108,'2017'!$C$24:$C$106,A108)+SUMIFS('2017'!$H$24:$H$106,'2017'!$L$24:$L$106,A108&amp;" / "&amp;B108,'2017'!$F$24:$F$106,A108)+SUMIFS('2018'!$E$24:$E$106,'2018'!$L$24:$L$106,A108&amp;" / "&amp;B108,'2018'!$C$24:$C$106,A108)+SUMIFS('2018'!$H$24:$H$106,'2018'!$L$24:$L$106,A108&amp;" / "&amp;B108,'2018'!$F$24:$F$106,A108)+SUMIFS('2019'!$E$24:$E$106,'2019'!$L$24:$L$106,A108&amp;" / "&amp;B108,'2019'!$C$24:$C$106,A108)+SUMIFS('2019'!$H$24:$H$106,'2019'!$L$24:$L$106,A108&amp;" / "&amp;B108,'2019'!$F$24:$F$106,A108)+SUMIFS('2020'!$E$24:$E$106,'2020'!$L$24:$L$106,A108&amp;" / "&amp;B108,'2020'!$C$24:$C$106,A108)+SUMIFS('2020'!$H$24:$H$106,'2020'!$L$24:$L$106,A108&amp;" / "&amp;B108,'2020'!$F$24:$F$106,A108)+SUMIFS('2021'!$E$24:$E$112,'2021'!$L$24:$L$112,A108&amp;" / "&amp;B108,'2021'!$C$24:$C$112,A108)+SUMIFS('2021'!$H$24:$H$112,'2021'!$L$24:$L$112,A108&amp;" / "&amp;B108,'2021'!$F$24:$F$112,A108)+SUMIFS('2022'!$E$24:$E$112,'2022'!$L$24:$L$112,A108&amp;" / "&amp;B108,'2022'!$C$24:$C$112,A108)+SUMIFS('2022'!$H$24:$H$112,'2022'!$L$24:$L$112,A108&amp;" / "&amp;B108,'2022'!$F$24:$F$112,A108)+SUMIFS('2023'!$E$24:$E$112,'2023'!$L$24:$L$112,A108&amp;" / "&amp;B108,'2023'!$C$24:$C$112,A108)+SUMIFS('2023'!$H$24:$H$112,'2023'!$L$24:$L$112,A108&amp;" / "&amp;B108,'2023'!$F$24:$F$112,A108)+SUMIFS('2024'!$E$24:$E$112,'2024'!$L$24:$L$112,A108&amp;" / "&amp;B108,'2024'!$C$24:$C$112,A108)+SUMIFS('2024'!$H$24:$H$112,'2024'!$L$24:$L$112,A108&amp;" / "&amp;B108,'2024'!$F$24:$F$112,A108)+SUMIFS('2025'!$E$24:$E$112,'2025'!$L$24:$L$112,A108&amp;" / "&amp;B108,'2025'!$C$24:$C$112,A108)+SUMIFS('2025'!$H$24:$H$112,'2025'!$L$24:$L$112,A108&amp;" / "&amp;B108,'2025'!$F$24:$F$112,A108)</x:f>
        <x:v>1274.3</x:v>
      </x:c>
      <x:c r="H108" s="25" t="n">
        <x:f>SUMIFS('2015'!$E$24:$E$96,'2015'!$L$24:$L$96,A108&amp;" / "&amp;B108,'2015'!$C$24:$C$96,B108)+SUMIFS('2015'!$H$24:$H$96,'2015'!$L$24:$L$96,A108&amp;" / "&amp;B108,'2015'!$F$24:$F$96,B108)+SUMIFS('2016'!$E$24:$E$96,'2016'!$L$24:$L$96,A108&amp;" / "&amp;B108,'2016'!$C$24:$C$96,B108)+SUMIFS('2016'!$H$24:$H$96,'2016'!$L$24:$L$96,A108&amp;" / "&amp;B108,'2016'!$F$24:$F$96,B108)+SUMIFS('2017'!$E$24:$E$106,'2017'!$L$24:$L$106,A108&amp;" / "&amp;B108,'2017'!$C$24:$C$106,B108)+SUMIFS('2017'!$H$24:$H$106,'2017'!$L$24:$L$106,A108&amp;" / "&amp;B108,'2017'!$F$24:$F$106,B108)+SUMIFS('2018'!$E$24:$E$106,'2018'!$L$24:$L$106,A108&amp;" / "&amp;B108,'2018'!$C$24:$C$106,B108)+SUMIFS('2018'!$H$24:$H$106,'2018'!$L$24:$L$106,A108&amp;" / "&amp;B108,'2018'!$F$24:$F$106,B108)+SUMIFS('2019'!$E$24:$E$106,'2019'!$L$24:$L$106,A108&amp;" / "&amp;B108,'2019'!$C$24:$C$106,B108)+SUMIFS('2019'!$H$24:$H$106,'2019'!$L$24:$L$106,A108&amp;" / "&amp;B108,'2019'!$F$24:$F$106,B108)+SUMIFS('2020'!$E$24:$E$106,'2020'!$L$24:$L$106,A108&amp;" / "&amp;B108,'2020'!$C$24:$C$106,B108)+SUMIFS('2020'!$H$24:$H$106,'2020'!$L$24:$L$106,A108&amp;" / "&amp;B108,'2020'!$F$24:$F$106,B108)+SUMIFS('2021'!$E$24:$E$112,'2021'!$L$24:$L$112,A108&amp;" / "&amp;B108,'2021'!$C$24:$C$112,B108)+SUMIFS('2021'!$H$24:$H$112,'2021'!$L$24:$L$112,A108&amp;" / "&amp;B108,'2021'!$F$24:$F$112,B108)+SUMIFS('2022'!$E$24:$E$112,'2022'!$L$24:$L$112,A108&amp;" / "&amp;B108,'2022'!$C$24:$C$112,B108)+SUMIFS('2022'!$H$24:$H$112,'2022'!$L$24:$L$112,A108&amp;" / "&amp;B108,'2022'!$F$24:$F$112,B108)+SUMIFS('2023'!$E$24:$E$112,'2023'!$L$24:$L$112,A108&amp;" / "&amp;B108,'2023'!$C$24:$C$112,B108)+SUMIFS('2023'!$H$24:$H$112,'2023'!$L$24:$L$112,A108&amp;" / "&amp;B108,'2023'!$F$24:$F$112,B108)+SUMIFS('2024'!$E$24:$E$112,'2024'!$L$24:$L$112,A108&amp;" / "&amp;B108,'2024'!$C$24:$C$112,B108)+SUMIFS('2024'!$H$24:$H$112,'2024'!$L$24:$L$112,A108&amp;" / "&amp;B108,'2024'!$F$24:$F$112,B108)+SUMIFS('2025'!$E$24:$E$112,'2025'!$L$24:$L$112,A108&amp;" / "&amp;B108,'2025'!$C$24:$C$112,B108)+SUMIFS('2025'!$H$24:$H$112,'2025'!$L$24:$L$112,A108&amp;" / "&amp;B108,'2025'!$F$24:$F$112,B108)</x:f>
        <x:v>1367.55</x:v>
      </x:c>
      <x:c r="I108" s="11" t="n">
        <x:f>IF(C108=0,0,(D108+0.5*F108)/C108)</x:f>
        <x:v>0.45454545454545453</x:v>
      </x:c>
      <x:c r="J108" s="2" t="n">
        <x:f>COUNTIFS('2015'!$L$24:$L$96,A108&amp;" / "&amp;B108,'2015'!$B$24:$B$96,"Regular")+COUNTIFS('2016'!$L$24:$L$96,A108&amp;" / "&amp;B108,'2016'!$B$24:$B$96,"Regular")+COUNTIFS('2017'!$L$24:$L$106,A108&amp;" / "&amp;B108,'2017'!$B$24:$B$106,"Regular")+COUNTIFS('2018'!$L$24:$L$106,A108&amp;" / "&amp;B108,'2018'!$B$24:$B$106,"Regular")+COUNTIFS('2019'!$L$24:$L$106,A108&amp;" / "&amp;B108,'2019'!$B$24:$B$106,"Regular")+COUNTIFS('2020'!$L$24:$L$106,A108&amp;" / "&amp;B108,'2020'!$B$24:$B$106,"Regular")+COUNTIFS('2021'!$L$24:$L$112,A108&amp;" / "&amp;B108,'2021'!$B$24:$B$112,"Regular")+COUNTIFS('2022'!$L$24:$L$112,A108&amp;" / "&amp;B108,'2022'!$B$24:$B$112,"Regular")+COUNTIFS('2023'!$L$24:$L$112,A108&amp;" / "&amp;B108,'2023'!$B$24:$B$112,"Regular")+COUNTIFS('2024'!$L$24:$L$112,A108&amp;" / "&amp;B108,'2024'!$B$24:$B$112,"Regular")+COUNTIFS('2025'!$L$24:$L$112,A108&amp;" / "&amp;B108,'2025'!$B$24:$B$112,"Regular")</x:f>
        <x:v>10</x:v>
      </x:c>
      <x:c r="K108" s="2" t="n">
        <x:f>COUNTIFS('2015'!$L$24:$L$96,A108&amp;" / "&amp;B108,'2015'!$B$24:$B$96,"Playoffs")+COUNTIFS('2016'!$L$24:$L$96,A108&amp;" / "&amp;B108,'2016'!$B$24:$B$96,"Playoffs")+COUNTIFS('2017'!$L$24:$L$106,A108&amp;" / "&amp;B108,'2017'!$B$24:$B$106,"Playoffs")+COUNTIFS('2018'!$L$24:$L$106,A108&amp;" / "&amp;B108,'2018'!$B$24:$B$106,"Playoffs")+COUNTIFS('2019'!$L$24:$L$106,A108&amp;" / "&amp;B108,'2019'!$B$24:$B$106,"Playoffs")+COUNTIFS('2020'!$L$24:$L$106,A108&amp;" / "&amp;B108,'2020'!$B$24:$B$106,"Playoffs")+COUNTIFS('2021'!$L$24:$L$112,A108&amp;" / "&amp;B108,'2021'!$B$24:$B$112,"Playoffs")+COUNTIFS('2022'!$L$24:$L$112,A108&amp;" / "&amp;B108,'2022'!$B$24:$B$112,"Playoffs")+COUNTIFS('2023'!$L$24:$L$112,A108&amp;" / "&amp;B108,'2023'!$B$24:$B$112,"Playoffs")+COUNTIFS('2024'!$L$24:$L$112,A108&amp;" / "&amp;B108,'2024'!$B$24:$B$112,"Playoffs")+COUNTIFS('2025'!$L$24:$L$112,A108&amp;" / "&amp;B108,'2025'!$B$24:$B$112,"Playoffs")</x:f>
        <x:v>1</x:v>
      </x:c>
      <x:c r="L108" s="2" t="n">
        <x:f>COUNTIFS('2015'!$L$24:$L$96,A108&amp;" / "&amp;B108,'2015'!$B$24:$B$96,"Unconfirmed")+COUNTIFS('2016'!$L$24:$L$96,A108&amp;" / "&amp;B108,'2016'!$B$24:$B$96,"Unconfirmed")+COUNTIFS('2017'!$L$24:$L$106,A108&amp;" / "&amp;B108,'2017'!$B$24:$B$106,"Unconfirmed")+COUNTIFS('2018'!$L$24:$L$106,A108&amp;" / "&amp;B108,'2018'!$B$24:$B$106,"Unconfirmed")+COUNTIFS('2019'!$L$24:$L$106,A108&amp;" / "&amp;B108,'2019'!$B$24:$B$106,"Unconfirmed")+COUNTIFS('2020'!$L$24:$L$106,A108&amp;" / "&amp;B108,'2020'!$B$24:$B$106,"Unconfirmed")+COUNTIFS('2021'!$L$24:$L$112,A108&amp;" / "&amp;B108,'2021'!$B$24:$B$112,"Unconfirmed")+COUNTIFS('2022'!$L$24:$L$112,A108&amp;" / "&amp;B108,'2022'!$B$24:$B$112,"Unconfirmed")+COUNTIFS('2023'!$L$24:$L$112,A108&amp;" / "&amp;B108,'2023'!$B$24:$B$112,"Unconfirmed")+COUNTIFS('2024'!$L$24:$L$112,A108&amp;" / "&amp;B108,'2024'!$B$24:$B$112,"Unconfirmed")+COUNTIFS('2025'!$L$24:$L$112,A108&amp;" / "&amp;B108,'2025'!$B$24:$B$112,"Unconfirmed")</x:f>
        <x:v>0</x:v>
      </x:c>
    </x:row>
    <x:row r="109" ht="22" customHeight="1">
      <x:c r="A109" s="2" t="str">
        <x:v>Frank</x:v>
      </x:c>
      <x:c r="B109" s="2" t="str">
        <x:v>Michael</x:v>
      </x:c>
      <x:c r="C109" s="2" t="n">
        <x:f>COUNTIFS('2015'!$L$24:$L$96,A109&amp;" / "&amp;B109)+COUNTIFS('2016'!$L$24:$L$96,A109&amp;" / "&amp;B109)+COUNTIFS('2017'!$L$24:$L$106,A109&amp;" / "&amp;B109)+COUNTIFS('2018'!$L$24:$L$106,A109&amp;" / "&amp;B109)+COUNTIFS('2019'!$L$24:$L$106,A109&amp;" / "&amp;B109)+COUNTIFS('2020'!$L$24:$L$106,A109&amp;" / "&amp;B109)+COUNTIFS('2021'!$L$24:$L$112,A109&amp;" / "&amp;B109)+COUNTIFS('2022'!$L$24:$L$112,A109&amp;" / "&amp;B109)+COUNTIFS('2023'!$L$24:$L$112,A109&amp;" / "&amp;B109)+COUNTIFS('2024'!$L$24:$L$112,A109&amp;" / "&amp;B109)+COUNTIFS('2025'!$L$24:$L$112,A109&amp;" / "&amp;B109)</x:f>
        <x:v>3</x:v>
      </x:c>
      <x:c r="D109" s="2" t="n">
        <x:f>COUNTIFS('2015'!$L$24:$L$96,A109&amp;" / "&amp;B109,'2015'!$I$24:$I$96,A109)+COUNTIFS('2016'!$L$24:$L$96,A109&amp;" / "&amp;B109,'2016'!$I$24:$I$96,A109)+COUNTIFS('2017'!$L$24:$L$106,A109&amp;" / "&amp;B109,'2017'!$I$24:$I$106,A109)+COUNTIFS('2018'!$L$24:$L$106,A109&amp;" / "&amp;B109,'2018'!$I$24:$I$106,A109)+COUNTIFS('2019'!$L$24:$L$106,A109&amp;" / "&amp;B109,'2019'!$I$24:$I$106,A109)+COUNTIFS('2020'!$L$24:$L$106,A109&amp;" / "&amp;B109,'2020'!$I$24:$I$106,A109)+COUNTIFS('2021'!$L$24:$L$112,A109&amp;" / "&amp;B109,'2021'!$I$24:$I$112,A109)+COUNTIFS('2022'!$L$24:$L$112,A109&amp;" / "&amp;B109,'2022'!$I$24:$I$112,A109)+COUNTIFS('2023'!$L$24:$L$112,A109&amp;" / "&amp;B109,'2023'!$I$24:$I$112,A109)+COUNTIFS('2024'!$L$24:$L$112,A109&amp;" / "&amp;B109,'2024'!$I$24:$I$112,A109)+COUNTIFS('2025'!$L$24:$L$112,A109&amp;" / "&amp;B109,'2025'!$I$24:$I$112,A109)</x:f>
        <x:v>1</x:v>
      </x:c>
      <x:c r="E109" s="2" t="n">
        <x:f>COUNTIFS('2015'!$L$24:$L$96,A109&amp;" / "&amp;B109,'2015'!$I$24:$I$96,B109)+COUNTIFS('2016'!$L$24:$L$96,A109&amp;" / "&amp;B109,'2016'!$I$24:$I$96,B109)+COUNTIFS('2017'!$L$24:$L$106,A109&amp;" / "&amp;B109,'2017'!$I$24:$I$106,B109)+COUNTIFS('2018'!$L$24:$L$106,A109&amp;" / "&amp;B109,'2018'!$I$24:$I$106,B109)+COUNTIFS('2019'!$L$24:$L$106,A109&amp;" / "&amp;B109,'2019'!$I$24:$I$106,B109)+COUNTIFS('2020'!$L$24:$L$106,A109&amp;" / "&amp;B109,'2020'!$I$24:$I$106,B109)+COUNTIFS('2021'!$L$24:$L$112,A109&amp;" / "&amp;B109,'2021'!$I$24:$I$112,B109)+COUNTIFS('2022'!$L$24:$L$112,A109&amp;" / "&amp;B109,'2022'!$I$24:$I$112,B109)+COUNTIFS('2023'!$L$24:$L$112,A109&amp;" / "&amp;B109,'2023'!$I$24:$I$112,B109)+COUNTIFS('2024'!$L$24:$L$112,A109&amp;" / "&amp;B109,'2024'!$I$24:$I$112,B109)+COUNTIFS('2025'!$L$24:$L$112,A109&amp;" / "&amp;B109,'2025'!$I$24:$I$112,B109)</x:f>
        <x:v>2</x:v>
      </x:c>
      <x:c r="F109" s="2" t="n">
        <x:f>COUNTIFS('2015'!$L$24:$L$96,A109&amp;" / "&amp;B109,'2015'!$K$24:$K$96,1)+COUNTIFS('2016'!$L$24:$L$96,A109&amp;" / "&amp;B109,'2016'!$K$24:$K$96,1)+COUNTIFS('2017'!$L$24:$L$106,A109&amp;" / "&amp;B109,'2017'!$K$24:$K$106,1)+COUNTIFS('2018'!$L$24:$L$106,A109&amp;" / "&amp;B109,'2018'!$K$24:$K$106,1)+COUNTIFS('2019'!$L$24:$L$106,A109&amp;" / "&amp;B109,'2019'!$K$24:$K$106,1)+COUNTIFS('2020'!$L$24:$L$106,A109&amp;" / "&amp;B109,'2020'!$K$24:$K$106,1)+COUNTIFS('2021'!$L$24:$L$112,A109&amp;" / "&amp;B109,'2021'!$K$24:$K$112,1)+COUNTIFS('2022'!$L$24:$L$112,A109&amp;" / "&amp;B109,'2022'!$K$24:$K$112,1)+COUNTIFS('2023'!$L$24:$L$112,A109&amp;" / "&amp;B109,'2023'!$K$24:$K$112,1)+COUNTIFS('2024'!$L$24:$L$112,A109&amp;" / "&amp;B109,'2024'!$K$24:$K$112,1)+COUNTIFS('2025'!$L$24:$L$112,A109&amp;" / "&amp;B109,'2025'!$K$24:$K$112,1)</x:f>
        <x:v>0</x:v>
      </x:c>
      <x:c r="G109" s="25" t="n">
        <x:f>SUMIFS('2015'!$E$24:$E$96,'2015'!$L$24:$L$96,A109&amp;" / "&amp;B109,'2015'!$C$24:$C$96,A109)+SUMIFS('2015'!$H$24:$H$96,'2015'!$L$24:$L$96,A109&amp;" / "&amp;B109,'2015'!$F$24:$F$96,A109)+SUMIFS('2016'!$E$24:$E$96,'2016'!$L$24:$L$96,A109&amp;" / "&amp;B109,'2016'!$C$24:$C$96,A109)+SUMIFS('2016'!$H$24:$H$96,'2016'!$L$24:$L$96,A109&amp;" / "&amp;B109,'2016'!$F$24:$F$96,A109)+SUMIFS('2017'!$E$24:$E$106,'2017'!$L$24:$L$106,A109&amp;" / "&amp;B109,'2017'!$C$24:$C$106,A109)+SUMIFS('2017'!$H$24:$H$106,'2017'!$L$24:$L$106,A109&amp;" / "&amp;B109,'2017'!$F$24:$F$106,A109)+SUMIFS('2018'!$E$24:$E$106,'2018'!$L$24:$L$106,A109&amp;" / "&amp;B109,'2018'!$C$24:$C$106,A109)+SUMIFS('2018'!$H$24:$H$106,'2018'!$L$24:$L$106,A109&amp;" / "&amp;B109,'2018'!$F$24:$F$106,A109)+SUMIFS('2019'!$E$24:$E$106,'2019'!$L$24:$L$106,A109&amp;" / "&amp;B109,'2019'!$C$24:$C$106,A109)+SUMIFS('2019'!$H$24:$H$106,'2019'!$L$24:$L$106,A109&amp;" / "&amp;B109,'2019'!$F$24:$F$106,A109)+SUMIFS('2020'!$E$24:$E$106,'2020'!$L$24:$L$106,A109&amp;" / "&amp;B109,'2020'!$C$24:$C$106,A109)+SUMIFS('2020'!$H$24:$H$106,'2020'!$L$24:$L$106,A109&amp;" / "&amp;B109,'2020'!$F$24:$F$106,A109)+SUMIFS('2021'!$E$24:$E$112,'2021'!$L$24:$L$112,A109&amp;" / "&amp;B109,'2021'!$C$24:$C$112,A109)+SUMIFS('2021'!$H$24:$H$112,'2021'!$L$24:$L$112,A109&amp;" / "&amp;B109,'2021'!$F$24:$F$112,A109)+SUMIFS('2022'!$E$24:$E$112,'2022'!$L$24:$L$112,A109&amp;" / "&amp;B109,'2022'!$C$24:$C$112,A109)+SUMIFS('2022'!$H$24:$H$112,'2022'!$L$24:$L$112,A109&amp;" / "&amp;B109,'2022'!$F$24:$F$112,A109)+SUMIFS('2023'!$E$24:$E$112,'2023'!$L$24:$L$112,A109&amp;" / "&amp;B109,'2023'!$C$24:$C$112,A109)+SUMIFS('2023'!$H$24:$H$112,'2023'!$L$24:$L$112,A109&amp;" / "&amp;B109,'2023'!$F$24:$F$112,A109)+SUMIFS('2024'!$E$24:$E$112,'2024'!$L$24:$L$112,A109&amp;" / "&amp;B109,'2024'!$C$24:$C$112,A109)+SUMIFS('2024'!$H$24:$H$112,'2024'!$L$24:$L$112,A109&amp;" / "&amp;B109,'2024'!$F$24:$F$112,A109)+SUMIFS('2025'!$E$24:$E$112,'2025'!$L$24:$L$112,A109&amp;" / "&amp;B109,'2025'!$C$24:$C$112,A109)+SUMIFS('2025'!$H$24:$H$112,'2025'!$L$24:$L$112,A109&amp;" / "&amp;B109,'2025'!$F$24:$F$112,A109)</x:f>
        <x:v>293.2</x:v>
      </x:c>
      <x:c r="H109" s="25" t="n">
        <x:f>SUMIFS('2015'!$E$24:$E$96,'2015'!$L$24:$L$96,A109&amp;" / "&amp;B109,'2015'!$C$24:$C$96,B109)+SUMIFS('2015'!$H$24:$H$96,'2015'!$L$24:$L$96,A109&amp;" / "&amp;B109,'2015'!$F$24:$F$96,B109)+SUMIFS('2016'!$E$24:$E$96,'2016'!$L$24:$L$96,A109&amp;" / "&amp;B109,'2016'!$C$24:$C$96,B109)+SUMIFS('2016'!$H$24:$H$96,'2016'!$L$24:$L$96,A109&amp;" / "&amp;B109,'2016'!$F$24:$F$96,B109)+SUMIFS('2017'!$E$24:$E$106,'2017'!$L$24:$L$106,A109&amp;" / "&amp;B109,'2017'!$C$24:$C$106,B109)+SUMIFS('2017'!$H$24:$H$106,'2017'!$L$24:$L$106,A109&amp;" / "&amp;B109,'2017'!$F$24:$F$106,B109)+SUMIFS('2018'!$E$24:$E$106,'2018'!$L$24:$L$106,A109&amp;" / "&amp;B109,'2018'!$C$24:$C$106,B109)+SUMIFS('2018'!$H$24:$H$106,'2018'!$L$24:$L$106,A109&amp;" / "&amp;B109,'2018'!$F$24:$F$106,B109)+SUMIFS('2019'!$E$24:$E$106,'2019'!$L$24:$L$106,A109&amp;" / "&amp;B109,'2019'!$C$24:$C$106,B109)+SUMIFS('2019'!$H$24:$H$106,'2019'!$L$24:$L$106,A109&amp;" / "&amp;B109,'2019'!$F$24:$F$106,B109)+SUMIFS('2020'!$E$24:$E$106,'2020'!$L$24:$L$106,A109&amp;" / "&amp;B109,'2020'!$C$24:$C$106,B109)+SUMIFS('2020'!$H$24:$H$106,'2020'!$L$24:$L$106,A109&amp;" / "&amp;B109,'2020'!$F$24:$F$106,B109)+SUMIFS('2021'!$E$24:$E$112,'2021'!$L$24:$L$112,A109&amp;" / "&amp;B109,'2021'!$C$24:$C$112,B109)+SUMIFS('2021'!$H$24:$H$112,'2021'!$L$24:$L$112,A109&amp;" / "&amp;B109,'2021'!$F$24:$F$112,B109)+SUMIFS('2022'!$E$24:$E$112,'2022'!$L$24:$L$112,A109&amp;" / "&amp;B109,'2022'!$C$24:$C$112,B109)+SUMIFS('2022'!$H$24:$H$112,'2022'!$L$24:$L$112,A109&amp;" / "&amp;B109,'2022'!$F$24:$F$112,B109)+SUMIFS('2023'!$E$24:$E$112,'2023'!$L$24:$L$112,A109&amp;" / "&amp;B109,'2023'!$C$24:$C$112,B109)+SUMIFS('2023'!$H$24:$H$112,'2023'!$L$24:$L$112,A109&amp;" / "&amp;B109,'2023'!$F$24:$F$112,B109)+SUMIFS('2024'!$E$24:$E$112,'2024'!$L$24:$L$112,A109&amp;" / "&amp;B109,'2024'!$C$24:$C$112,B109)+SUMIFS('2024'!$H$24:$H$112,'2024'!$L$24:$L$112,A109&amp;" / "&amp;B109,'2024'!$F$24:$F$112,B109)+SUMIFS('2025'!$E$24:$E$112,'2025'!$L$24:$L$112,A109&amp;" / "&amp;B109,'2025'!$C$24:$C$112,B109)+SUMIFS('2025'!$H$24:$H$112,'2025'!$L$24:$L$112,A109&amp;" / "&amp;B109,'2025'!$F$24:$F$112,B109)</x:f>
        <x:v>271.9</x:v>
      </x:c>
      <x:c r="I109" s="11" t="n">
        <x:f>IF(C109=0,0,(D109+0.5*F109)/C109)</x:f>
        <x:v>0.3333333333333333</x:v>
      </x:c>
      <x:c r="J109" s="2" t="n">
        <x:f>COUNTIFS('2015'!$L$24:$L$96,A109&amp;" / "&amp;B109,'2015'!$B$24:$B$96,"Regular")+COUNTIFS('2016'!$L$24:$L$96,A109&amp;" / "&amp;B109,'2016'!$B$24:$B$96,"Regular")+COUNTIFS('2017'!$L$24:$L$106,A109&amp;" / "&amp;B109,'2017'!$B$24:$B$106,"Regular")+COUNTIFS('2018'!$L$24:$L$106,A109&amp;" / "&amp;B109,'2018'!$B$24:$B$106,"Regular")+COUNTIFS('2019'!$L$24:$L$106,A109&amp;" / "&amp;B109,'2019'!$B$24:$B$106,"Regular")+COUNTIFS('2020'!$L$24:$L$106,A109&amp;" / "&amp;B109,'2020'!$B$24:$B$106,"Regular")+COUNTIFS('2021'!$L$24:$L$112,A109&amp;" / "&amp;B109,'2021'!$B$24:$B$112,"Regular")+COUNTIFS('2022'!$L$24:$L$112,A109&amp;" / "&amp;B109,'2022'!$B$24:$B$112,"Regular")+COUNTIFS('2023'!$L$24:$L$112,A109&amp;" / "&amp;B109,'2023'!$B$24:$B$112,"Regular")+COUNTIFS('2024'!$L$24:$L$112,A109&amp;" / "&amp;B109,'2024'!$B$24:$B$112,"Regular")+COUNTIFS('2025'!$L$24:$L$112,A109&amp;" / "&amp;B109,'2025'!$B$24:$B$112,"Regular")</x:f>
        <x:v>3</x:v>
      </x:c>
      <x:c r="K109" s="2" t="n">
        <x:f>COUNTIFS('2015'!$L$24:$L$96,A109&amp;" / "&amp;B109,'2015'!$B$24:$B$96,"Playoffs")+COUNTIFS('2016'!$L$24:$L$96,A109&amp;" / "&amp;B109,'2016'!$B$24:$B$96,"Playoffs")+COUNTIFS('2017'!$L$24:$L$106,A109&amp;" / "&amp;B109,'2017'!$B$24:$B$106,"Playoffs")+COUNTIFS('2018'!$L$24:$L$106,A109&amp;" / "&amp;B109,'2018'!$B$24:$B$106,"Playoffs")+COUNTIFS('2019'!$L$24:$L$106,A109&amp;" / "&amp;B109,'2019'!$B$24:$B$106,"Playoffs")+COUNTIFS('2020'!$L$24:$L$106,A109&amp;" / "&amp;B109,'2020'!$B$24:$B$106,"Playoffs")+COUNTIFS('2021'!$L$24:$L$112,A109&amp;" / "&amp;B109,'2021'!$B$24:$B$112,"Playoffs")+COUNTIFS('2022'!$L$24:$L$112,A109&amp;" / "&amp;B109,'2022'!$B$24:$B$112,"Playoffs")+COUNTIFS('2023'!$L$24:$L$112,A109&amp;" / "&amp;B109,'2023'!$B$24:$B$112,"Playoffs")+COUNTIFS('2024'!$L$24:$L$112,A109&amp;" / "&amp;B109,'2024'!$B$24:$B$112,"Playoffs")+COUNTIFS('2025'!$L$24:$L$112,A109&amp;" / "&amp;B109,'2025'!$B$24:$B$112,"Playoffs")</x:f>
        <x:v>0</x:v>
      </x:c>
      <x:c r="L109" s="2" t="n">
        <x:f>COUNTIFS('2015'!$L$24:$L$96,A109&amp;" / "&amp;B109,'2015'!$B$24:$B$96,"Unconfirmed")+COUNTIFS('2016'!$L$24:$L$96,A109&amp;" / "&amp;B109,'2016'!$B$24:$B$96,"Unconfirmed")+COUNTIFS('2017'!$L$24:$L$106,A109&amp;" / "&amp;B109,'2017'!$B$24:$B$106,"Unconfirmed")+COUNTIFS('2018'!$L$24:$L$106,A109&amp;" / "&amp;B109,'2018'!$B$24:$B$106,"Unconfirmed")+COUNTIFS('2019'!$L$24:$L$106,A109&amp;" / "&amp;B109,'2019'!$B$24:$B$106,"Unconfirmed")+COUNTIFS('2020'!$L$24:$L$106,A109&amp;" / "&amp;B109,'2020'!$B$24:$B$106,"Unconfirmed")+COUNTIFS('2021'!$L$24:$L$112,A109&amp;" / "&amp;B109,'2021'!$B$24:$B$112,"Unconfirmed")+COUNTIFS('2022'!$L$24:$L$112,A109&amp;" / "&amp;B109,'2022'!$B$24:$B$112,"Unconfirmed")+COUNTIFS('2023'!$L$24:$L$112,A109&amp;" / "&amp;B109,'2023'!$B$24:$B$112,"Unconfirmed")+COUNTIFS('2024'!$L$24:$L$112,A109&amp;" / "&amp;B109,'2024'!$B$24:$B$112,"Unconfirmed")+COUNTIFS('2025'!$L$24:$L$112,A109&amp;" / "&amp;B109,'2025'!$B$24:$B$112,"Unconfirmed")</x:f>
        <x:v>0</x:v>
      </x:c>
    </x:row>
    <x:row r="110" ht="22" customHeight="1">
      <x:c r="A110" s="2" t="str">
        <x:v>Frank</x:v>
      </x:c>
      <x:c r="B110" s="2" t="str">
        <x:v>Mike</x:v>
      </x:c>
      <x:c r="C110" s="2" t="n">
        <x:f>COUNTIFS('2015'!$L$24:$L$96,A110&amp;" / "&amp;B110)+COUNTIFS('2016'!$L$24:$L$96,A110&amp;" / "&amp;B110)+COUNTIFS('2017'!$L$24:$L$106,A110&amp;" / "&amp;B110)+COUNTIFS('2018'!$L$24:$L$106,A110&amp;" / "&amp;B110)+COUNTIFS('2019'!$L$24:$L$106,A110&amp;" / "&amp;B110)+COUNTIFS('2020'!$L$24:$L$106,A110&amp;" / "&amp;B110)+COUNTIFS('2021'!$L$24:$L$112,A110&amp;" / "&amp;B110)+COUNTIFS('2022'!$L$24:$L$112,A110&amp;" / "&amp;B110)+COUNTIFS('2023'!$L$24:$L$112,A110&amp;" / "&amp;B110)+COUNTIFS('2024'!$L$24:$L$112,A110&amp;" / "&amp;B110)+COUNTIFS('2025'!$L$24:$L$112,A110&amp;" / "&amp;B110)</x:f>
        <x:v>11</x:v>
      </x:c>
      <x:c r="D110" s="2" t="n">
        <x:f>COUNTIFS('2015'!$L$24:$L$96,A110&amp;" / "&amp;B110,'2015'!$I$24:$I$96,A110)+COUNTIFS('2016'!$L$24:$L$96,A110&amp;" / "&amp;B110,'2016'!$I$24:$I$96,A110)+COUNTIFS('2017'!$L$24:$L$106,A110&amp;" / "&amp;B110,'2017'!$I$24:$I$106,A110)+COUNTIFS('2018'!$L$24:$L$106,A110&amp;" / "&amp;B110,'2018'!$I$24:$I$106,A110)+COUNTIFS('2019'!$L$24:$L$106,A110&amp;" / "&amp;B110,'2019'!$I$24:$I$106,A110)+COUNTIFS('2020'!$L$24:$L$106,A110&amp;" / "&amp;B110,'2020'!$I$24:$I$106,A110)+COUNTIFS('2021'!$L$24:$L$112,A110&amp;" / "&amp;B110,'2021'!$I$24:$I$112,A110)+COUNTIFS('2022'!$L$24:$L$112,A110&amp;" / "&amp;B110,'2022'!$I$24:$I$112,A110)+COUNTIFS('2023'!$L$24:$L$112,A110&amp;" / "&amp;B110,'2023'!$I$24:$I$112,A110)+COUNTIFS('2024'!$L$24:$L$112,A110&amp;" / "&amp;B110,'2024'!$I$24:$I$112,A110)+COUNTIFS('2025'!$L$24:$L$112,A110&amp;" / "&amp;B110,'2025'!$I$24:$I$112,A110)</x:f>
        <x:v>5</x:v>
      </x:c>
      <x:c r="E110" s="2" t="n">
        <x:f>COUNTIFS('2015'!$L$24:$L$96,A110&amp;" / "&amp;B110,'2015'!$I$24:$I$96,B110)+COUNTIFS('2016'!$L$24:$L$96,A110&amp;" / "&amp;B110,'2016'!$I$24:$I$96,B110)+COUNTIFS('2017'!$L$24:$L$106,A110&amp;" / "&amp;B110,'2017'!$I$24:$I$106,B110)+COUNTIFS('2018'!$L$24:$L$106,A110&amp;" / "&amp;B110,'2018'!$I$24:$I$106,B110)+COUNTIFS('2019'!$L$24:$L$106,A110&amp;" / "&amp;B110,'2019'!$I$24:$I$106,B110)+COUNTIFS('2020'!$L$24:$L$106,A110&amp;" / "&amp;B110,'2020'!$I$24:$I$106,B110)+COUNTIFS('2021'!$L$24:$L$112,A110&amp;" / "&amp;B110,'2021'!$I$24:$I$112,B110)+COUNTIFS('2022'!$L$24:$L$112,A110&amp;" / "&amp;B110,'2022'!$I$24:$I$112,B110)+COUNTIFS('2023'!$L$24:$L$112,A110&amp;" / "&amp;B110,'2023'!$I$24:$I$112,B110)+COUNTIFS('2024'!$L$24:$L$112,A110&amp;" / "&amp;B110,'2024'!$I$24:$I$112,B110)+COUNTIFS('2025'!$L$24:$L$112,A110&amp;" / "&amp;B110,'2025'!$I$24:$I$112,B110)</x:f>
        <x:v>6</x:v>
      </x:c>
      <x:c r="F110" s="2" t="n">
        <x:f>COUNTIFS('2015'!$L$24:$L$96,A110&amp;" / "&amp;B110,'2015'!$K$24:$K$96,1)+COUNTIFS('2016'!$L$24:$L$96,A110&amp;" / "&amp;B110,'2016'!$K$24:$K$96,1)+COUNTIFS('2017'!$L$24:$L$106,A110&amp;" / "&amp;B110,'2017'!$K$24:$K$106,1)+COUNTIFS('2018'!$L$24:$L$106,A110&amp;" / "&amp;B110,'2018'!$K$24:$K$106,1)+COUNTIFS('2019'!$L$24:$L$106,A110&amp;" / "&amp;B110,'2019'!$K$24:$K$106,1)+COUNTIFS('2020'!$L$24:$L$106,A110&amp;" / "&amp;B110,'2020'!$K$24:$K$106,1)+COUNTIFS('2021'!$L$24:$L$112,A110&amp;" / "&amp;B110,'2021'!$K$24:$K$112,1)+COUNTIFS('2022'!$L$24:$L$112,A110&amp;" / "&amp;B110,'2022'!$K$24:$K$112,1)+COUNTIFS('2023'!$L$24:$L$112,A110&amp;" / "&amp;B110,'2023'!$K$24:$K$112,1)+COUNTIFS('2024'!$L$24:$L$112,A110&amp;" / "&amp;B110,'2024'!$K$24:$K$112,1)+COUNTIFS('2025'!$L$24:$L$112,A110&amp;" / "&amp;B110,'2025'!$K$24:$K$112,1)</x:f>
        <x:v>0</x:v>
      </x:c>
      <x:c r="G110" s="25" t="n">
        <x:f>SUMIFS('2015'!$E$24:$E$96,'2015'!$L$24:$L$96,A110&amp;" / "&amp;B110,'2015'!$C$24:$C$96,A110)+SUMIFS('2015'!$H$24:$H$96,'2015'!$L$24:$L$96,A110&amp;" / "&amp;B110,'2015'!$F$24:$F$96,A110)+SUMIFS('2016'!$E$24:$E$96,'2016'!$L$24:$L$96,A110&amp;" / "&amp;B110,'2016'!$C$24:$C$96,A110)+SUMIFS('2016'!$H$24:$H$96,'2016'!$L$24:$L$96,A110&amp;" / "&amp;B110,'2016'!$F$24:$F$96,A110)+SUMIFS('2017'!$E$24:$E$106,'2017'!$L$24:$L$106,A110&amp;" / "&amp;B110,'2017'!$C$24:$C$106,A110)+SUMIFS('2017'!$H$24:$H$106,'2017'!$L$24:$L$106,A110&amp;" / "&amp;B110,'2017'!$F$24:$F$106,A110)+SUMIFS('2018'!$E$24:$E$106,'2018'!$L$24:$L$106,A110&amp;" / "&amp;B110,'2018'!$C$24:$C$106,A110)+SUMIFS('2018'!$H$24:$H$106,'2018'!$L$24:$L$106,A110&amp;" / "&amp;B110,'2018'!$F$24:$F$106,A110)+SUMIFS('2019'!$E$24:$E$106,'2019'!$L$24:$L$106,A110&amp;" / "&amp;B110,'2019'!$C$24:$C$106,A110)+SUMIFS('2019'!$H$24:$H$106,'2019'!$L$24:$L$106,A110&amp;" / "&amp;B110,'2019'!$F$24:$F$106,A110)+SUMIFS('2020'!$E$24:$E$106,'2020'!$L$24:$L$106,A110&amp;" / "&amp;B110,'2020'!$C$24:$C$106,A110)+SUMIFS('2020'!$H$24:$H$106,'2020'!$L$24:$L$106,A110&amp;" / "&amp;B110,'2020'!$F$24:$F$106,A110)+SUMIFS('2021'!$E$24:$E$112,'2021'!$L$24:$L$112,A110&amp;" / "&amp;B110,'2021'!$C$24:$C$112,A110)+SUMIFS('2021'!$H$24:$H$112,'2021'!$L$24:$L$112,A110&amp;" / "&amp;B110,'2021'!$F$24:$F$112,A110)+SUMIFS('2022'!$E$24:$E$112,'2022'!$L$24:$L$112,A110&amp;" / "&amp;B110,'2022'!$C$24:$C$112,A110)+SUMIFS('2022'!$H$24:$H$112,'2022'!$L$24:$L$112,A110&amp;" / "&amp;B110,'2022'!$F$24:$F$112,A110)+SUMIFS('2023'!$E$24:$E$112,'2023'!$L$24:$L$112,A110&amp;" / "&amp;B110,'2023'!$C$24:$C$112,A110)+SUMIFS('2023'!$H$24:$H$112,'2023'!$L$24:$L$112,A110&amp;" / "&amp;B110,'2023'!$F$24:$F$112,A110)+SUMIFS('2024'!$E$24:$E$112,'2024'!$L$24:$L$112,A110&amp;" / "&amp;B110,'2024'!$C$24:$C$112,A110)+SUMIFS('2024'!$H$24:$H$112,'2024'!$L$24:$L$112,A110&amp;" / "&amp;B110,'2024'!$F$24:$F$112,A110)+SUMIFS('2025'!$E$24:$E$112,'2025'!$L$24:$L$112,A110&amp;" / "&amp;B110,'2025'!$C$24:$C$112,A110)+SUMIFS('2025'!$H$24:$H$112,'2025'!$L$24:$L$112,A110&amp;" / "&amp;B110,'2025'!$F$24:$F$112,A110)</x:f>
        <x:v>1246.3000000000002</x:v>
      </x:c>
      <x:c r="H110" s="25" t="n">
        <x:f>SUMIFS('2015'!$E$24:$E$96,'2015'!$L$24:$L$96,A110&amp;" / "&amp;B110,'2015'!$C$24:$C$96,B110)+SUMIFS('2015'!$H$24:$H$96,'2015'!$L$24:$L$96,A110&amp;" / "&amp;B110,'2015'!$F$24:$F$96,B110)+SUMIFS('2016'!$E$24:$E$96,'2016'!$L$24:$L$96,A110&amp;" / "&amp;B110,'2016'!$C$24:$C$96,B110)+SUMIFS('2016'!$H$24:$H$96,'2016'!$L$24:$L$96,A110&amp;" / "&amp;B110,'2016'!$F$24:$F$96,B110)+SUMIFS('2017'!$E$24:$E$106,'2017'!$L$24:$L$106,A110&amp;" / "&amp;B110,'2017'!$C$24:$C$106,B110)+SUMIFS('2017'!$H$24:$H$106,'2017'!$L$24:$L$106,A110&amp;" / "&amp;B110,'2017'!$F$24:$F$106,B110)+SUMIFS('2018'!$E$24:$E$106,'2018'!$L$24:$L$106,A110&amp;" / "&amp;B110,'2018'!$C$24:$C$106,B110)+SUMIFS('2018'!$H$24:$H$106,'2018'!$L$24:$L$106,A110&amp;" / "&amp;B110,'2018'!$F$24:$F$106,B110)+SUMIFS('2019'!$E$24:$E$106,'2019'!$L$24:$L$106,A110&amp;" / "&amp;B110,'2019'!$C$24:$C$106,B110)+SUMIFS('2019'!$H$24:$H$106,'2019'!$L$24:$L$106,A110&amp;" / "&amp;B110,'2019'!$F$24:$F$106,B110)+SUMIFS('2020'!$E$24:$E$106,'2020'!$L$24:$L$106,A110&amp;" / "&amp;B110,'2020'!$C$24:$C$106,B110)+SUMIFS('2020'!$H$24:$H$106,'2020'!$L$24:$L$106,A110&amp;" / "&amp;B110,'2020'!$F$24:$F$106,B110)+SUMIFS('2021'!$E$24:$E$112,'2021'!$L$24:$L$112,A110&amp;" / "&amp;B110,'2021'!$C$24:$C$112,B110)+SUMIFS('2021'!$H$24:$H$112,'2021'!$L$24:$L$112,A110&amp;" / "&amp;B110,'2021'!$F$24:$F$112,B110)+SUMIFS('2022'!$E$24:$E$112,'2022'!$L$24:$L$112,A110&amp;" / "&amp;B110,'2022'!$C$24:$C$112,B110)+SUMIFS('2022'!$H$24:$H$112,'2022'!$L$24:$L$112,A110&amp;" / "&amp;B110,'2022'!$F$24:$F$112,B110)+SUMIFS('2023'!$E$24:$E$112,'2023'!$L$24:$L$112,A110&amp;" / "&amp;B110,'2023'!$C$24:$C$112,B110)+SUMIFS('2023'!$H$24:$H$112,'2023'!$L$24:$L$112,A110&amp;" / "&amp;B110,'2023'!$F$24:$F$112,B110)+SUMIFS('2024'!$E$24:$E$112,'2024'!$L$24:$L$112,A110&amp;" / "&amp;B110,'2024'!$C$24:$C$112,B110)+SUMIFS('2024'!$H$24:$H$112,'2024'!$L$24:$L$112,A110&amp;" / "&amp;B110,'2024'!$F$24:$F$112,B110)+SUMIFS('2025'!$E$24:$E$112,'2025'!$L$24:$L$112,A110&amp;" / "&amp;B110,'2025'!$C$24:$C$112,B110)+SUMIFS('2025'!$H$24:$H$112,'2025'!$L$24:$L$112,A110&amp;" / "&amp;B110,'2025'!$F$24:$F$112,B110)</x:f>
        <x:v>1328.9500000000003</x:v>
      </x:c>
      <x:c r="I110" s="11" t="n">
        <x:f>IF(C110=0,0,(D110+0.5*F110)/C110)</x:f>
        <x:v>0.45454545454545453</x:v>
      </x:c>
      <x:c r="J110" s="2" t="n">
        <x:f>COUNTIFS('2015'!$L$24:$L$96,A110&amp;" / "&amp;B110,'2015'!$B$24:$B$96,"Regular")+COUNTIFS('2016'!$L$24:$L$96,A110&amp;" / "&amp;B110,'2016'!$B$24:$B$96,"Regular")+COUNTIFS('2017'!$L$24:$L$106,A110&amp;" / "&amp;B110,'2017'!$B$24:$B$106,"Regular")+COUNTIFS('2018'!$L$24:$L$106,A110&amp;" / "&amp;B110,'2018'!$B$24:$B$106,"Regular")+COUNTIFS('2019'!$L$24:$L$106,A110&amp;" / "&amp;B110,'2019'!$B$24:$B$106,"Regular")+COUNTIFS('2020'!$L$24:$L$106,A110&amp;" / "&amp;B110,'2020'!$B$24:$B$106,"Regular")+COUNTIFS('2021'!$L$24:$L$112,A110&amp;" / "&amp;B110,'2021'!$B$24:$B$112,"Regular")+COUNTIFS('2022'!$L$24:$L$112,A110&amp;" / "&amp;B110,'2022'!$B$24:$B$112,"Regular")+COUNTIFS('2023'!$L$24:$L$112,A110&amp;" / "&amp;B110,'2023'!$B$24:$B$112,"Regular")+COUNTIFS('2024'!$L$24:$L$112,A110&amp;" / "&amp;B110,'2024'!$B$24:$B$112,"Regular")+COUNTIFS('2025'!$L$24:$L$112,A110&amp;" / "&amp;B110,'2025'!$B$24:$B$112,"Regular")</x:f>
        <x:v>11</x:v>
      </x:c>
      <x:c r="K110" s="2" t="n">
        <x:f>COUNTIFS('2015'!$L$24:$L$96,A110&amp;" / "&amp;B110,'2015'!$B$24:$B$96,"Playoffs")+COUNTIFS('2016'!$L$24:$L$96,A110&amp;" / "&amp;B110,'2016'!$B$24:$B$96,"Playoffs")+COUNTIFS('2017'!$L$24:$L$106,A110&amp;" / "&amp;B110,'2017'!$B$24:$B$106,"Playoffs")+COUNTIFS('2018'!$L$24:$L$106,A110&amp;" / "&amp;B110,'2018'!$B$24:$B$106,"Playoffs")+COUNTIFS('2019'!$L$24:$L$106,A110&amp;" / "&amp;B110,'2019'!$B$24:$B$106,"Playoffs")+COUNTIFS('2020'!$L$24:$L$106,A110&amp;" / "&amp;B110,'2020'!$B$24:$B$106,"Playoffs")+COUNTIFS('2021'!$L$24:$L$112,A110&amp;" / "&amp;B110,'2021'!$B$24:$B$112,"Playoffs")+COUNTIFS('2022'!$L$24:$L$112,A110&amp;" / "&amp;B110,'2022'!$B$24:$B$112,"Playoffs")+COUNTIFS('2023'!$L$24:$L$112,A110&amp;" / "&amp;B110,'2023'!$B$24:$B$112,"Playoffs")+COUNTIFS('2024'!$L$24:$L$112,A110&amp;" / "&amp;B110,'2024'!$B$24:$B$112,"Playoffs")+COUNTIFS('2025'!$L$24:$L$112,A110&amp;" / "&amp;B110,'2025'!$B$24:$B$112,"Playoffs")</x:f>
        <x:v>0</x:v>
      </x:c>
      <x:c r="L110" s="2" t="n">
        <x:f>COUNTIFS('2015'!$L$24:$L$96,A110&amp;" / "&amp;B110,'2015'!$B$24:$B$96,"Unconfirmed")+COUNTIFS('2016'!$L$24:$L$96,A110&amp;" / "&amp;B110,'2016'!$B$24:$B$96,"Unconfirmed")+COUNTIFS('2017'!$L$24:$L$106,A110&amp;" / "&amp;B110,'2017'!$B$24:$B$106,"Unconfirmed")+COUNTIFS('2018'!$L$24:$L$106,A110&amp;" / "&amp;B110,'2018'!$B$24:$B$106,"Unconfirmed")+COUNTIFS('2019'!$L$24:$L$106,A110&amp;" / "&amp;B110,'2019'!$B$24:$B$106,"Unconfirmed")+COUNTIFS('2020'!$L$24:$L$106,A110&amp;" / "&amp;B110,'2020'!$B$24:$B$106,"Unconfirmed")+COUNTIFS('2021'!$L$24:$L$112,A110&amp;" / "&amp;B110,'2021'!$B$24:$B$112,"Unconfirmed")+COUNTIFS('2022'!$L$24:$L$112,A110&amp;" / "&amp;B110,'2022'!$B$24:$B$112,"Unconfirmed")+COUNTIFS('2023'!$L$24:$L$112,A110&amp;" / "&amp;B110,'2023'!$B$24:$B$112,"Unconfirmed")+COUNTIFS('2024'!$L$24:$L$112,A110&amp;" / "&amp;B110,'2024'!$B$24:$B$112,"Unconfirmed")+COUNTIFS('2025'!$L$24:$L$112,A110&amp;" / "&amp;B110,'2025'!$B$24:$B$112,"Unconfirmed")</x:f>
        <x:v>0</x:v>
      </x:c>
    </x:row>
    <x:row r="111" ht="22" customHeight="1">
      <x:c r="A111" s="2" t="str">
        <x:v>Frank</x:v>
      </x:c>
      <x:c r="B111" s="2" t="str">
        <x:v>Nick</x:v>
      </x:c>
      <x:c r="C111" s="2" t="n">
        <x:f>COUNTIFS('2015'!$L$24:$L$96,A111&amp;" / "&amp;B111)+COUNTIFS('2016'!$L$24:$L$96,A111&amp;" / "&amp;B111)+COUNTIFS('2017'!$L$24:$L$106,A111&amp;" / "&amp;B111)+COUNTIFS('2018'!$L$24:$L$106,A111&amp;" / "&amp;B111)+COUNTIFS('2019'!$L$24:$L$106,A111&amp;" / "&amp;B111)+COUNTIFS('2020'!$L$24:$L$106,A111&amp;" / "&amp;B111)+COUNTIFS('2021'!$L$24:$L$112,A111&amp;" / "&amp;B111)+COUNTIFS('2022'!$L$24:$L$112,A111&amp;" / "&amp;B111)+COUNTIFS('2023'!$L$24:$L$112,A111&amp;" / "&amp;B111)+COUNTIFS('2024'!$L$24:$L$112,A111&amp;" / "&amp;B111)+COUNTIFS('2025'!$L$24:$L$112,A111&amp;" / "&amp;B111)</x:f>
        <x:v>5</x:v>
      </x:c>
      <x:c r="D111" s="2" t="n">
        <x:f>COUNTIFS('2015'!$L$24:$L$96,A111&amp;" / "&amp;B111,'2015'!$I$24:$I$96,A111)+COUNTIFS('2016'!$L$24:$L$96,A111&amp;" / "&amp;B111,'2016'!$I$24:$I$96,A111)+COUNTIFS('2017'!$L$24:$L$106,A111&amp;" / "&amp;B111,'2017'!$I$24:$I$106,A111)+COUNTIFS('2018'!$L$24:$L$106,A111&amp;" / "&amp;B111,'2018'!$I$24:$I$106,A111)+COUNTIFS('2019'!$L$24:$L$106,A111&amp;" / "&amp;B111,'2019'!$I$24:$I$106,A111)+COUNTIFS('2020'!$L$24:$L$106,A111&amp;" / "&amp;B111,'2020'!$I$24:$I$106,A111)+COUNTIFS('2021'!$L$24:$L$112,A111&amp;" / "&amp;B111,'2021'!$I$24:$I$112,A111)+COUNTIFS('2022'!$L$24:$L$112,A111&amp;" / "&amp;B111,'2022'!$I$24:$I$112,A111)+COUNTIFS('2023'!$L$24:$L$112,A111&amp;" / "&amp;B111,'2023'!$I$24:$I$112,A111)+COUNTIFS('2024'!$L$24:$L$112,A111&amp;" / "&amp;B111,'2024'!$I$24:$I$112,A111)+COUNTIFS('2025'!$L$24:$L$112,A111&amp;" / "&amp;B111,'2025'!$I$24:$I$112,A111)</x:f>
        <x:v>4</x:v>
      </x:c>
      <x:c r="E111" s="2" t="n">
        <x:f>COUNTIFS('2015'!$L$24:$L$96,A111&amp;" / "&amp;B111,'2015'!$I$24:$I$96,B111)+COUNTIFS('2016'!$L$24:$L$96,A111&amp;" / "&amp;B111,'2016'!$I$24:$I$96,B111)+COUNTIFS('2017'!$L$24:$L$106,A111&amp;" / "&amp;B111,'2017'!$I$24:$I$106,B111)+COUNTIFS('2018'!$L$24:$L$106,A111&amp;" / "&amp;B111,'2018'!$I$24:$I$106,B111)+COUNTIFS('2019'!$L$24:$L$106,A111&amp;" / "&amp;B111,'2019'!$I$24:$I$106,B111)+COUNTIFS('2020'!$L$24:$L$106,A111&amp;" / "&amp;B111,'2020'!$I$24:$I$106,B111)+COUNTIFS('2021'!$L$24:$L$112,A111&amp;" / "&amp;B111,'2021'!$I$24:$I$112,B111)+COUNTIFS('2022'!$L$24:$L$112,A111&amp;" / "&amp;B111,'2022'!$I$24:$I$112,B111)+COUNTIFS('2023'!$L$24:$L$112,A111&amp;" / "&amp;B111,'2023'!$I$24:$I$112,B111)+COUNTIFS('2024'!$L$24:$L$112,A111&amp;" / "&amp;B111,'2024'!$I$24:$I$112,B111)+COUNTIFS('2025'!$L$24:$L$112,A111&amp;" / "&amp;B111,'2025'!$I$24:$I$112,B111)</x:f>
        <x:v>1</x:v>
      </x:c>
      <x:c r="F111" s="2" t="n">
        <x:f>COUNTIFS('2015'!$L$24:$L$96,A111&amp;" / "&amp;B111,'2015'!$K$24:$K$96,1)+COUNTIFS('2016'!$L$24:$L$96,A111&amp;" / "&amp;B111,'2016'!$K$24:$K$96,1)+COUNTIFS('2017'!$L$24:$L$106,A111&amp;" / "&amp;B111,'2017'!$K$24:$K$106,1)+COUNTIFS('2018'!$L$24:$L$106,A111&amp;" / "&amp;B111,'2018'!$K$24:$K$106,1)+COUNTIFS('2019'!$L$24:$L$106,A111&amp;" / "&amp;B111,'2019'!$K$24:$K$106,1)+COUNTIFS('2020'!$L$24:$L$106,A111&amp;" / "&amp;B111,'2020'!$K$24:$K$106,1)+COUNTIFS('2021'!$L$24:$L$112,A111&amp;" / "&amp;B111,'2021'!$K$24:$K$112,1)+COUNTIFS('2022'!$L$24:$L$112,A111&amp;" / "&amp;B111,'2022'!$K$24:$K$112,1)+COUNTIFS('2023'!$L$24:$L$112,A111&amp;" / "&amp;B111,'2023'!$K$24:$K$112,1)+COUNTIFS('2024'!$L$24:$L$112,A111&amp;" / "&amp;B111,'2024'!$K$24:$K$112,1)+COUNTIFS('2025'!$L$24:$L$112,A111&amp;" / "&amp;B111,'2025'!$K$24:$K$112,1)</x:f>
        <x:v>0</x:v>
      </x:c>
      <x:c r="G111" s="25" t="n">
        <x:f>SUMIFS('2015'!$E$24:$E$96,'2015'!$L$24:$L$96,A111&amp;" / "&amp;B111,'2015'!$C$24:$C$96,A111)+SUMIFS('2015'!$H$24:$H$96,'2015'!$L$24:$L$96,A111&amp;" / "&amp;B111,'2015'!$F$24:$F$96,A111)+SUMIFS('2016'!$E$24:$E$96,'2016'!$L$24:$L$96,A111&amp;" / "&amp;B111,'2016'!$C$24:$C$96,A111)+SUMIFS('2016'!$H$24:$H$96,'2016'!$L$24:$L$96,A111&amp;" / "&amp;B111,'2016'!$F$24:$F$96,A111)+SUMIFS('2017'!$E$24:$E$106,'2017'!$L$24:$L$106,A111&amp;" / "&amp;B111,'2017'!$C$24:$C$106,A111)+SUMIFS('2017'!$H$24:$H$106,'2017'!$L$24:$L$106,A111&amp;" / "&amp;B111,'2017'!$F$24:$F$106,A111)+SUMIFS('2018'!$E$24:$E$106,'2018'!$L$24:$L$106,A111&amp;" / "&amp;B111,'2018'!$C$24:$C$106,A111)+SUMIFS('2018'!$H$24:$H$106,'2018'!$L$24:$L$106,A111&amp;" / "&amp;B111,'2018'!$F$24:$F$106,A111)+SUMIFS('2019'!$E$24:$E$106,'2019'!$L$24:$L$106,A111&amp;" / "&amp;B111,'2019'!$C$24:$C$106,A111)+SUMIFS('2019'!$H$24:$H$106,'2019'!$L$24:$L$106,A111&amp;" / "&amp;B111,'2019'!$F$24:$F$106,A111)+SUMIFS('2020'!$E$24:$E$106,'2020'!$L$24:$L$106,A111&amp;" / "&amp;B111,'2020'!$C$24:$C$106,A111)+SUMIFS('2020'!$H$24:$H$106,'2020'!$L$24:$L$106,A111&amp;" / "&amp;B111,'2020'!$F$24:$F$106,A111)+SUMIFS('2021'!$E$24:$E$112,'2021'!$L$24:$L$112,A111&amp;" / "&amp;B111,'2021'!$C$24:$C$112,A111)+SUMIFS('2021'!$H$24:$H$112,'2021'!$L$24:$L$112,A111&amp;" / "&amp;B111,'2021'!$F$24:$F$112,A111)+SUMIFS('2022'!$E$24:$E$112,'2022'!$L$24:$L$112,A111&amp;" / "&amp;B111,'2022'!$C$24:$C$112,A111)+SUMIFS('2022'!$H$24:$H$112,'2022'!$L$24:$L$112,A111&amp;" / "&amp;B111,'2022'!$F$24:$F$112,A111)+SUMIFS('2023'!$E$24:$E$112,'2023'!$L$24:$L$112,A111&amp;" / "&amp;B111,'2023'!$C$24:$C$112,A111)+SUMIFS('2023'!$H$24:$H$112,'2023'!$L$24:$L$112,A111&amp;" / "&amp;B111,'2023'!$F$24:$F$112,A111)+SUMIFS('2024'!$E$24:$E$112,'2024'!$L$24:$L$112,A111&amp;" / "&amp;B111,'2024'!$C$24:$C$112,A111)+SUMIFS('2024'!$H$24:$H$112,'2024'!$L$24:$L$112,A111&amp;" / "&amp;B111,'2024'!$F$24:$F$112,A111)+SUMIFS('2025'!$E$24:$E$112,'2025'!$L$24:$L$112,A111&amp;" / "&amp;B111,'2025'!$C$24:$C$112,A111)+SUMIFS('2025'!$H$24:$H$112,'2025'!$L$24:$L$112,A111&amp;" / "&amp;B111,'2025'!$F$24:$F$112,A111)</x:f>
        <x:v>606.3000000000001</x:v>
      </x:c>
      <x:c r="H111" s="25" t="n">
        <x:f>SUMIFS('2015'!$E$24:$E$96,'2015'!$L$24:$L$96,A111&amp;" / "&amp;B111,'2015'!$C$24:$C$96,B111)+SUMIFS('2015'!$H$24:$H$96,'2015'!$L$24:$L$96,A111&amp;" / "&amp;B111,'2015'!$F$24:$F$96,B111)+SUMIFS('2016'!$E$24:$E$96,'2016'!$L$24:$L$96,A111&amp;" / "&amp;B111,'2016'!$C$24:$C$96,B111)+SUMIFS('2016'!$H$24:$H$96,'2016'!$L$24:$L$96,A111&amp;" / "&amp;B111,'2016'!$F$24:$F$96,B111)+SUMIFS('2017'!$E$24:$E$106,'2017'!$L$24:$L$106,A111&amp;" / "&amp;B111,'2017'!$C$24:$C$106,B111)+SUMIFS('2017'!$H$24:$H$106,'2017'!$L$24:$L$106,A111&amp;" / "&amp;B111,'2017'!$F$24:$F$106,B111)+SUMIFS('2018'!$E$24:$E$106,'2018'!$L$24:$L$106,A111&amp;" / "&amp;B111,'2018'!$C$24:$C$106,B111)+SUMIFS('2018'!$H$24:$H$106,'2018'!$L$24:$L$106,A111&amp;" / "&amp;B111,'2018'!$F$24:$F$106,B111)+SUMIFS('2019'!$E$24:$E$106,'2019'!$L$24:$L$106,A111&amp;" / "&amp;B111,'2019'!$C$24:$C$106,B111)+SUMIFS('2019'!$H$24:$H$106,'2019'!$L$24:$L$106,A111&amp;" / "&amp;B111,'2019'!$F$24:$F$106,B111)+SUMIFS('2020'!$E$24:$E$106,'2020'!$L$24:$L$106,A111&amp;" / "&amp;B111,'2020'!$C$24:$C$106,B111)+SUMIFS('2020'!$H$24:$H$106,'2020'!$L$24:$L$106,A111&amp;" / "&amp;B111,'2020'!$F$24:$F$106,B111)+SUMIFS('2021'!$E$24:$E$112,'2021'!$L$24:$L$112,A111&amp;" / "&amp;B111,'2021'!$C$24:$C$112,B111)+SUMIFS('2021'!$H$24:$H$112,'2021'!$L$24:$L$112,A111&amp;" / "&amp;B111,'2021'!$F$24:$F$112,B111)+SUMIFS('2022'!$E$24:$E$112,'2022'!$L$24:$L$112,A111&amp;" / "&amp;B111,'2022'!$C$24:$C$112,B111)+SUMIFS('2022'!$H$24:$H$112,'2022'!$L$24:$L$112,A111&amp;" / "&amp;B111,'2022'!$F$24:$F$112,B111)+SUMIFS('2023'!$E$24:$E$112,'2023'!$L$24:$L$112,A111&amp;" / "&amp;B111,'2023'!$C$24:$C$112,B111)+SUMIFS('2023'!$H$24:$H$112,'2023'!$L$24:$L$112,A111&amp;" / "&amp;B111,'2023'!$F$24:$F$112,B111)+SUMIFS('2024'!$E$24:$E$112,'2024'!$L$24:$L$112,A111&amp;" / "&amp;B111,'2024'!$C$24:$C$112,B111)+SUMIFS('2024'!$H$24:$H$112,'2024'!$L$24:$L$112,A111&amp;" / "&amp;B111,'2024'!$F$24:$F$112,B111)+SUMIFS('2025'!$E$24:$E$112,'2025'!$L$24:$L$112,A111&amp;" / "&amp;B111,'2025'!$C$24:$C$112,B111)+SUMIFS('2025'!$H$24:$H$112,'2025'!$L$24:$L$112,A111&amp;" / "&amp;B111,'2025'!$F$24:$F$112,B111)</x:f>
        <x:v>502.85</x:v>
      </x:c>
      <x:c r="I111" s="11" t="n">
        <x:f>IF(C111=0,0,(D111+0.5*F111)/C111)</x:f>
        <x:v>0.8</x:v>
      </x:c>
      <x:c r="J111" s="2" t="n">
        <x:f>COUNTIFS('2015'!$L$24:$L$96,A111&amp;" / "&amp;B111,'2015'!$B$24:$B$96,"Regular")+COUNTIFS('2016'!$L$24:$L$96,A111&amp;" / "&amp;B111,'2016'!$B$24:$B$96,"Regular")+COUNTIFS('2017'!$L$24:$L$106,A111&amp;" / "&amp;B111,'2017'!$B$24:$B$106,"Regular")+COUNTIFS('2018'!$L$24:$L$106,A111&amp;" / "&amp;B111,'2018'!$B$24:$B$106,"Regular")+COUNTIFS('2019'!$L$24:$L$106,A111&amp;" / "&amp;B111,'2019'!$B$24:$B$106,"Regular")+COUNTIFS('2020'!$L$24:$L$106,A111&amp;" / "&amp;B111,'2020'!$B$24:$B$106,"Regular")+COUNTIFS('2021'!$L$24:$L$112,A111&amp;" / "&amp;B111,'2021'!$B$24:$B$112,"Regular")+COUNTIFS('2022'!$L$24:$L$112,A111&amp;" / "&amp;B111,'2022'!$B$24:$B$112,"Regular")+COUNTIFS('2023'!$L$24:$L$112,A111&amp;" / "&amp;B111,'2023'!$B$24:$B$112,"Regular")+COUNTIFS('2024'!$L$24:$L$112,A111&amp;" / "&amp;B111,'2024'!$B$24:$B$112,"Regular")+COUNTIFS('2025'!$L$24:$L$112,A111&amp;" / "&amp;B111,'2025'!$B$24:$B$112,"Regular")</x:f>
        <x:v>5</x:v>
      </x:c>
      <x:c r="K111" s="2" t="n">
        <x:f>COUNTIFS('2015'!$L$24:$L$96,A111&amp;" / "&amp;B111,'2015'!$B$24:$B$96,"Playoffs")+COUNTIFS('2016'!$L$24:$L$96,A111&amp;" / "&amp;B111,'2016'!$B$24:$B$96,"Playoffs")+COUNTIFS('2017'!$L$24:$L$106,A111&amp;" / "&amp;B111,'2017'!$B$24:$B$106,"Playoffs")+COUNTIFS('2018'!$L$24:$L$106,A111&amp;" / "&amp;B111,'2018'!$B$24:$B$106,"Playoffs")+COUNTIFS('2019'!$L$24:$L$106,A111&amp;" / "&amp;B111,'2019'!$B$24:$B$106,"Playoffs")+COUNTIFS('2020'!$L$24:$L$106,A111&amp;" / "&amp;B111,'2020'!$B$24:$B$106,"Playoffs")+COUNTIFS('2021'!$L$24:$L$112,A111&amp;" / "&amp;B111,'2021'!$B$24:$B$112,"Playoffs")+COUNTIFS('2022'!$L$24:$L$112,A111&amp;" / "&amp;B111,'2022'!$B$24:$B$112,"Playoffs")+COUNTIFS('2023'!$L$24:$L$112,A111&amp;" / "&amp;B111,'2023'!$B$24:$B$112,"Playoffs")+COUNTIFS('2024'!$L$24:$L$112,A111&amp;" / "&amp;B111,'2024'!$B$24:$B$112,"Playoffs")+COUNTIFS('2025'!$L$24:$L$112,A111&amp;" / "&amp;B111,'2025'!$B$24:$B$112,"Playoffs")</x:f>
        <x:v>0</x:v>
      </x:c>
      <x:c r="L111" s="2" t="n">
        <x:f>COUNTIFS('2015'!$L$24:$L$96,A111&amp;" / "&amp;B111,'2015'!$B$24:$B$96,"Unconfirmed")+COUNTIFS('2016'!$L$24:$L$96,A111&amp;" / "&amp;B111,'2016'!$B$24:$B$96,"Unconfirmed")+COUNTIFS('2017'!$L$24:$L$106,A111&amp;" / "&amp;B111,'2017'!$B$24:$B$106,"Unconfirmed")+COUNTIFS('2018'!$L$24:$L$106,A111&amp;" / "&amp;B111,'2018'!$B$24:$B$106,"Unconfirmed")+COUNTIFS('2019'!$L$24:$L$106,A111&amp;" / "&amp;B111,'2019'!$B$24:$B$106,"Unconfirmed")+COUNTIFS('2020'!$L$24:$L$106,A111&amp;" / "&amp;B111,'2020'!$B$24:$B$106,"Unconfirmed")+COUNTIFS('2021'!$L$24:$L$112,A111&amp;" / "&amp;B111,'2021'!$B$24:$B$112,"Unconfirmed")+COUNTIFS('2022'!$L$24:$L$112,A111&amp;" / "&amp;B111,'2022'!$B$24:$B$112,"Unconfirmed")+COUNTIFS('2023'!$L$24:$L$112,A111&amp;" / "&amp;B111,'2023'!$B$24:$B$112,"Unconfirmed")+COUNTIFS('2024'!$L$24:$L$112,A111&amp;" / "&amp;B111,'2024'!$B$24:$B$112,"Unconfirmed")+COUNTIFS('2025'!$L$24:$L$112,A111&amp;" / "&amp;B111,'2025'!$B$24:$B$112,"Unconfirmed")</x:f>
        <x:v>0</x:v>
      </x:c>
    </x:row>
    <x:row r="112" ht="22" customHeight="1">
      <x:c r="A112" s="2" t="str">
        <x:v>Frank</x:v>
      </x:c>
      <x:c r="B112" s="2" t="str">
        <x:v>Paul</x:v>
      </x:c>
      <x:c r="C112" s="2" t="n">
        <x:f>COUNTIFS('2015'!$L$24:$L$96,A112&amp;" / "&amp;B112)+COUNTIFS('2016'!$L$24:$L$96,A112&amp;" / "&amp;B112)+COUNTIFS('2017'!$L$24:$L$106,A112&amp;" / "&amp;B112)+COUNTIFS('2018'!$L$24:$L$106,A112&amp;" / "&amp;B112)+COUNTIFS('2019'!$L$24:$L$106,A112&amp;" / "&amp;B112)+COUNTIFS('2020'!$L$24:$L$106,A112&amp;" / "&amp;B112)+COUNTIFS('2021'!$L$24:$L$112,A112&amp;" / "&amp;B112)+COUNTIFS('2022'!$L$24:$L$112,A112&amp;" / "&amp;B112)+COUNTIFS('2023'!$L$24:$L$112,A112&amp;" / "&amp;B112)+COUNTIFS('2024'!$L$24:$L$112,A112&amp;" / "&amp;B112)+COUNTIFS('2025'!$L$24:$L$112,A112&amp;" / "&amp;B112)</x:f>
        <x:v>12</x:v>
      </x:c>
      <x:c r="D112" s="2" t="n">
        <x:f>COUNTIFS('2015'!$L$24:$L$96,A112&amp;" / "&amp;B112,'2015'!$I$24:$I$96,A112)+COUNTIFS('2016'!$L$24:$L$96,A112&amp;" / "&amp;B112,'2016'!$I$24:$I$96,A112)+COUNTIFS('2017'!$L$24:$L$106,A112&amp;" / "&amp;B112,'2017'!$I$24:$I$106,A112)+COUNTIFS('2018'!$L$24:$L$106,A112&amp;" / "&amp;B112,'2018'!$I$24:$I$106,A112)+COUNTIFS('2019'!$L$24:$L$106,A112&amp;" / "&amp;B112,'2019'!$I$24:$I$106,A112)+COUNTIFS('2020'!$L$24:$L$106,A112&amp;" / "&amp;B112,'2020'!$I$24:$I$106,A112)+COUNTIFS('2021'!$L$24:$L$112,A112&amp;" / "&amp;B112,'2021'!$I$24:$I$112,A112)+COUNTIFS('2022'!$L$24:$L$112,A112&amp;" / "&amp;B112,'2022'!$I$24:$I$112,A112)+COUNTIFS('2023'!$L$24:$L$112,A112&amp;" / "&amp;B112,'2023'!$I$24:$I$112,A112)+COUNTIFS('2024'!$L$24:$L$112,A112&amp;" / "&amp;B112,'2024'!$I$24:$I$112,A112)+COUNTIFS('2025'!$L$24:$L$112,A112&amp;" / "&amp;B112,'2025'!$I$24:$I$112,A112)</x:f>
        <x:v>5</x:v>
      </x:c>
      <x:c r="E112" s="2" t="n">
        <x:f>COUNTIFS('2015'!$L$24:$L$96,A112&amp;" / "&amp;B112,'2015'!$I$24:$I$96,B112)+COUNTIFS('2016'!$L$24:$L$96,A112&amp;" / "&amp;B112,'2016'!$I$24:$I$96,B112)+COUNTIFS('2017'!$L$24:$L$106,A112&amp;" / "&amp;B112,'2017'!$I$24:$I$106,B112)+COUNTIFS('2018'!$L$24:$L$106,A112&amp;" / "&amp;B112,'2018'!$I$24:$I$106,B112)+COUNTIFS('2019'!$L$24:$L$106,A112&amp;" / "&amp;B112,'2019'!$I$24:$I$106,B112)+COUNTIFS('2020'!$L$24:$L$106,A112&amp;" / "&amp;B112,'2020'!$I$24:$I$106,B112)+COUNTIFS('2021'!$L$24:$L$112,A112&amp;" / "&amp;B112,'2021'!$I$24:$I$112,B112)+COUNTIFS('2022'!$L$24:$L$112,A112&amp;" / "&amp;B112,'2022'!$I$24:$I$112,B112)+COUNTIFS('2023'!$L$24:$L$112,A112&amp;" / "&amp;B112,'2023'!$I$24:$I$112,B112)+COUNTIFS('2024'!$L$24:$L$112,A112&amp;" / "&amp;B112,'2024'!$I$24:$I$112,B112)+COUNTIFS('2025'!$L$24:$L$112,A112&amp;" / "&amp;B112,'2025'!$I$24:$I$112,B112)</x:f>
        <x:v>7</x:v>
      </x:c>
      <x:c r="F112" s="2" t="n">
        <x:f>COUNTIFS('2015'!$L$24:$L$96,A112&amp;" / "&amp;B112,'2015'!$K$24:$K$96,1)+COUNTIFS('2016'!$L$24:$L$96,A112&amp;" / "&amp;B112,'2016'!$K$24:$K$96,1)+COUNTIFS('2017'!$L$24:$L$106,A112&amp;" / "&amp;B112,'2017'!$K$24:$K$106,1)+COUNTIFS('2018'!$L$24:$L$106,A112&amp;" / "&amp;B112,'2018'!$K$24:$K$106,1)+COUNTIFS('2019'!$L$24:$L$106,A112&amp;" / "&amp;B112,'2019'!$K$24:$K$106,1)+COUNTIFS('2020'!$L$24:$L$106,A112&amp;" / "&amp;B112,'2020'!$K$24:$K$106,1)+COUNTIFS('2021'!$L$24:$L$112,A112&amp;" / "&amp;B112,'2021'!$K$24:$K$112,1)+COUNTIFS('2022'!$L$24:$L$112,A112&amp;" / "&amp;B112,'2022'!$K$24:$K$112,1)+COUNTIFS('2023'!$L$24:$L$112,A112&amp;" / "&amp;B112,'2023'!$K$24:$K$112,1)+COUNTIFS('2024'!$L$24:$L$112,A112&amp;" / "&amp;B112,'2024'!$K$24:$K$112,1)+COUNTIFS('2025'!$L$24:$L$112,A112&amp;" / "&amp;B112,'2025'!$K$24:$K$112,1)</x:f>
        <x:v>0</x:v>
      </x:c>
      <x:c r="G112" s="25" t="n">
        <x:f>SUMIFS('2015'!$E$24:$E$96,'2015'!$L$24:$L$96,A112&amp;" / "&amp;B112,'2015'!$C$24:$C$96,A112)+SUMIFS('2015'!$H$24:$H$96,'2015'!$L$24:$L$96,A112&amp;" / "&amp;B112,'2015'!$F$24:$F$96,A112)+SUMIFS('2016'!$E$24:$E$96,'2016'!$L$24:$L$96,A112&amp;" / "&amp;B112,'2016'!$C$24:$C$96,A112)+SUMIFS('2016'!$H$24:$H$96,'2016'!$L$24:$L$96,A112&amp;" / "&amp;B112,'2016'!$F$24:$F$96,A112)+SUMIFS('2017'!$E$24:$E$106,'2017'!$L$24:$L$106,A112&amp;" / "&amp;B112,'2017'!$C$24:$C$106,A112)+SUMIFS('2017'!$H$24:$H$106,'2017'!$L$24:$L$106,A112&amp;" / "&amp;B112,'2017'!$F$24:$F$106,A112)+SUMIFS('2018'!$E$24:$E$106,'2018'!$L$24:$L$106,A112&amp;" / "&amp;B112,'2018'!$C$24:$C$106,A112)+SUMIFS('2018'!$H$24:$H$106,'2018'!$L$24:$L$106,A112&amp;" / "&amp;B112,'2018'!$F$24:$F$106,A112)+SUMIFS('2019'!$E$24:$E$106,'2019'!$L$24:$L$106,A112&amp;" / "&amp;B112,'2019'!$C$24:$C$106,A112)+SUMIFS('2019'!$H$24:$H$106,'2019'!$L$24:$L$106,A112&amp;" / "&amp;B112,'2019'!$F$24:$F$106,A112)+SUMIFS('2020'!$E$24:$E$106,'2020'!$L$24:$L$106,A112&amp;" / "&amp;B112,'2020'!$C$24:$C$106,A112)+SUMIFS('2020'!$H$24:$H$106,'2020'!$L$24:$L$106,A112&amp;" / "&amp;B112,'2020'!$F$24:$F$106,A112)+SUMIFS('2021'!$E$24:$E$112,'2021'!$L$24:$L$112,A112&amp;" / "&amp;B112,'2021'!$C$24:$C$112,A112)+SUMIFS('2021'!$H$24:$H$112,'2021'!$L$24:$L$112,A112&amp;" / "&amp;B112,'2021'!$F$24:$F$112,A112)+SUMIFS('2022'!$E$24:$E$112,'2022'!$L$24:$L$112,A112&amp;" / "&amp;B112,'2022'!$C$24:$C$112,A112)+SUMIFS('2022'!$H$24:$H$112,'2022'!$L$24:$L$112,A112&amp;" / "&amp;B112,'2022'!$F$24:$F$112,A112)+SUMIFS('2023'!$E$24:$E$112,'2023'!$L$24:$L$112,A112&amp;" / "&amp;B112,'2023'!$C$24:$C$112,A112)+SUMIFS('2023'!$H$24:$H$112,'2023'!$L$24:$L$112,A112&amp;" / "&amp;B112,'2023'!$F$24:$F$112,A112)+SUMIFS('2024'!$E$24:$E$112,'2024'!$L$24:$L$112,A112&amp;" / "&amp;B112,'2024'!$C$24:$C$112,A112)+SUMIFS('2024'!$H$24:$H$112,'2024'!$L$24:$L$112,A112&amp;" / "&amp;B112,'2024'!$F$24:$F$112,A112)+SUMIFS('2025'!$E$24:$E$112,'2025'!$L$24:$L$112,A112&amp;" / "&amp;B112,'2025'!$C$24:$C$112,A112)+SUMIFS('2025'!$H$24:$H$112,'2025'!$L$24:$L$112,A112&amp;" / "&amp;B112,'2025'!$F$24:$F$112,A112)</x:f>
        <x:v>1387.15</x:v>
      </x:c>
      <x:c r="H112" s="25" t="n">
        <x:f>SUMIFS('2015'!$E$24:$E$96,'2015'!$L$24:$L$96,A112&amp;" / "&amp;B112,'2015'!$C$24:$C$96,B112)+SUMIFS('2015'!$H$24:$H$96,'2015'!$L$24:$L$96,A112&amp;" / "&amp;B112,'2015'!$F$24:$F$96,B112)+SUMIFS('2016'!$E$24:$E$96,'2016'!$L$24:$L$96,A112&amp;" / "&amp;B112,'2016'!$C$24:$C$96,B112)+SUMIFS('2016'!$H$24:$H$96,'2016'!$L$24:$L$96,A112&amp;" / "&amp;B112,'2016'!$F$24:$F$96,B112)+SUMIFS('2017'!$E$24:$E$106,'2017'!$L$24:$L$106,A112&amp;" / "&amp;B112,'2017'!$C$24:$C$106,B112)+SUMIFS('2017'!$H$24:$H$106,'2017'!$L$24:$L$106,A112&amp;" / "&amp;B112,'2017'!$F$24:$F$106,B112)+SUMIFS('2018'!$E$24:$E$106,'2018'!$L$24:$L$106,A112&amp;" / "&amp;B112,'2018'!$C$24:$C$106,B112)+SUMIFS('2018'!$H$24:$H$106,'2018'!$L$24:$L$106,A112&amp;" / "&amp;B112,'2018'!$F$24:$F$106,B112)+SUMIFS('2019'!$E$24:$E$106,'2019'!$L$24:$L$106,A112&amp;" / "&amp;B112,'2019'!$C$24:$C$106,B112)+SUMIFS('2019'!$H$24:$H$106,'2019'!$L$24:$L$106,A112&amp;" / "&amp;B112,'2019'!$F$24:$F$106,B112)+SUMIFS('2020'!$E$24:$E$106,'2020'!$L$24:$L$106,A112&amp;" / "&amp;B112,'2020'!$C$24:$C$106,B112)+SUMIFS('2020'!$H$24:$H$106,'2020'!$L$24:$L$106,A112&amp;" / "&amp;B112,'2020'!$F$24:$F$106,B112)+SUMIFS('2021'!$E$24:$E$112,'2021'!$L$24:$L$112,A112&amp;" / "&amp;B112,'2021'!$C$24:$C$112,B112)+SUMIFS('2021'!$H$24:$H$112,'2021'!$L$24:$L$112,A112&amp;" / "&amp;B112,'2021'!$F$24:$F$112,B112)+SUMIFS('2022'!$E$24:$E$112,'2022'!$L$24:$L$112,A112&amp;" / "&amp;B112,'2022'!$C$24:$C$112,B112)+SUMIFS('2022'!$H$24:$H$112,'2022'!$L$24:$L$112,A112&amp;" / "&amp;B112,'2022'!$F$24:$F$112,B112)+SUMIFS('2023'!$E$24:$E$112,'2023'!$L$24:$L$112,A112&amp;" / "&amp;B112,'2023'!$C$24:$C$112,B112)+SUMIFS('2023'!$H$24:$H$112,'2023'!$L$24:$L$112,A112&amp;" / "&amp;B112,'2023'!$F$24:$F$112,B112)+SUMIFS('2024'!$E$24:$E$112,'2024'!$L$24:$L$112,A112&amp;" / "&amp;B112,'2024'!$C$24:$C$112,B112)+SUMIFS('2024'!$H$24:$H$112,'2024'!$L$24:$L$112,A112&amp;" / "&amp;B112,'2024'!$F$24:$F$112,B112)+SUMIFS('2025'!$E$24:$E$112,'2025'!$L$24:$L$112,A112&amp;" / "&amp;B112,'2025'!$C$24:$C$112,B112)+SUMIFS('2025'!$H$24:$H$112,'2025'!$L$24:$L$112,A112&amp;" / "&amp;B112,'2025'!$F$24:$F$112,B112)</x:f>
        <x:v>1574.35</x:v>
      </x:c>
      <x:c r="I112" s="11" t="n">
        <x:f>IF(C112=0,0,(D112+0.5*F112)/C112)</x:f>
        <x:v>0.4166666666666667</x:v>
      </x:c>
      <x:c r="J112" s="2" t="n">
        <x:f>COUNTIFS('2015'!$L$24:$L$96,A112&amp;" / "&amp;B112,'2015'!$B$24:$B$96,"Regular")+COUNTIFS('2016'!$L$24:$L$96,A112&amp;" / "&amp;B112,'2016'!$B$24:$B$96,"Regular")+COUNTIFS('2017'!$L$24:$L$106,A112&amp;" / "&amp;B112,'2017'!$B$24:$B$106,"Regular")+COUNTIFS('2018'!$L$24:$L$106,A112&amp;" / "&amp;B112,'2018'!$B$24:$B$106,"Regular")+COUNTIFS('2019'!$L$24:$L$106,A112&amp;" / "&amp;B112,'2019'!$B$24:$B$106,"Regular")+COUNTIFS('2020'!$L$24:$L$106,A112&amp;" / "&amp;B112,'2020'!$B$24:$B$106,"Regular")+COUNTIFS('2021'!$L$24:$L$112,A112&amp;" / "&amp;B112,'2021'!$B$24:$B$112,"Regular")+COUNTIFS('2022'!$L$24:$L$112,A112&amp;" / "&amp;B112,'2022'!$B$24:$B$112,"Regular")+COUNTIFS('2023'!$L$24:$L$112,A112&amp;" / "&amp;B112,'2023'!$B$24:$B$112,"Regular")+COUNTIFS('2024'!$L$24:$L$112,A112&amp;" / "&amp;B112,'2024'!$B$24:$B$112,"Regular")+COUNTIFS('2025'!$L$24:$L$112,A112&amp;" / "&amp;B112,'2025'!$B$24:$B$112,"Regular")</x:f>
        <x:v>12</x:v>
      </x:c>
      <x:c r="K112" s="2" t="n">
        <x:f>COUNTIFS('2015'!$L$24:$L$96,A112&amp;" / "&amp;B112,'2015'!$B$24:$B$96,"Playoffs")+COUNTIFS('2016'!$L$24:$L$96,A112&amp;" / "&amp;B112,'2016'!$B$24:$B$96,"Playoffs")+COUNTIFS('2017'!$L$24:$L$106,A112&amp;" / "&amp;B112,'2017'!$B$24:$B$106,"Playoffs")+COUNTIFS('2018'!$L$24:$L$106,A112&amp;" / "&amp;B112,'2018'!$B$24:$B$106,"Playoffs")+COUNTIFS('2019'!$L$24:$L$106,A112&amp;" / "&amp;B112,'2019'!$B$24:$B$106,"Playoffs")+COUNTIFS('2020'!$L$24:$L$106,A112&amp;" / "&amp;B112,'2020'!$B$24:$B$106,"Playoffs")+COUNTIFS('2021'!$L$24:$L$112,A112&amp;" / "&amp;B112,'2021'!$B$24:$B$112,"Playoffs")+COUNTIFS('2022'!$L$24:$L$112,A112&amp;" / "&amp;B112,'2022'!$B$24:$B$112,"Playoffs")+COUNTIFS('2023'!$L$24:$L$112,A112&amp;" / "&amp;B112,'2023'!$B$24:$B$112,"Playoffs")+COUNTIFS('2024'!$L$24:$L$112,A112&amp;" / "&amp;B112,'2024'!$B$24:$B$112,"Playoffs")+COUNTIFS('2025'!$L$24:$L$112,A112&amp;" / "&amp;B112,'2025'!$B$24:$B$112,"Playoffs")</x:f>
        <x:v>0</x:v>
      </x:c>
      <x:c r="L112" s="2" t="n">
        <x:f>COUNTIFS('2015'!$L$24:$L$96,A112&amp;" / "&amp;B112,'2015'!$B$24:$B$96,"Unconfirmed")+COUNTIFS('2016'!$L$24:$L$96,A112&amp;" / "&amp;B112,'2016'!$B$24:$B$96,"Unconfirmed")+COUNTIFS('2017'!$L$24:$L$106,A112&amp;" / "&amp;B112,'2017'!$B$24:$B$106,"Unconfirmed")+COUNTIFS('2018'!$L$24:$L$106,A112&amp;" / "&amp;B112,'2018'!$B$24:$B$106,"Unconfirmed")+COUNTIFS('2019'!$L$24:$L$106,A112&amp;" / "&amp;B112,'2019'!$B$24:$B$106,"Unconfirmed")+COUNTIFS('2020'!$L$24:$L$106,A112&amp;" / "&amp;B112,'2020'!$B$24:$B$106,"Unconfirmed")+COUNTIFS('2021'!$L$24:$L$112,A112&amp;" / "&amp;B112,'2021'!$B$24:$B$112,"Unconfirmed")+COUNTIFS('2022'!$L$24:$L$112,A112&amp;" / "&amp;B112,'2022'!$B$24:$B$112,"Unconfirmed")+COUNTIFS('2023'!$L$24:$L$112,A112&amp;" / "&amp;B112,'2023'!$B$24:$B$112,"Unconfirmed")+COUNTIFS('2024'!$L$24:$L$112,A112&amp;" / "&amp;B112,'2024'!$B$24:$B$112,"Unconfirmed")+COUNTIFS('2025'!$L$24:$L$112,A112&amp;" / "&amp;B112,'2025'!$B$24:$B$112,"Unconfirmed")</x:f>
        <x:v>0</x:v>
      </x:c>
    </x:row>
    <x:row r="113" ht="22" customHeight="1">
      <x:c r="A113" s="2" t="str">
        <x:v>Frank</x:v>
      </x:c>
      <x:c r="B113" s="2" t="str">
        <x:v>Poker Dude</x:v>
      </x:c>
      <x:c r="C113" s="2" t="n">
        <x:f>COUNTIFS('2015'!$L$24:$L$96,A113&amp;" / "&amp;B113)+COUNTIFS('2016'!$L$24:$L$96,A113&amp;" / "&amp;B113)+COUNTIFS('2017'!$L$24:$L$106,A113&amp;" / "&amp;B113)+COUNTIFS('2018'!$L$24:$L$106,A113&amp;" / "&amp;B113)+COUNTIFS('2019'!$L$24:$L$106,A113&amp;" / "&amp;B113)+COUNTIFS('2020'!$L$24:$L$106,A113&amp;" / "&amp;B113)+COUNTIFS('2021'!$L$24:$L$112,A113&amp;" / "&amp;B113)+COUNTIFS('2022'!$L$24:$L$112,A113&amp;" / "&amp;B113)+COUNTIFS('2023'!$L$24:$L$112,A113&amp;" / "&amp;B113)+COUNTIFS('2024'!$L$24:$L$112,A113&amp;" / "&amp;B113)+COUNTIFS('2025'!$L$24:$L$112,A113&amp;" / "&amp;B113)</x:f>
        <x:v>4</x:v>
      </x:c>
      <x:c r="D113" s="2" t="n">
        <x:f>COUNTIFS('2015'!$L$24:$L$96,A113&amp;" / "&amp;B113,'2015'!$I$24:$I$96,A113)+COUNTIFS('2016'!$L$24:$L$96,A113&amp;" / "&amp;B113,'2016'!$I$24:$I$96,A113)+COUNTIFS('2017'!$L$24:$L$106,A113&amp;" / "&amp;B113,'2017'!$I$24:$I$106,A113)+COUNTIFS('2018'!$L$24:$L$106,A113&amp;" / "&amp;B113,'2018'!$I$24:$I$106,A113)+COUNTIFS('2019'!$L$24:$L$106,A113&amp;" / "&amp;B113,'2019'!$I$24:$I$106,A113)+COUNTIFS('2020'!$L$24:$L$106,A113&amp;" / "&amp;B113,'2020'!$I$24:$I$106,A113)+COUNTIFS('2021'!$L$24:$L$112,A113&amp;" / "&amp;B113,'2021'!$I$24:$I$112,A113)+COUNTIFS('2022'!$L$24:$L$112,A113&amp;" / "&amp;B113,'2022'!$I$24:$I$112,A113)+COUNTIFS('2023'!$L$24:$L$112,A113&amp;" / "&amp;B113,'2023'!$I$24:$I$112,A113)+COUNTIFS('2024'!$L$24:$L$112,A113&amp;" / "&amp;B113,'2024'!$I$24:$I$112,A113)+COUNTIFS('2025'!$L$24:$L$112,A113&amp;" / "&amp;B113,'2025'!$I$24:$I$112,A113)</x:f>
        <x:v>0</x:v>
      </x:c>
      <x:c r="E113" s="2" t="n">
        <x:f>COUNTIFS('2015'!$L$24:$L$96,A113&amp;" / "&amp;B113,'2015'!$I$24:$I$96,B113)+COUNTIFS('2016'!$L$24:$L$96,A113&amp;" / "&amp;B113,'2016'!$I$24:$I$96,B113)+COUNTIFS('2017'!$L$24:$L$106,A113&amp;" / "&amp;B113,'2017'!$I$24:$I$106,B113)+COUNTIFS('2018'!$L$24:$L$106,A113&amp;" / "&amp;B113,'2018'!$I$24:$I$106,B113)+COUNTIFS('2019'!$L$24:$L$106,A113&amp;" / "&amp;B113,'2019'!$I$24:$I$106,B113)+COUNTIFS('2020'!$L$24:$L$106,A113&amp;" / "&amp;B113,'2020'!$I$24:$I$106,B113)+COUNTIFS('2021'!$L$24:$L$112,A113&amp;" / "&amp;B113,'2021'!$I$24:$I$112,B113)+COUNTIFS('2022'!$L$24:$L$112,A113&amp;" / "&amp;B113,'2022'!$I$24:$I$112,B113)+COUNTIFS('2023'!$L$24:$L$112,A113&amp;" / "&amp;B113,'2023'!$I$24:$I$112,B113)+COUNTIFS('2024'!$L$24:$L$112,A113&amp;" / "&amp;B113,'2024'!$I$24:$I$112,B113)+COUNTIFS('2025'!$L$24:$L$112,A113&amp;" / "&amp;B113,'2025'!$I$24:$I$112,B113)</x:f>
        <x:v>4</x:v>
      </x:c>
      <x:c r="F113" s="2" t="n">
        <x:f>COUNTIFS('2015'!$L$24:$L$96,A113&amp;" / "&amp;B113,'2015'!$K$24:$K$96,1)+COUNTIFS('2016'!$L$24:$L$96,A113&amp;" / "&amp;B113,'2016'!$K$24:$K$96,1)+COUNTIFS('2017'!$L$24:$L$106,A113&amp;" / "&amp;B113,'2017'!$K$24:$K$106,1)+COUNTIFS('2018'!$L$24:$L$106,A113&amp;" / "&amp;B113,'2018'!$K$24:$K$106,1)+COUNTIFS('2019'!$L$24:$L$106,A113&amp;" / "&amp;B113,'2019'!$K$24:$K$106,1)+COUNTIFS('2020'!$L$24:$L$106,A113&amp;" / "&amp;B113,'2020'!$K$24:$K$106,1)+COUNTIFS('2021'!$L$24:$L$112,A113&amp;" / "&amp;B113,'2021'!$K$24:$K$112,1)+COUNTIFS('2022'!$L$24:$L$112,A113&amp;" / "&amp;B113,'2022'!$K$24:$K$112,1)+COUNTIFS('2023'!$L$24:$L$112,A113&amp;" / "&amp;B113,'2023'!$K$24:$K$112,1)+COUNTIFS('2024'!$L$24:$L$112,A113&amp;" / "&amp;B113,'2024'!$K$24:$K$112,1)+COUNTIFS('2025'!$L$24:$L$112,A113&amp;" / "&amp;B113,'2025'!$K$24:$K$112,1)</x:f>
        <x:v>0</x:v>
      </x:c>
      <x:c r="G113" s="25" t="n">
        <x:f>SUMIFS('2015'!$E$24:$E$96,'2015'!$L$24:$L$96,A113&amp;" / "&amp;B113,'2015'!$C$24:$C$96,A113)+SUMIFS('2015'!$H$24:$H$96,'2015'!$L$24:$L$96,A113&amp;" / "&amp;B113,'2015'!$F$24:$F$96,A113)+SUMIFS('2016'!$E$24:$E$96,'2016'!$L$24:$L$96,A113&amp;" / "&amp;B113,'2016'!$C$24:$C$96,A113)+SUMIFS('2016'!$H$24:$H$96,'2016'!$L$24:$L$96,A113&amp;" / "&amp;B113,'2016'!$F$24:$F$96,A113)+SUMIFS('2017'!$E$24:$E$106,'2017'!$L$24:$L$106,A113&amp;" / "&amp;B113,'2017'!$C$24:$C$106,A113)+SUMIFS('2017'!$H$24:$H$106,'2017'!$L$24:$L$106,A113&amp;" / "&amp;B113,'2017'!$F$24:$F$106,A113)+SUMIFS('2018'!$E$24:$E$106,'2018'!$L$24:$L$106,A113&amp;" / "&amp;B113,'2018'!$C$24:$C$106,A113)+SUMIFS('2018'!$H$24:$H$106,'2018'!$L$24:$L$106,A113&amp;" / "&amp;B113,'2018'!$F$24:$F$106,A113)+SUMIFS('2019'!$E$24:$E$106,'2019'!$L$24:$L$106,A113&amp;" / "&amp;B113,'2019'!$C$24:$C$106,A113)+SUMIFS('2019'!$H$24:$H$106,'2019'!$L$24:$L$106,A113&amp;" / "&amp;B113,'2019'!$F$24:$F$106,A113)+SUMIFS('2020'!$E$24:$E$106,'2020'!$L$24:$L$106,A113&amp;" / "&amp;B113,'2020'!$C$24:$C$106,A113)+SUMIFS('2020'!$H$24:$H$106,'2020'!$L$24:$L$106,A113&amp;" / "&amp;B113,'2020'!$F$24:$F$106,A113)+SUMIFS('2021'!$E$24:$E$112,'2021'!$L$24:$L$112,A113&amp;" / "&amp;B113,'2021'!$C$24:$C$112,A113)+SUMIFS('2021'!$H$24:$H$112,'2021'!$L$24:$L$112,A113&amp;" / "&amp;B113,'2021'!$F$24:$F$112,A113)+SUMIFS('2022'!$E$24:$E$112,'2022'!$L$24:$L$112,A113&amp;" / "&amp;B113,'2022'!$C$24:$C$112,A113)+SUMIFS('2022'!$H$24:$H$112,'2022'!$L$24:$L$112,A113&amp;" / "&amp;B113,'2022'!$F$24:$F$112,A113)+SUMIFS('2023'!$E$24:$E$112,'2023'!$L$24:$L$112,A113&amp;" / "&amp;B113,'2023'!$C$24:$C$112,A113)+SUMIFS('2023'!$H$24:$H$112,'2023'!$L$24:$L$112,A113&amp;" / "&amp;B113,'2023'!$F$24:$F$112,A113)+SUMIFS('2024'!$E$24:$E$112,'2024'!$L$24:$L$112,A113&amp;" / "&amp;B113,'2024'!$C$24:$C$112,A113)+SUMIFS('2024'!$H$24:$H$112,'2024'!$L$24:$L$112,A113&amp;" / "&amp;B113,'2024'!$F$24:$F$112,A113)+SUMIFS('2025'!$E$24:$E$112,'2025'!$L$24:$L$112,A113&amp;" / "&amp;B113,'2025'!$C$24:$C$112,A113)+SUMIFS('2025'!$H$24:$H$112,'2025'!$L$24:$L$112,A113&amp;" / "&amp;B113,'2025'!$F$24:$F$112,A113)</x:f>
        <x:v>375.25</x:v>
      </x:c>
      <x:c r="H113" s="25" t="n">
        <x:f>SUMIFS('2015'!$E$24:$E$96,'2015'!$L$24:$L$96,A113&amp;" / "&amp;B113,'2015'!$C$24:$C$96,B113)+SUMIFS('2015'!$H$24:$H$96,'2015'!$L$24:$L$96,A113&amp;" / "&amp;B113,'2015'!$F$24:$F$96,B113)+SUMIFS('2016'!$E$24:$E$96,'2016'!$L$24:$L$96,A113&amp;" / "&amp;B113,'2016'!$C$24:$C$96,B113)+SUMIFS('2016'!$H$24:$H$96,'2016'!$L$24:$L$96,A113&amp;" / "&amp;B113,'2016'!$F$24:$F$96,B113)+SUMIFS('2017'!$E$24:$E$106,'2017'!$L$24:$L$106,A113&amp;" / "&amp;B113,'2017'!$C$24:$C$106,B113)+SUMIFS('2017'!$H$24:$H$106,'2017'!$L$24:$L$106,A113&amp;" / "&amp;B113,'2017'!$F$24:$F$106,B113)+SUMIFS('2018'!$E$24:$E$106,'2018'!$L$24:$L$106,A113&amp;" / "&amp;B113,'2018'!$C$24:$C$106,B113)+SUMIFS('2018'!$H$24:$H$106,'2018'!$L$24:$L$106,A113&amp;" / "&amp;B113,'2018'!$F$24:$F$106,B113)+SUMIFS('2019'!$E$24:$E$106,'2019'!$L$24:$L$106,A113&amp;" / "&amp;B113,'2019'!$C$24:$C$106,B113)+SUMIFS('2019'!$H$24:$H$106,'2019'!$L$24:$L$106,A113&amp;" / "&amp;B113,'2019'!$F$24:$F$106,B113)+SUMIFS('2020'!$E$24:$E$106,'2020'!$L$24:$L$106,A113&amp;" / "&amp;B113,'2020'!$C$24:$C$106,B113)+SUMIFS('2020'!$H$24:$H$106,'2020'!$L$24:$L$106,A113&amp;" / "&amp;B113,'2020'!$F$24:$F$106,B113)+SUMIFS('2021'!$E$24:$E$112,'2021'!$L$24:$L$112,A113&amp;" / "&amp;B113,'2021'!$C$24:$C$112,B113)+SUMIFS('2021'!$H$24:$H$112,'2021'!$L$24:$L$112,A113&amp;" / "&amp;B113,'2021'!$F$24:$F$112,B113)+SUMIFS('2022'!$E$24:$E$112,'2022'!$L$24:$L$112,A113&amp;" / "&amp;B113,'2022'!$C$24:$C$112,B113)+SUMIFS('2022'!$H$24:$H$112,'2022'!$L$24:$L$112,A113&amp;" / "&amp;B113,'2022'!$F$24:$F$112,B113)+SUMIFS('2023'!$E$24:$E$112,'2023'!$L$24:$L$112,A113&amp;" / "&amp;B113,'2023'!$C$24:$C$112,B113)+SUMIFS('2023'!$H$24:$H$112,'2023'!$L$24:$L$112,A113&amp;" / "&amp;B113,'2023'!$F$24:$F$112,B113)+SUMIFS('2024'!$E$24:$E$112,'2024'!$L$24:$L$112,A113&amp;" / "&amp;B113,'2024'!$C$24:$C$112,B113)+SUMIFS('2024'!$H$24:$H$112,'2024'!$L$24:$L$112,A113&amp;" / "&amp;B113,'2024'!$F$24:$F$112,B113)+SUMIFS('2025'!$E$24:$E$112,'2025'!$L$24:$L$112,A113&amp;" / "&amp;B113,'2025'!$C$24:$C$112,B113)+SUMIFS('2025'!$H$24:$H$112,'2025'!$L$24:$L$112,A113&amp;" / "&amp;B113,'2025'!$F$24:$F$112,B113)</x:f>
        <x:v>465.25</x:v>
      </x:c>
      <x:c r="I113" s="11" t="n">
        <x:f>IF(C113=0,0,(D113+0.5*F113)/C113)</x:f>
        <x:v>0</x:v>
      </x:c>
      <x:c r="J113" s="2" t="n">
        <x:f>COUNTIFS('2015'!$L$24:$L$96,A113&amp;" / "&amp;B113,'2015'!$B$24:$B$96,"Regular")+COUNTIFS('2016'!$L$24:$L$96,A113&amp;" / "&amp;B113,'2016'!$B$24:$B$96,"Regular")+COUNTIFS('2017'!$L$24:$L$106,A113&amp;" / "&amp;B113,'2017'!$B$24:$B$106,"Regular")+COUNTIFS('2018'!$L$24:$L$106,A113&amp;" / "&amp;B113,'2018'!$B$24:$B$106,"Regular")+COUNTIFS('2019'!$L$24:$L$106,A113&amp;" / "&amp;B113,'2019'!$B$24:$B$106,"Regular")+COUNTIFS('2020'!$L$24:$L$106,A113&amp;" / "&amp;B113,'2020'!$B$24:$B$106,"Regular")+COUNTIFS('2021'!$L$24:$L$112,A113&amp;" / "&amp;B113,'2021'!$B$24:$B$112,"Regular")+COUNTIFS('2022'!$L$24:$L$112,A113&amp;" / "&amp;B113,'2022'!$B$24:$B$112,"Regular")+COUNTIFS('2023'!$L$24:$L$112,A113&amp;" / "&amp;B113,'2023'!$B$24:$B$112,"Regular")+COUNTIFS('2024'!$L$24:$L$112,A113&amp;" / "&amp;B113,'2024'!$B$24:$B$112,"Regular")+COUNTIFS('2025'!$L$24:$L$112,A113&amp;" / "&amp;B113,'2025'!$B$24:$B$112,"Regular")</x:f>
        <x:v>4</x:v>
      </x:c>
      <x:c r="K113" s="2" t="n">
        <x:f>COUNTIFS('2015'!$L$24:$L$96,A113&amp;" / "&amp;B113,'2015'!$B$24:$B$96,"Playoffs")+COUNTIFS('2016'!$L$24:$L$96,A113&amp;" / "&amp;B113,'2016'!$B$24:$B$96,"Playoffs")+COUNTIFS('2017'!$L$24:$L$106,A113&amp;" / "&amp;B113,'2017'!$B$24:$B$106,"Playoffs")+COUNTIFS('2018'!$L$24:$L$106,A113&amp;" / "&amp;B113,'2018'!$B$24:$B$106,"Playoffs")+COUNTIFS('2019'!$L$24:$L$106,A113&amp;" / "&amp;B113,'2019'!$B$24:$B$106,"Playoffs")+COUNTIFS('2020'!$L$24:$L$106,A113&amp;" / "&amp;B113,'2020'!$B$24:$B$106,"Playoffs")+COUNTIFS('2021'!$L$24:$L$112,A113&amp;" / "&amp;B113,'2021'!$B$24:$B$112,"Playoffs")+COUNTIFS('2022'!$L$24:$L$112,A113&amp;" / "&amp;B113,'2022'!$B$24:$B$112,"Playoffs")+COUNTIFS('2023'!$L$24:$L$112,A113&amp;" / "&amp;B113,'2023'!$B$24:$B$112,"Playoffs")+COUNTIFS('2024'!$L$24:$L$112,A113&amp;" / "&amp;B113,'2024'!$B$24:$B$112,"Playoffs")+COUNTIFS('2025'!$L$24:$L$112,A113&amp;" / "&amp;B113,'2025'!$B$24:$B$112,"Playoffs")</x:f>
        <x:v>0</x:v>
      </x:c>
      <x:c r="L113" s="2" t="n">
        <x:f>COUNTIFS('2015'!$L$24:$L$96,A113&amp;" / "&amp;B113,'2015'!$B$24:$B$96,"Unconfirmed")+COUNTIFS('2016'!$L$24:$L$96,A113&amp;" / "&amp;B113,'2016'!$B$24:$B$96,"Unconfirmed")+COUNTIFS('2017'!$L$24:$L$106,A113&amp;" / "&amp;B113,'2017'!$B$24:$B$106,"Unconfirmed")+COUNTIFS('2018'!$L$24:$L$106,A113&amp;" / "&amp;B113,'2018'!$B$24:$B$106,"Unconfirmed")+COUNTIFS('2019'!$L$24:$L$106,A113&amp;" / "&amp;B113,'2019'!$B$24:$B$106,"Unconfirmed")+COUNTIFS('2020'!$L$24:$L$106,A113&amp;" / "&amp;B113,'2020'!$B$24:$B$106,"Unconfirmed")+COUNTIFS('2021'!$L$24:$L$112,A113&amp;" / "&amp;B113,'2021'!$B$24:$B$112,"Unconfirmed")+COUNTIFS('2022'!$L$24:$L$112,A113&amp;" / "&amp;B113,'2022'!$B$24:$B$112,"Unconfirmed")+COUNTIFS('2023'!$L$24:$L$112,A113&amp;" / "&amp;B113,'2023'!$B$24:$B$112,"Unconfirmed")+COUNTIFS('2024'!$L$24:$L$112,A113&amp;" / "&amp;B113,'2024'!$B$24:$B$112,"Unconfirmed")+COUNTIFS('2025'!$L$24:$L$112,A113&amp;" / "&amp;B113,'2025'!$B$24:$B$112,"Unconfirmed")</x:f>
        <x:v>0</x:v>
      </x:c>
    </x:row>
    <x:row r="114" ht="22" customHeight="1">
      <x:c r="A114" s="2" t="str">
        <x:v>Frank</x:v>
      </x:c>
      <x:c r="B114" s="2" t="str">
        <x:v>Ryan</x:v>
      </x:c>
      <x:c r="C114" s="2" t="n">
        <x:f>COUNTIFS('2015'!$L$24:$L$96,A114&amp;" / "&amp;B114)+COUNTIFS('2016'!$L$24:$L$96,A114&amp;" / "&amp;B114)+COUNTIFS('2017'!$L$24:$L$106,A114&amp;" / "&amp;B114)+COUNTIFS('2018'!$L$24:$L$106,A114&amp;" / "&amp;B114)+COUNTIFS('2019'!$L$24:$L$106,A114&amp;" / "&amp;B114)+COUNTIFS('2020'!$L$24:$L$106,A114&amp;" / "&amp;B114)+COUNTIFS('2021'!$L$24:$L$112,A114&amp;" / "&amp;B114)+COUNTIFS('2022'!$L$24:$L$112,A114&amp;" / "&amp;B114)+COUNTIFS('2023'!$L$24:$L$112,A114&amp;" / "&amp;B114)+COUNTIFS('2024'!$L$24:$L$112,A114&amp;" / "&amp;B114)+COUNTIFS('2025'!$L$24:$L$112,A114&amp;" / "&amp;B114)</x:f>
        <x:v>1</x:v>
      </x:c>
      <x:c r="D114" s="2" t="n">
        <x:f>COUNTIFS('2015'!$L$24:$L$96,A114&amp;" / "&amp;B114,'2015'!$I$24:$I$96,A114)+COUNTIFS('2016'!$L$24:$L$96,A114&amp;" / "&amp;B114,'2016'!$I$24:$I$96,A114)+COUNTIFS('2017'!$L$24:$L$106,A114&amp;" / "&amp;B114,'2017'!$I$24:$I$106,A114)+COUNTIFS('2018'!$L$24:$L$106,A114&amp;" / "&amp;B114,'2018'!$I$24:$I$106,A114)+COUNTIFS('2019'!$L$24:$L$106,A114&amp;" / "&amp;B114,'2019'!$I$24:$I$106,A114)+COUNTIFS('2020'!$L$24:$L$106,A114&amp;" / "&amp;B114,'2020'!$I$24:$I$106,A114)+COUNTIFS('2021'!$L$24:$L$112,A114&amp;" / "&amp;B114,'2021'!$I$24:$I$112,A114)+COUNTIFS('2022'!$L$24:$L$112,A114&amp;" / "&amp;B114,'2022'!$I$24:$I$112,A114)+COUNTIFS('2023'!$L$24:$L$112,A114&amp;" / "&amp;B114,'2023'!$I$24:$I$112,A114)+COUNTIFS('2024'!$L$24:$L$112,A114&amp;" / "&amp;B114,'2024'!$I$24:$I$112,A114)+COUNTIFS('2025'!$L$24:$L$112,A114&amp;" / "&amp;B114,'2025'!$I$24:$I$112,A114)</x:f>
        <x:v>0</x:v>
      </x:c>
      <x:c r="E114" s="2" t="n">
        <x:f>COUNTIFS('2015'!$L$24:$L$96,A114&amp;" / "&amp;B114,'2015'!$I$24:$I$96,B114)+COUNTIFS('2016'!$L$24:$L$96,A114&amp;" / "&amp;B114,'2016'!$I$24:$I$96,B114)+COUNTIFS('2017'!$L$24:$L$106,A114&amp;" / "&amp;B114,'2017'!$I$24:$I$106,B114)+COUNTIFS('2018'!$L$24:$L$106,A114&amp;" / "&amp;B114,'2018'!$I$24:$I$106,B114)+COUNTIFS('2019'!$L$24:$L$106,A114&amp;" / "&amp;B114,'2019'!$I$24:$I$106,B114)+COUNTIFS('2020'!$L$24:$L$106,A114&amp;" / "&amp;B114,'2020'!$I$24:$I$106,B114)+COUNTIFS('2021'!$L$24:$L$112,A114&amp;" / "&amp;B114,'2021'!$I$24:$I$112,B114)+COUNTIFS('2022'!$L$24:$L$112,A114&amp;" / "&amp;B114,'2022'!$I$24:$I$112,B114)+COUNTIFS('2023'!$L$24:$L$112,A114&amp;" / "&amp;B114,'2023'!$I$24:$I$112,B114)+COUNTIFS('2024'!$L$24:$L$112,A114&amp;" / "&amp;B114,'2024'!$I$24:$I$112,B114)+COUNTIFS('2025'!$L$24:$L$112,A114&amp;" / "&amp;B114,'2025'!$I$24:$I$112,B114)</x:f>
        <x:v>1</x:v>
      </x:c>
      <x:c r="F114" s="2" t="n">
        <x:f>COUNTIFS('2015'!$L$24:$L$96,A114&amp;" / "&amp;B114,'2015'!$K$24:$K$96,1)+COUNTIFS('2016'!$L$24:$L$96,A114&amp;" / "&amp;B114,'2016'!$K$24:$K$96,1)+COUNTIFS('2017'!$L$24:$L$106,A114&amp;" / "&amp;B114,'2017'!$K$24:$K$106,1)+COUNTIFS('2018'!$L$24:$L$106,A114&amp;" / "&amp;B114,'2018'!$K$24:$K$106,1)+COUNTIFS('2019'!$L$24:$L$106,A114&amp;" / "&amp;B114,'2019'!$K$24:$K$106,1)+COUNTIFS('2020'!$L$24:$L$106,A114&amp;" / "&amp;B114,'2020'!$K$24:$K$106,1)+COUNTIFS('2021'!$L$24:$L$112,A114&amp;" / "&amp;B114,'2021'!$K$24:$K$112,1)+COUNTIFS('2022'!$L$24:$L$112,A114&amp;" / "&amp;B114,'2022'!$K$24:$K$112,1)+COUNTIFS('2023'!$L$24:$L$112,A114&amp;" / "&amp;B114,'2023'!$K$24:$K$112,1)+COUNTIFS('2024'!$L$24:$L$112,A114&amp;" / "&amp;B114,'2024'!$K$24:$K$112,1)+COUNTIFS('2025'!$L$24:$L$112,A114&amp;" / "&amp;B114,'2025'!$K$24:$K$112,1)</x:f>
        <x:v>0</x:v>
      </x:c>
      <x:c r="G114" s="25" t="n">
        <x:f>SUMIFS('2015'!$E$24:$E$96,'2015'!$L$24:$L$96,A114&amp;" / "&amp;B114,'2015'!$C$24:$C$96,A114)+SUMIFS('2015'!$H$24:$H$96,'2015'!$L$24:$L$96,A114&amp;" / "&amp;B114,'2015'!$F$24:$F$96,A114)+SUMIFS('2016'!$E$24:$E$96,'2016'!$L$24:$L$96,A114&amp;" / "&amp;B114,'2016'!$C$24:$C$96,A114)+SUMIFS('2016'!$H$24:$H$96,'2016'!$L$24:$L$96,A114&amp;" / "&amp;B114,'2016'!$F$24:$F$96,A114)+SUMIFS('2017'!$E$24:$E$106,'2017'!$L$24:$L$106,A114&amp;" / "&amp;B114,'2017'!$C$24:$C$106,A114)+SUMIFS('2017'!$H$24:$H$106,'2017'!$L$24:$L$106,A114&amp;" / "&amp;B114,'2017'!$F$24:$F$106,A114)+SUMIFS('2018'!$E$24:$E$106,'2018'!$L$24:$L$106,A114&amp;" / "&amp;B114,'2018'!$C$24:$C$106,A114)+SUMIFS('2018'!$H$24:$H$106,'2018'!$L$24:$L$106,A114&amp;" / "&amp;B114,'2018'!$F$24:$F$106,A114)+SUMIFS('2019'!$E$24:$E$106,'2019'!$L$24:$L$106,A114&amp;" / "&amp;B114,'2019'!$C$24:$C$106,A114)+SUMIFS('2019'!$H$24:$H$106,'2019'!$L$24:$L$106,A114&amp;" / "&amp;B114,'2019'!$F$24:$F$106,A114)+SUMIFS('2020'!$E$24:$E$106,'2020'!$L$24:$L$106,A114&amp;" / "&amp;B114,'2020'!$C$24:$C$106,A114)+SUMIFS('2020'!$H$24:$H$106,'2020'!$L$24:$L$106,A114&amp;" / "&amp;B114,'2020'!$F$24:$F$106,A114)+SUMIFS('2021'!$E$24:$E$112,'2021'!$L$24:$L$112,A114&amp;" / "&amp;B114,'2021'!$C$24:$C$112,A114)+SUMIFS('2021'!$H$24:$H$112,'2021'!$L$24:$L$112,A114&amp;" / "&amp;B114,'2021'!$F$24:$F$112,A114)+SUMIFS('2022'!$E$24:$E$112,'2022'!$L$24:$L$112,A114&amp;" / "&amp;B114,'2022'!$C$24:$C$112,A114)+SUMIFS('2022'!$H$24:$H$112,'2022'!$L$24:$L$112,A114&amp;" / "&amp;B114,'2022'!$F$24:$F$112,A114)+SUMIFS('2023'!$E$24:$E$112,'2023'!$L$24:$L$112,A114&amp;" / "&amp;B114,'2023'!$C$24:$C$112,A114)+SUMIFS('2023'!$H$24:$H$112,'2023'!$L$24:$L$112,A114&amp;" / "&amp;B114,'2023'!$F$24:$F$112,A114)+SUMIFS('2024'!$E$24:$E$112,'2024'!$L$24:$L$112,A114&amp;" / "&amp;B114,'2024'!$C$24:$C$112,A114)+SUMIFS('2024'!$H$24:$H$112,'2024'!$L$24:$L$112,A114&amp;" / "&amp;B114,'2024'!$F$24:$F$112,A114)+SUMIFS('2025'!$E$24:$E$112,'2025'!$L$24:$L$112,A114&amp;" / "&amp;B114,'2025'!$C$24:$C$112,A114)+SUMIFS('2025'!$H$24:$H$112,'2025'!$L$24:$L$112,A114&amp;" / "&amp;B114,'2025'!$F$24:$F$112,A114)</x:f>
        <x:v>84.65</x:v>
      </x:c>
      <x:c r="H114" s="25" t="n">
        <x:f>SUMIFS('2015'!$E$24:$E$96,'2015'!$L$24:$L$96,A114&amp;" / "&amp;B114,'2015'!$C$24:$C$96,B114)+SUMIFS('2015'!$H$24:$H$96,'2015'!$L$24:$L$96,A114&amp;" / "&amp;B114,'2015'!$F$24:$F$96,B114)+SUMIFS('2016'!$E$24:$E$96,'2016'!$L$24:$L$96,A114&amp;" / "&amp;B114,'2016'!$C$24:$C$96,B114)+SUMIFS('2016'!$H$24:$H$96,'2016'!$L$24:$L$96,A114&amp;" / "&amp;B114,'2016'!$F$24:$F$96,B114)+SUMIFS('2017'!$E$24:$E$106,'2017'!$L$24:$L$106,A114&amp;" / "&amp;B114,'2017'!$C$24:$C$106,B114)+SUMIFS('2017'!$H$24:$H$106,'2017'!$L$24:$L$106,A114&amp;" / "&amp;B114,'2017'!$F$24:$F$106,B114)+SUMIFS('2018'!$E$24:$E$106,'2018'!$L$24:$L$106,A114&amp;" / "&amp;B114,'2018'!$C$24:$C$106,B114)+SUMIFS('2018'!$H$24:$H$106,'2018'!$L$24:$L$106,A114&amp;" / "&amp;B114,'2018'!$F$24:$F$106,B114)+SUMIFS('2019'!$E$24:$E$106,'2019'!$L$24:$L$106,A114&amp;" / "&amp;B114,'2019'!$C$24:$C$106,B114)+SUMIFS('2019'!$H$24:$H$106,'2019'!$L$24:$L$106,A114&amp;" / "&amp;B114,'2019'!$F$24:$F$106,B114)+SUMIFS('2020'!$E$24:$E$106,'2020'!$L$24:$L$106,A114&amp;" / "&amp;B114,'2020'!$C$24:$C$106,B114)+SUMIFS('2020'!$H$24:$H$106,'2020'!$L$24:$L$106,A114&amp;" / "&amp;B114,'2020'!$F$24:$F$106,B114)+SUMIFS('2021'!$E$24:$E$112,'2021'!$L$24:$L$112,A114&amp;" / "&amp;B114,'2021'!$C$24:$C$112,B114)+SUMIFS('2021'!$H$24:$H$112,'2021'!$L$24:$L$112,A114&amp;" / "&amp;B114,'2021'!$F$24:$F$112,B114)+SUMIFS('2022'!$E$24:$E$112,'2022'!$L$24:$L$112,A114&amp;" / "&amp;B114,'2022'!$C$24:$C$112,B114)+SUMIFS('2022'!$H$24:$H$112,'2022'!$L$24:$L$112,A114&amp;" / "&amp;B114,'2022'!$F$24:$F$112,B114)+SUMIFS('2023'!$E$24:$E$112,'2023'!$L$24:$L$112,A114&amp;" / "&amp;B114,'2023'!$C$24:$C$112,B114)+SUMIFS('2023'!$H$24:$H$112,'2023'!$L$24:$L$112,A114&amp;" / "&amp;B114,'2023'!$F$24:$F$112,B114)+SUMIFS('2024'!$E$24:$E$112,'2024'!$L$24:$L$112,A114&amp;" / "&amp;B114,'2024'!$C$24:$C$112,B114)+SUMIFS('2024'!$H$24:$H$112,'2024'!$L$24:$L$112,A114&amp;" / "&amp;B114,'2024'!$F$24:$F$112,B114)+SUMIFS('2025'!$E$24:$E$112,'2025'!$L$24:$L$112,A114&amp;" / "&amp;B114,'2025'!$C$24:$C$112,B114)+SUMIFS('2025'!$H$24:$H$112,'2025'!$L$24:$L$112,A114&amp;" / "&amp;B114,'2025'!$F$24:$F$112,B114)</x:f>
        <x:v>129.35</x:v>
      </x:c>
      <x:c r="I114" s="11" t="n">
        <x:f>IF(C114=0,0,(D114+0.5*F114)/C114)</x:f>
        <x:v>0</x:v>
      </x:c>
      <x:c r="J114" s="2" t="n">
        <x:f>COUNTIFS('2015'!$L$24:$L$96,A114&amp;" / "&amp;B114,'2015'!$B$24:$B$96,"Regular")+COUNTIFS('2016'!$L$24:$L$96,A114&amp;" / "&amp;B114,'2016'!$B$24:$B$96,"Regular")+COUNTIFS('2017'!$L$24:$L$106,A114&amp;" / "&amp;B114,'2017'!$B$24:$B$106,"Regular")+COUNTIFS('2018'!$L$24:$L$106,A114&amp;" / "&amp;B114,'2018'!$B$24:$B$106,"Regular")+COUNTIFS('2019'!$L$24:$L$106,A114&amp;" / "&amp;B114,'2019'!$B$24:$B$106,"Regular")+COUNTIFS('2020'!$L$24:$L$106,A114&amp;" / "&amp;B114,'2020'!$B$24:$B$106,"Regular")+COUNTIFS('2021'!$L$24:$L$112,A114&amp;" / "&amp;B114,'2021'!$B$24:$B$112,"Regular")+COUNTIFS('2022'!$L$24:$L$112,A114&amp;" / "&amp;B114,'2022'!$B$24:$B$112,"Regular")+COUNTIFS('2023'!$L$24:$L$112,A114&amp;" / "&amp;B114,'2023'!$B$24:$B$112,"Regular")+COUNTIFS('2024'!$L$24:$L$112,A114&amp;" / "&amp;B114,'2024'!$B$24:$B$112,"Regular")+COUNTIFS('2025'!$L$24:$L$112,A114&amp;" / "&amp;B114,'2025'!$B$24:$B$112,"Regular")</x:f>
        <x:v>1</x:v>
      </x:c>
      <x:c r="K114" s="2" t="n">
        <x:f>COUNTIFS('2015'!$L$24:$L$96,A114&amp;" / "&amp;B114,'2015'!$B$24:$B$96,"Playoffs")+COUNTIFS('2016'!$L$24:$L$96,A114&amp;" / "&amp;B114,'2016'!$B$24:$B$96,"Playoffs")+COUNTIFS('2017'!$L$24:$L$106,A114&amp;" / "&amp;B114,'2017'!$B$24:$B$106,"Playoffs")+COUNTIFS('2018'!$L$24:$L$106,A114&amp;" / "&amp;B114,'2018'!$B$24:$B$106,"Playoffs")+COUNTIFS('2019'!$L$24:$L$106,A114&amp;" / "&amp;B114,'2019'!$B$24:$B$106,"Playoffs")+COUNTIFS('2020'!$L$24:$L$106,A114&amp;" / "&amp;B114,'2020'!$B$24:$B$106,"Playoffs")+COUNTIFS('2021'!$L$24:$L$112,A114&amp;" / "&amp;B114,'2021'!$B$24:$B$112,"Playoffs")+COUNTIFS('2022'!$L$24:$L$112,A114&amp;" / "&amp;B114,'2022'!$B$24:$B$112,"Playoffs")+COUNTIFS('2023'!$L$24:$L$112,A114&amp;" / "&amp;B114,'2023'!$B$24:$B$112,"Playoffs")+COUNTIFS('2024'!$L$24:$L$112,A114&amp;" / "&amp;B114,'2024'!$B$24:$B$112,"Playoffs")+COUNTIFS('2025'!$L$24:$L$112,A114&amp;" / "&amp;B114,'2025'!$B$24:$B$112,"Playoffs")</x:f>
        <x:v>0</x:v>
      </x:c>
      <x:c r="L114" s="2" t="n">
        <x:f>COUNTIFS('2015'!$L$24:$L$96,A114&amp;" / "&amp;B114,'2015'!$B$24:$B$96,"Unconfirmed")+COUNTIFS('2016'!$L$24:$L$96,A114&amp;" / "&amp;B114,'2016'!$B$24:$B$96,"Unconfirmed")+COUNTIFS('2017'!$L$24:$L$106,A114&amp;" / "&amp;B114,'2017'!$B$24:$B$106,"Unconfirmed")+COUNTIFS('2018'!$L$24:$L$106,A114&amp;" / "&amp;B114,'2018'!$B$24:$B$106,"Unconfirmed")+COUNTIFS('2019'!$L$24:$L$106,A114&amp;" / "&amp;B114,'2019'!$B$24:$B$106,"Unconfirmed")+COUNTIFS('2020'!$L$24:$L$106,A114&amp;" / "&amp;B114,'2020'!$B$24:$B$106,"Unconfirmed")+COUNTIFS('2021'!$L$24:$L$112,A114&amp;" / "&amp;B114,'2021'!$B$24:$B$112,"Unconfirmed")+COUNTIFS('2022'!$L$24:$L$112,A114&amp;" / "&amp;B114,'2022'!$B$24:$B$112,"Unconfirmed")+COUNTIFS('2023'!$L$24:$L$112,A114&amp;" / "&amp;B114,'2023'!$B$24:$B$112,"Unconfirmed")+COUNTIFS('2024'!$L$24:$L$112,A114&amp;" / "&amp;B114,'2024'!$B$24:$B$112,"Unconfirmed")+COUNTIFS('2025'!$L$24:$L$112,A114&amp;" / "&amp;B114,'2025'!$B$24:$B$112,"Unconfirmed")</x:f>
        <x:v>0</x:v>
      </x:c>
    </x:row>
    <x:row r="115" ht="22" customHeight="1">
      <x:c r="A115" s="2" t="str">
        <x:v>Frank</x:v>
      </x:c>
      <x:c r="B115" s="2" t="str">
        <x:v>Troy</x:v>
      </x:c>
      <x:c r="C115" s="2" t="n">
        <x:f>COUNTIFS('2015'!$L$24:$L$96,A115&amp;" / "&amp;B115)+COUNTIFS('2016'!$L$24:$L$96,A115&amp;" / "&amp;B115)+COUNTIFS('2017'!$L$24:$L$106,A115&amp;" / "&amp;B115)+COUNTIFS('2018'!$L$24:$L$106,A115&amp;" / "&amp;B115)+COUNTIFS('2019'!$L$24:$L$106,A115&amp;" / "&amp;B115)+COUNTIFS('2020'!$L$24:$L$106,A115&amp;" / "&amp;B115)+COUNTIFS('2021'!$L$24:$L$112,A115&amp;" / "&amp;B115)+COUNTIFS('2022'!$L$24:$L$112,A115&amp;" / "&amp;B115)+COUNTIFS('2023'!$L$24:$L$112,A115&amp;" / "&amp;B115)+COUNTIFS('2024'!$L$24:$L$112,A115&amp;" / "&amp;B115)+COUNTIFS('2025'!$L$24:$L$112,A115&amp;" / "&amp;B115)</x:f>
        <x:v>1</x:v>
      </x:c>
      <x:c r="D115" s="2" t="n">
        <x:f>COUNTIFS('2015'!$L$24:$L$96,A115&amp;" / "&amp;B115,'2015'!$I$24:$I$96,A115)+COUNTIFS('2016'!$L$24:$L$96,A115&amp;" / "&amp;B115,'2016'!$I$24:$I$96,A115)+COUNTIFS('2017'!$L$24:$L$106,A115&amp;" / "&amp;B115,'2017'!$I$24:$I$106,A115)+COUNTIFS('2018'!$L$24:$L$106,A115&amp;" / "&amp;B115,'2018'!$I$24:$I$106,A115)+COUNTIFS('2019'!$L$24:$L$106,A115&amp;" / "&amp;B115,'2019'!$I$24:$I$106,A115)+COUNTIFS('2020'!$L$24:$L$106,A115&amp;" / "&amp;B115,'2020'!$I$24:$I$106,A115)+COUNTIFS('2021'!$L$24:$L$112,A115&amp;" / "&amp;B115,'2021'!$I$24:$I$112,A115)+COUNTIFS('2022'!$L$24:$L$112,A115&amp;" / "&amp;B115,'2022'!$I$24:$I$112,A115)+COUNTIFS('2023'!$L$24:$L$112,A115&amp;" / "&amp;B115,'2023'!$I$24:$I$112,A115)+COUNTIFS('2024'!$L$24:$L$112,A115&amp;" / "&amp;B115,'2024'!$I$24:$I$112,A115)+COUNTIFS('2025'!$L$24:$L$112,A115&amp;" / "&amp;B115,'2025'!$I$24:$I$112,A115)</x:f>
        <x:v>0</x:v>
      </x:c>
      <x:c r="E115" s="2" t="n">
        <x:f>COUNTIFS('2015'!$L$24:$L$96,A115&amp;" / "&amp;B115,'2015'!$I$24:$I$96,B115)+COUNTIFS('2016'!$L$24:$L$96,A115&amp;" / "&amp;B115,'2016'!$I$24:$I$96,B115)+COUNTIFS('2017'!$L$24:$L$106,A115&amp;" / "&amp;B115,'2017'!$I$24:$I$106,B115)+COUNTIFS('2018'!$L$24:$L$106,A115&amp;" / "&amp;B115,'2018'!$I$24:$I$106,B115)+COUNTIFS('2019'!$L$24:$L$106,A115&amp;" / "&amp;B115,'2019'!$I$24:$I$106,B115)+COUNTIFS('2020'!$L$24:$L$106,A115&amp;" / "&amp;B115,'2020'!$I$24:$I$106,B115)+COUNTIFS('2021'!$L$24:$L$112,A115&amp;" / "&amp;B115,'2021'!$I$24:$I$112,B115)+COUNTIFS('2022'!$L$24:$L$112,A115&amp;" / "&amp;B115,'2022'!$I$24:$I$112,B115)+COUNTIFS('2023'!$L$24:$L$112,A115&amp;" / "&amp;B115,'2023'!$I$24:$I$112,B115)+COUNTIFS('2024'!$L$24:$L$112,A115&amp;" / "&amp;B115,'2024'!$I$24:$I$112,B115)+COUNTIFS('2025'!$L$24:$L$112,A115&amp;" / "&amp;B115,'2025'!$I$24:$I$112,B115)</x:f>
        <x:v>0</x:v>
      </x:c>
      <x:c r="F115" s="2" t="n">
        <x:f>COUNTIFS('2015'!$L$24:$L$96,A115&amp;" / "&amp;B115,'2015'!$K$24:$K$96,1)+COUNTIFS('2016'!$L$24:$L$96,A115&amp;" / "&amp;B115,'2016'!$K$24:$K$96,1)+COUNTIFS('2017'!$L$24:$L$106,A115&amp;" / "&amp;B115,'2017'!$K$24:$K$106,1)+COUNTIFS('2018'!$L$24:$L$106,A115&amp;" / "&amp;B115,'2018'!$K$24:$K$106,1)+COUNTIFS('2019'!$L$24:$L$106,A115&amp;" / "&amp;B115,'2019'!$K$24:$K$106,1)+COUNTIFS('2020'!$L$24:$L$106,A115&amp;" / "&amp;B115,'2020'!$K$24:$K$106,1)+COUNTIFS('2021'!$L$24:$L$112,A115&amp;" / "&amp;B115,'2021'!$K$24:$K$112,1)+COUNTIFS('2022'!$L$24:$L$112,A115&amp;" / "&amp;B115,'2022'!$K$24:$K$112,1)+COUNTIFS('2023'!$L$24:$L$112,A115&amp;" / "&amp;B115,'2023'!$K$24:$K$112,1)+COUNTIFS('2024'!$L$24:$L$112,A115&amp;" / "&amp;B115,'2024'!$K$24:$K$112,1)+COUNTIFS('2025'!$L$24:$L$112,A115&amp;" / "&amp;B115,'2025'!$K$24:$K$112,1)</x:f>
        <x:v>1</x:v>
      </x:c>
      <x:c r="G115" s="25" t="n">
        <x:f>SUMIFS('2015'!$E$24:$E$96,'2015'!$L$24:$L$96,A115&amp;" / "&amp;B115,'2015'!$C$24:$C$96,A115)+SUMIFS('2015'!$H$24:$H$96,'2015'!$L$24:$L$96,A115&amp;" / "&amp;B115,'2015'!$F$24:$F$96,A115)+SUMIFS('2016'!$E$24:$E$96,'2016'!$L$24:$L$96,A115&amp;" / "&amp;B115,'2016'!$C$24:$C$96,A115)+SUMIFS('2016'!$H$24:$H$96,'2016'!$L$24:$L$96,A115&amp;" / "&amp;B115,'2016'!$F$24:$F$96,A115)+SUMIFS('2017'!$E$24:$E$106,'2017'!$L$24:$L$106,A115&amp;" / "&amp;B115,'2017'!$C$24:$C$106,A115)+SUMIFS('2017'!$H$24:$H$106,'2017'!$L$24:$L$106,A115&amp;" / "&amp;B115,'2017'!$F$24:$F$106,A115)+SUMIFS('2018'!$E$24:$E$106,'2018'!$L$24:$L$106,A115&amp;" / "&amp;B115,'2018'!$C$24:$C$106,A115)+SUMIFS('2018'!$H$24:$H$106,'2018'!$L$24:$L$106,A115&amp;" / "&amp;B115,'2018'!$F$24:$F$106,A115)+SUMIFS('2019'!$E$24:$E$106,'2019'!$L$24:$L$106,A115&amp;" / "&amp;B115,'2019'!$C$24:$C$106,A115)+SUMIFS('2019'!$H$24:$H$106,'2019'!$L$24:$L$106,A115&amp;" / "&amp;B115,'2019'!$F$24:$F$106,A115)+SUMIFS('2020'!$E$24:$E$106,'2020'!$L$24:$L$106,A115&amp;" / "&amp;B115,'2020'!$C$24:$C$106,A115)+SUMIFS('2020'!$H$24:$H$106,'2020'!$L$24:$L$106,A115&amp;" / "&amp;B115,'2020'!$F$24:$F$106,A115)+SUMIFS('2021'!$E$24:$E$112,'2021'!$L$24:$L$112,A115&amp;" / "&amp;B115,'2021'!$C$24:$C$112,A115)+SUMIFS('2021'!$H$24:$H$112,'2021'!$L$24:$L$112,A115&amp;" / "&amp;B115,'2021'!$F$24:$F$112,A115)+SUMIFS('2022'!$E$24:$E$112,'2022'!$L$24:$L$112,A115&amp;" / "&amp;B115,'2022'!$C$24:$C$112,A115)+SUMIFS('2022'!$H$24:$H$112,'2022'!$L$24:$L$112,A115&amp;" / "&amp;B115,'2022'!$F$24:$F$112,A115)+SUMIFS('2023'!$E$24:$E$112,'2023'!$L$24:$L$112,A115&amp;" / "&amp;B115,'2023'!$C$24:$C$112,A115)+SUMIFS('2023'!$H$24:$H$112,'2023'!$L$24:$L$112,A115&amp;" / "&amp;B115,'2023'!$F$24:$F$112,A115)+SUMIFS('2024'!$E$24:$E$112,'2024'!$L$24:$L$112,A115&amp;" / "&amp;B115,'2024'!$C$24:$C$112,A115)+SUMIFS('2024'!$H$24:$H$112,'2024'!$L$24:$L$112,A115&amp;" / "&amp;B115,'2024'!$F$24:$F$112,A115)+SUMIFS('2025'!$E$24:$E$112,'2025'!$L$24:$L$112,A115&amp;" / "&amp;B115,'2025'!$C$24:$C$112,A115)+SUMIFS('2025'!$H$24:$H$112,'2025'!$L$24:$L$112,A115&amp;" / "&amp;B115,'2025'!$F$24:$F$112,A115)</x:f>
        <x:v>133</x:v>
      </x:c>
      <x:c r="H115" s="25" t="n">
        <x:f>SUMIFS('2015'!$E$24:$E$96,'2015'!$L$24:$L$96,A115&amp;" / "&amp;B115,'2015'!$C$24:$C$96,B115)+SUMIFS('2015'!$H$24:$H$96,'2015'!$L$24:$L$96,A115&amp;" / "&amp;B115,'2015'!$F$24:$F$96,B115)+SUMIFS('2016'!$E$24:$E$96,'2016'!$L$24:$L$96,A115&amp;" / "&amp;B115,'2016'!$C$24:$C$96,B115)+SUMIFS('2016'!$H$24:$H$96,'2016'!$L$24:$L$96,A115&amp;" / "&amp;B115,'2016'!$F$24:$F$96,B115)+SUMIFS('2017'!$E$24:$E$106,'2017'!$L$24:$L$106,A115&amp;" / "&amp;B115,'2017'!$C$24:$C$106,B115)+SUMIFS('2017'!$H$24:$H$106,'2017'!$L$24:$L$106,A115&amp;" / "&amp;B115,'2017'!$F$24:$F$106,B115)+SUMIFS('2018'!$E$24:$E$106,'2018'!$L$24:$L$106,A115&amp;" / "&amp;B115,'2018'!$C$24:$C$106,B115)+SUMIFS('2018'!$H$24:$H$106,'2018'!$L$24:$L$106,A115&amp;" / "&amp;B115,'2018'!$F$24:$F$106,B115)+SUMIFS('2019'!$E$24:$E$106,'2019'!$L$24:$L$106,A115&amp;" / "&amp;B115,'2019'!$C$24:$C$106,B115)+SUMIFS('2019'!$H$24:$H$106,'2019'!$L$24:$L$106,A115&amp;" / "&amp;B115,'2019'!$F$24:$F$106,B115)+SUMIFS('2020'!$E$24:$E$106,'2020'!$L$24:$L$106,A115&amp;" / "&amp;B115,'2020'!$C$24:$C$106,B115)+SUMIFS('2020'!$H$24:$H$106,'2020'!$L$24:$L$106,A115&amp;" / "&amp;B115,'2020'!$F$24:$F$106,B115)+SUMIFS('2021'!$E$24:$E$112,'2021'!$L$24:$L$112,A115&amp;" / "&amp;B115,'2021'!$C$24:$C$112,B115)+SUMIFS('2021'!$H$24:$H$112,'2021'!$L$24:$L$112,A115&amp;" / "&amp;B115,'2021'!$F$24:$F$112,B115)+SUMIFS('2022'!$E$24:$E$112,'2022'!$L$24:$L$112,A115&amp;" / "&amp;B115,'2022'!$C$24:$C$112,B115)+SUMIFS('2022'!$H$24:$H$112,'2022'!$L$24:$L$112,A115&amp;" / "&amp;B115,'2022'!$F$24:$F$112,B115)+SUMIFS('2023'!$E$24:$E$112,'2023'!$L$24:$L$112,A115&amp;" / "&amp;B115,'2023'!$C$24:$C$112,B115)+SUMIFS('2023'!$H$24:$H$112,'2023'!$L$24:$L$112,A115&amp;" / "&amp;B115,'2023'!$F$24:$F$112,B115)+SUMIFS('2024'!$E$24:$E$112,'2024'!$L$24:$L$112,A115&amp;" / "&amp;B115,'2024'!$C$24:$C$112,B115)+SUMIFS('2024'!$H$24:$H$112,'2024'!$L$24:$L$112,A115&amp;" / "&amp;B115,'2024'!$F$24:$F$112,B115)+SUMIFS('2025'!$E$24:$E$112,'2025'!$L$24:$L$112,A115&amp;" / "&amp;B115,'2025'!$C$24:$C$112,B115)+SUMIFS('2025'!$H$24:$H$112,'2025'!$L$24:$L$112,A115&amp;" / "&amp;B115,'2025'!$F$24:$F$112,B115)</x:f>
        <x:v>133</x:v>
      </x:c>
      <x:c r="I115" s="11" t="n">
        <x:f>IF(C115=0,0,(D115+0.5*F115)/C115)</x:f>
        <x:v>0.5</x:v>
      </x:c>
      <x:c r="J115" s="2" t="n">
        <x:f>COUNTIFS('2015'!$L$24:$L$96,A115&amp;" / "&amp;B115,'2015'!$B$24:$B$96,"Regular")+COUNTIFS('2016'!$L$24:$L$96,A115&amp;" / "&amp;B115,'2016'!$B$24:$B$96,"Regular")+COUNTIFS('2017'!$L$24:$L$106,A115&amp;" / "&amp;B115,'2017'!$B$24:$B$106,"Regular")+COUNTIFS('2018'!$L$24:$L$106,A115&amp;" / "&amp;B115,'2018'!$B$24:$B$106,"Regular")+COUNTIFS('2019'!$L$24:$L$106,A115&amp;" / "&amp;B115,'2019'!$B$24:$B$106,"Regular")+COUNTIFS('2020'!$L$24:$L$106,A115&amp;" / "&amp;B115,'2020'!$B$24:$B$106,"Regular")+COUNTIFS('2021'!$L$24:$L$112,A115&amp;" / "&amp;B115,'2021'!$B$24:$B$112,"Regular")+COUNTIFS('2022'!$L$24:$L$112,A115&amp;" / "&amp;B115,'2022'!$B$24:$B$112,"Regular")+COUNTIFS('2023'!$L$24:$L$112,A115&amp;" / "&amp;B115,'2023'!$B$24:$B$112,"Regular")+COUNTIFS('2024'!$L$24:$L$112,A115&amp;" / "&amp;B115,'2024'!$B$24:$B$112,"Regular")+COUNTIFS('2025'!$L$24:$L$112,A115&amp;" / "&amp;B115,'2025'!$B$24:$B$112,"Regular")</x:f>
        <x:v>1</x:v>
      </x:c>
      <x:c r="K115" s="2" t="n">
        <x:f>COUNTIFS('2015'!$L$24:$L$96,A115&amp;" / "&amp;B115,'2015'!$B$24:$B$96,"Playoffs")+COUNTIFS('2016'!$L$24:$L$96,A115&amp;" / "&amp;B115,'2016'!$B$24:$B$96,"Playoffs")+COUNTIFS('2017'!$L$24:$L$106,A115&amp;" / "&amp;B115,'2017'!$B$24:$B$106,"Playoffs")+COUNTIFS('2018'!$L$24:$L$106,A115&amp;" / "&amp;B115,'2018'!$B$24:$B$106,"Playoffs")+COUNTIFS('2019'!$L$24:$L$106,A115&amp;" / "&amp;B115,'2019'!$B$24:$B$106,"Playoffs")+COUNTIFS('2020'!$L$24:$L$106,A115&amp;" / "&amp;B115,'2020'!$B$24:$B$106,"Playoffs")+COUNTIFS('2021'!$L$24:$L$112,A115&amp;" / "&amp;B115,'2021'!$B$24:$B$112,"Playoffs")+COUNTIFS('2022'!$L$24:$L$112,A115&amp;" / "&amp;B115,'2022'!$B$24:$B$112,"Playoffs")+COUNTIFS('2023'!$L$24:$L$112,A115&amp;" / "&amp;B115,'2023'!$B$24:$B$112,"Playoffs")+COUNTIFS('2024'!$L$24:$L$112,A115&amp;" / "&amp;B115,'2024'!$B$24:$B$112,"Playoffs")+COUNTIFS('2025'!$L$24:$L$112,A115&amp;" / "&amp;B115,'2025'!$B$24:$B$112,"Playoffs")</x:f>
        <x:v>0</x:v>
      </x:c>
      <x:c r="L115" s="2" t="n">
        <x:f>COUNTIFS('2015'!$L$24:$L$96,A115&amp;" / "&amp;B115,'2015'!$B$24:$B$96,"Unconfirmed")+COUNTIFS('2016'!$L$24:$L$96,A115&amp;" / "&amp;B115,'2016'!$B$24:$B$96,"Unconfirmed")+COUNTIFS('2017'!$L$24:$L$106,A115&amp;" / "&amp;B115,'2017'!$B$24:$B$106,"Unconfirmed")+COUNTIFS('2018'!$L$24:$L$106,A115&amp;" / "&amp;B115,'2018'!$B$24:$B$106,"Unconfirmed")+COUNTIFS('2019'!$L$24:$L$106,A115&amp;" / "&amp;B115,'2019'!$B$24:$B$106,"Unconfirmed")+COUNTIFS('2020'!$L$24:$L$106,A115&amp;" / "&amp;B115,'2020'!$B$24:$B$106,"Unconfirmed")+COUNTIFS('2021'!$L$24:$L$112,A115&amp;" / "&amp;B115,'2021'!$B$24:$B$112,"Unconfirmed")+COUNTIFS('2022'!$L$24:$L$112,A115&amp;" / "&amp;B115,'2022'!$B$24:$B$112,"Unconfirmed")+COUNTIFS('2023'!$L$24:$L$112,A115&amp;" / "&amp;B115,'2023'!$B$24:$B$112,"Unconfirmed")+COUNTIFS('2024'!$L$24:$L$112,A115&amp;" / "&amp;B115,'2024'!$B$24:$B$112,"Unconfirmed")+COUNTIFS('2025'!$L$24:$L$112,A115&amp;" / "&amp;B115,'2025'!$B$24:$B$112,"Unconfirmed")</x:f>
        <x:v>0</x:v>
      </x:c>
    </x:row>
    <x:row r="116" ht="22" customHeight="1">
      <x:c r="A116" s="2" t="str">
        <x:v>Grossi</x:v>
      </x:c>
      <x:c r="B116" s="2" t="str">
        <x:v>James B.</x:v>
      </x:c>
      <x:c r="C116" s="2" t="n">
        <x:f>COUNTIFS('2015'!$L$24:$L$96,A116&amp;" / "&amp;B116)+COUNTIFS('2016'!$L$24:$L$96,A116&amp;" / "&amp;B116)+COUNTIFS('2017'!$L$24:$L$106,A116&amp;" / "&amp;B116)+COUNTIFS('2018'!$L$24:$L$106,A116&amp;" / "&amp;B116)+COUNTIFS('2019'!$L$24:$L$106,A116&amp;" / "&amp;B116)+COUNTIFS('2020'!$L$24:$L$106,A116&amp;" / "&amp;B116)+COUNTIFS('2021'!$L$24:$L$112,A116&amp;" / "&amp;B116)+COUNTIFS('2022'!$L$24:$L$112,A116&amp;" / "&amp;B116)+COUNTIFS('2023'!$L$24:$L$112,A116&amp;" / "&amp;B116)+COUNTIFS('2024'!$L$24:$L$112,A116&amp;" / "&amp;B116)+COUNTIFS('2025'!$L$24:$L$112,A116&amp;" / "&amp;B116)</x:f>
        <x:v>1</x:v>
      </x:c>
      <x:c r="D116" s="2" t="n">
        <x:f>COUNTIFS('2015'!$L$24:$L$96,A116&amp;" / "&amp;B116,'2015'!$I$24:$I$96,A116)+COUNTIFS('2016'!$L$24:$L$96,A116&amp;" / "&amp;B116,'2016'!$I$24:$I$96,A116)+COUNTIFS('2017'!$L$24:$L$106,A116&amp;" / "&amp;B116,'2017'!$I$24:$I$106,A116)+COUNTIFS('2018'!$L$24:$L$106,A116&amp;" / "&amp;B116,'2018'!$I$24:$I$106,A116)+COUNTIFS('2019'!$L$24:$L$106,A116&amp;" / "&amp;B116,'2019'!$I$24:$I$106,A116)+COUNTIFS('2020'!$L$24:$L$106,A116&amp;" / "&amp;B116,'2020'!$I$24:$I$106,A116)+COUNTIFS('2021'!$L$24:$L$112,A116&amp;" / "&amp;B116,'2021'!$I$24:$I$112,A116)+COUNTIFS('2022'!$L$24:$L$112,A116&amp;" / "&amp;B116,'2022'!$I$24:$I$112,A116)+COUNTIFS('2023'!$L$24:$L$112,A116&amp;" / "&amp;B116,'2023'!$I$24:$I$112,A116)+COUNTIFS('2024'!$L$24:$L$112,A116&amp;" / "&amp;B116,'2024'!$I$24:$I$112,A116)+COUNTIFS('2025'!$L$24:$L$112,A116&amp;" / "&amp;B116,'2025'!$I$24:$I$112,A116)</x:f>
        <x:v>1</x:v>
      </x:c>
      <x:c r="E116" s="2" t="n">
        <x:f>COUNTIFS('2015'!$L$24:$L$96,A116&amp;" / "&amp;B116,'2015'!$I$24:$I$96,B116)+COUNTIFS('2016'!$L$24:$L$96,A116&amp;" / "&amp;B116,'2016'!$I$24:$I$96,B116)+COUNTIFS('2017'!$L$24:$L$106,A116&amp;" / "&amp;B116,'2017'!$I$24:$I$106,B116)+COUNTIFS('2018'!$L$24:$L$106,A116&amp;" / "&amp;B116,'2018'!$I$24:$I$106,B116)+COUNTIFS('2019'!$L$24:$L$106,A116&amp;" / "&amp;B116,'2019'!$I$24:$I$106,B116)+COUNTIFS('2020'!$L$24:$L$106,A116&amp;" / "&amp;B116,'2020'!$I$24:$I$106,B116)+COUNTIFS('2021'!$L$24:$L$112,A116&amp;" / "&amp;B116,'2021'!$I$24:$I$112,B116)+COUNTIFS('2022'!$L$24:$L$112,A116&amp;" / "&amp;B116,'2022'!$I$24:$I$112,B116)+COUNTIFS('2023'!$L$24:$L$112,A116&amp;" / "&amp;B116,'2023'!$I$24:$I$112,B116)+COUNTIFS('2024'!$L$24:$L$112,A116&amp;" / "&amp;B116,'2024'!$I$24:$I$112,B116)+COUNTIFS('2025'!$L$24:$L$112,A116&amp;" / "&amp;B116,'2025'!$I$24:$I$112,B116)</x:f>
        <x:v>0</x:v>
      </x:c>
      <x:c r="F116" s="2" t="n">
        <x:f>COUNTIFS('2015'!$L$24:$L$96,A116&amp;" / "&amp;B116,'2015'!$K$24:$K$96,1)+COUNTIFS('2016'!$L$24:$L$96,A116&amp;" / "&amp;B116,'2016'!$K$24:$K$96,1)+COUNTIFS('2017'!$L$24:$L$106,A116&amp;" / "&amp;B116,'2017'!$K$24:$K$106,1)+COUNTIFS('2018'!$L$24:$L$106,A116&amp;" / "&amp;B116,'2018'!$K$24:$K$106,1)+COUNTIFS('2019'!$L$24:$L$106,A116&amp;" / "&amp;B116,'2019'!$K$24:$K$106,1)+COUNTIFS('2020'!$L$24:$L$106,A116&amp;" / "&amp;B116,'2020'!$K$24:$K$106,1)+COUNTIFS('2021'!$L$24:$L$112,A116&amp;" / "&amp;B116,'2021'!$K$24:$K$112,1)+COUNTIFS('2022'!$L$24:$L$112,A116&amp;" / "&amp;B116,'2022'!$K$24:$K$112,1)+COUNTIFS('2023'!$L$24:$L$112,A116&amp;" / "&amp;B116,'2023'!$K$24:$K$112,1)+COUNTIFS('2024'!$L$24:$L$112,A116&amp;" / "&amp;B116,'2024'!$K$24:$K$112,1)+COUNTIFS('2025'!$L$24:$L$112,A116&amp;" / "&amp;B116,'2025'!$K$24:$K$112,1)</x:f>
        <x:v>0</x:v>
      </x:c>
      <x:c r="G116" s="25" t="n">
        <x:f>SUMIFS('2015'!$E$24:$E$96,'2015'!$L$24:$L$96,A116&amp;" / "&amp;B116,'2015'!$C$24:$C$96,A116)+SUMIFS('2015'!$H$24:$H$96,'2015'!$L$24:$L$96,A116&amp;" / "&amp;B116,'2015'!$F$24:$F$96,A116)+SUMIFS('2016'!$E$24:$E$96,'2016'!$L$24:$L$96,A116&amp;" / "&amp;B116,'2016'!$C$24:$C$96,A116)+SUMIFS('2016'!$H$24:$H$96,'2016'!$L$24:$L$96,A116&amp;" / "&amp;B116,'2016'!$F$24:$F$96,A116)+SUMIFS('2017'!$E$24:$E$106,'2017'!$L$24:$L$106,A116&amp;" / "&amp;B116,'2017'!$C$24:$C$106,A116)+SUMIFS('2017'!$H$24:$H$106,'2017'!$L$24:$L$106,A116&amp;" / "&amp;B116,'2017'!$F$24:$F$106,A116)+SUMIFS('2018'!$E$24:$E$106,'2018'!$L$24:$L$106,A116&amp;" / "&amp;B116,'2018'!$C$24:$C$106,A116)+SUMIFS('2018'!$H$24:$H$106,'2018'!$L$24:$L$106,A116&amp;" / "&amp;B116,'2018'!$F$24:$F$106,A116)+SUMIFS('2019'!$E$24:$E$106,'2019'!$L$24:$L$106,A116&amp;" / "&amp;B116,'2019'!$C$24:$C$106,A116)+SUMIFS('2019'!$H$24:$H$106,'2019'!$L$24:$L$106,A116&amp;" / "&amp;B116,'2019'!$F$24:$F$106,A116)+SUMIFS('2020'!$E$24:$E$106,'2020'!$L$24:$L$106,A116&amp;" / "&amp;B116,'2020'!$C$24:$C$106,A116)+SUMIFS('2020'!$H$24:$H$106,'2020'!$L$24:$L$106,A116&amp;" / "&amp;B116,'2020'!$F$24:$F$106,A116)+SUMIFS('2021'!$E$24:$E$112,'2021'!$L$24:$L$112,A116&amp;" / "&amp;B116,'2021'!$C$24:$C$112,A116)+SUMIFS('2021'!$H$24:$H$112,'2021'!$L$24:$L$112,A116&amp;" / "&amp;B116,'2021'!$F$24:$F$112,A116)+SUMIFS('2022'!$E$24:$E$112,'2022'!$L$24:$L$112,A116&amp;" / "&amp;B116,'2022'!$C$24:$C$112,A116)+SUMIFS('2022'!$H$24:$H$112,'2022'!$L$24:$L$112,A116&amp;" / "&amp;B116,'2022'!$F$24:$F$112,A116)+SUMIFS('2023'!$E$24:$E$112,'2023'!$L$24:$L$112,A116&amp;" / "&amp;B116,'2023'!$C$24:$C$112,A116)+SUMIFS('2023'!$H$24:$H$112,'2023'!$L$24:$L$112,A116&amp;" / "&amp;B116,'2023'!$F$24:$F$112,A116)+SUMIFS('2024'!$E$24:$E$112,'2024'!$L$24:$L$112,A116&amp;" / "&amp;B116,'2024'!$C$24:$C$112,A116)+SUMIFS('2024'!$H$24:$H$112,'2024'!$L$24:$L$112,A116&amp;" / "&amp;B116,'2024'!$F$24:$F$112,A116)+SUMIFS('2025'!$E$24:$E$112,'2025'!$L$24:$L$112,A116&amp;" / "&amp;B116,'2025'!$C$24:$C$112,A116)+SUMIFS('2025'!$H$24:$H$112,'2025'!$L$24:$L$112,A116&amp;" / "&amp;B116,'2025'!$F$24:$F$112,A116)</x:f>
        <x:v>131</x:v>
      </x:c>
      <x:c r="H116" s="25" t="n">
        <x:f>SUMIFS('2015'!$E$24:$E$96,'2015'!$L$24:$L$96,A116&amp;" / "&amp;B116,'2015'!$C$24:$C$96,B116)+SUMIFS('2015'!$H$24:$H$96,'2015'!$L$24:$L$96,A116&amp;" / "&amp;B116,'2015'!$F$24:$F$96,B116)+SUMIFS('2016'!$E$24:$E$96,'2016'!$L$24:$L$96,A116&amp;" / "&amp;B116,'2016'!$C$24:$C$96,B116)+SUMIFS('2016'!$H$24:$H$96,'2016'!$L$24:$L$96,A116&amp;" / "&amp;B116,'2016'!$F$24:$F$96,B116)+SUMIFS('2017'!$E$24:$E$106,'2017'!$L$24:$L$106,A116&amp;" / "&amp;B116,'2017'!$C$24:$C$106,B116)+SUMIFS('2017'!$H$24:$H$106,'2017'!$L$24:$L$106,A116&amp;" / "&amp;B116,'2017'!$F$24:$F$106,B116)+SUMIFS('2018'!$E$24:$E$106,'2018'!$L$24:$L$106,A116&amp;" / "&amp;B116,'2018'!$C$24:$C$106,B116)+SUMIFS('2018'!$H$24:$H$106,'2018'!$L$24:$L$106,A116&amp;" / "&amp;B116,'2018'!$F$24:$F$106,B116)+SUMIFS('2019'!$E$24:$E$106,'2019'!$L$24:$L$106,A116&amp;" / "&amp;B116,'2019'!$C$24:$C$106,B116)+SUMIFS('2019'!$H$24:$H$106,'2019'!$L$24:$L$106,A116&amp;" / "&amp;B116,'2019'!$F$24:$F$106,B116)+SUMIFS('2020'!$E$24:$E$106,'2020'!$L$24:$L$106,A116&amp;" / "&amp;B116,'2020'!$C$24:$C$106,B116)+SUMIFS('2020'!$H$24:$H$106,'2020'!$L$24:$L$106,A116&amp;" / "&amp;B116,'2020'!$F$24:$F$106,B116)+SUMIFS('2021'!$E$24:$E$112,'2021'!$L$24:$L$112,A116&amp;" / "&amp;B116,'2021'!$C$24:$C$112,B116)+SUMIFS('2021'!$H$24:$H$112,'2021'!$L$24:$L$112,A116&amp;" / "&amp;B116,'2021'!$F$24:$F$112,B116)+SUMIFS('2022'!$E$24:$E$112,'2022'!$L$24:$L$112,A116&amp;" / "&amp;B116,'2022'!$C$24:$C$112,B116)+SUMIFS('2022'!$H$24:$H$112,'2022'!$L$24:$L$112,A116&amp;" / "&amp;B116,'2022'!$F$24:$F$112,B116)+SUMIFS('2023'!$E$24:$E$112,'2023'!$L$24:$L$112,A116&amp;" / "&amp;B116,'2023'!$C$24:$C$112,B116)+SUMIFS('2023'!$H$24:$H$112,'2023'!$L$24:$L$112,A116&amp;" / "&amp;B116,'2023'!$F$24:$F$112,B116)+SUMIFS('2024'!$E$24:$E$112,'2024'!$L$24:$L$112,A116&amp;" / "&amp;B116,'2024'!$C$24:$C$112,B116)+SUMIFS('2024'!$H$24:$H$112,'2024'!$L$24:$L$112,A116&amp;" / "&amp;B116,'2024'!$F$24:$F$112,B116)+SUMIFS('2025'!$E$24:$E$112,'2025'!$L$24:$L$112,A116&amp;" / "&amp;B116,'2025'!$C$24:$C$112,B116)+SUMIFS('2025'!$H$24:$H$112,'2025'!$L$24:$L$112,A116&amp;" / "&amp;B116,'2025'!$F$24:$F$112,B116)</x:f>
        <x:v>130</x:v>
      </x:c>
      <x:c r="I116" s="11" t="n">
        <x:f>IF(C116=0,0,(D116+0.5*F116)/C116)</x:f>
        <x:v>1</x:v>
      </x:c>
      <x:c r="J116" s="2" t="n">
        <x:f>COUNTIFS('2015'!$L$24:$L$96,A116&amp;" / "&amp;B116,'2015'!$B$24:$B$96,"Regular")+COUNTIFS('2016'!$L$24:$L$96,A116&amp;" / "&amp;B116,'2016'!$B$24:$B$96,"Regular")+COUNTIFS('2017'!$L$24:$L$106,A116&amp;" / "&amp;B116,'2017'!$B$24:$B$106,"Regular")+COUNTIFS('2018'!$L$24:$L$106,A116&amp;" / "&amp;B116,'2018'!$B$24:$B$106,"Regular")+COUNTIFS('2019'!$L$24:$L$106,A116&amp;" / "&amp;B116,'2019'!$B$24:$B$106,"Regular")+COUNTIFS('2020'!$L$24:$L$106,A116&amp;" / "&amp;B116,'2020'!$B$24:$B$106,"Regular")+COUNTIFS('2021'!$L$24:$L$112,A116&amp;" / "&amp;B116,'2021'!$B$24:$B$112,"Regular")+COUNTIFS('2022'!$L$24:$L$112,A116&amp;" / "&amp;B116,'2022'!$B$24:$B$112,"Regular")+COUNTIFS('2023'!$L$24:$L$112,A116&amp;" / "&amp;B116,'2023'!$B$24:$B$112,"Regular")+COUNTIFS('2024'!$L$24:$L$112,A116&amp;" / "&amp;B116,'2024'!$B$24:$B$112,"Regular")+COUNTIFS('2025'!$L$24:$L$112,A116&amp;" / "&amp;B116,'2025'!$B$24:$B$112,"Regular")</x:f>
        <x:v>1</x:v>
      </x:c>
      <x:c r="K116" s="2" t="n">
        <x:f>COUNTIFS('2015'!$L$24:$L$96,A116&amp;" / "&amp;B116,'2015'!$B$24:$B$96,"Playoffs")+COUNTIFS('2016'!$L$24:$L$96,A116&amp;" / "&amp;B116,'2016'!$B$24:$B$96,"Playoffs")+COUNTIFS('2017'!$L$24:$L$106,A116&amp;" / "&amp;B116,'2017'!$B$24:$B$106,"Playoffs")+COUNTIFS('2018'!$L$24:$L$106,A116&amp;" / "&amp;B116,'2018'!$B$24:$B$106,"Playoffs")+COUNTIFS('2019'!$L$24:$L$106,A116&amp;" / "&amp;B116,'2019'!$B$24:$B$106,"Playoffs")+COUNTIFS('2020'!$L$24:$L$106,A116&amp;" / "&amp;B116,'2020'!$B$24:$B$106,"Playoffs")+COUNTIFS('2021'!$L$24:$L$112,A116&amp;" / "&amp;B116,'2021'!$B$24:$B$112,"Playoffs")+COUNTIFS('2022'!$L$24:$L$112,A116&amp;" / "&amp;B116,'2022'!$B$24:$B$112,"Playoffs")+COUNTIFS('2023'!$L$24:$L$112,A116&amp;" / "&amp;B116,'2023'!$B$24:$B$112,"Playoffs")+COUNTIFS('2024'!$L$24:$L$112,A116&amp;" / "&amp;B116,'2024'!$B$24:$B$112,"Playoffs")+COUNTIFS('2025'!$L$24:$L$112,A116&amp;" / "&amp;B116,'2025'!$B$24:$B$112,"Playoffs")</x:f>
        <x:v>0</x:v>
      </x:c>
      <x:c r="L116" s="2" t="n">
        <x:f>COUNTIFS('2015'!$L$24:$L$96,A116&amp;" / "&amp;B116,'2015'!$B$24:$B$96,"Unconfirmed")+COUNTIFS('2016'!$L$24:$L$96,A116&amp;" / "&amp;B116,'2016'!$B$24:$B$96,"Unconfirmed")+COUNTIFS('2017'!$L$24:$L$106,A116&amp;" / "&amp;B116,'2017'!$B$24:$B$106,"Unconfirmed")+COUNTIFS('2018'!$L$24:$L$106,A116&amp;" / "&amp;B116,'2018'!$B$24:$B$106,"Unconfirmed")+COUNTIFS('2019'!$L$24:$L$106,A116&amp;" / "&amp;B116,'2019'!$B$24:$B$106,"Unconfirmed")+COUNTIFS('2020'!$L$24:$L$106,A116&amp;" / "&amp;B116,'2020'!$B$24:$B$106,"Unconfirmed")+COUNTIFS('2021'!$L$24:$L$112,A116&amp;" / "&amp;B116,'2021'!$B$24:$B$112,"Unconfirmed")+COUNTIFS('2022'!$L$24:$L$112,A116&amp;" / "&amp;B116,'2022'!$B$24:$B$112,"Unconfirmed")+COUNTIFS('2023'!$L$24:$L$112,A116&amp;" / "&amp;B116,'2023'!$B$24:$B$112,"Unconfirmed")+COUNTIFS('2024'!$L$24:$L$112,A116&amp;" / "&amp;B116,'2024'!$B$24:$B$112,"Unconfirmed")+COUNTIFS('2025'!$L$24:$L$112,A116&amp;" / "&amp;B116,'2025'!$B$24:$B$112,"Unconfirmed")</x:f>
        <x:v>0</x:v>
      </x:c>
    </x:row>
    <x:row r="117" ht="22" customHeight="1">
      <x:c r="A117" s="2" t="str">
        <x:v>Grossi</x:v>
      </x:c>
      <x:c r="B117" s="2" t="str">
        <x:v>Josh</x:v>
      </x:c>
      <x:c r="C117" s="2" t="n">
        <x:f>COUNTIFS('2015'!$L$24:$L$96,A117&amp;" / "&amp;B117)+COUNTIFS('2016'!$L$24:$L$96,A117&amp;" / "&amp;B117)+COUNTIFS('2017'!$L$24:$L$106,A117&amp;" / "&amp;B117)+COUNTIFS('2018'!$L$24:$L$106,A117&amp;" / "&amp;B117)+COUNTIFS('2019'!$L$24:$L$106,A117&amp;" / "&amp;B117)+COUNTIFS('2020'!$L$24:$L$106,A117&amp;" / "&amp;B117)+COUNTIFS('2021'!$L$24:$L$112,A117&amp;" / "&amp;B117)+COUNTIFS('2022'!$L$24:$L$112,A117&amp;" / "&amp;B117)+COUNTIFS('2023'!$L$24:$L$112,A117&amp;" / "&amp;B117)+COUNTIFS('2024'!$L$24:$L$112,A117&amp;" / "&amp;B117)+COUNTIFS('2025'!$L$24:$L$112,A117&amp;" / "&amp;B117)</x:f>
        <x:v>2</x:v>
      </x:c>
      <x:c r="D117" s="2" t="n">
        <x:f>COUNTIFS('2015'!$L$24:$L$96,A117&amp;" / "&amp;B117,'2015'!$I$24:$I$96,A117)+COUNTIFS('2016'!$L$24:$L$96,A117&amp;" / "&amp;B117,'2016'!$I$24:$I$96,A117)+COUNTIFS('2017'!$L$24:$L$106,A117&amp;" / "&amp;B117,'2017'!$I$24:$I$106,A117)+COUNTIFS('2018'!$L$24:$L$106,A117&amp;" / "&amp;B117,'2018'!$I$24:$I$106,A117)+COUNTIFS('2019'!$L$24:$L$106,A117&amp;" / "&amp;B117,'2019'!$I$24:$I$106,A117)+COUNTIFS('2020'!$L$24:$L$106,A117&amp;" / "&amp;B117,'2020'!$I$24:$I$106,A117)+COUNTIFS('2021'!$L$24:$L$112,A117&amp;" / "&amp;B117,'2021'!$I$24:$I$112,A117)+COUNTIFS('2022'!$L$24:$L$112,A117&amp;" / "&amp;B117,'2022'!$I$24:$I$112,A117)+COUNTIFS('2023'!$L$24:$L$112,A117&amp;" / "&amp;B117,'2023'!$I$24:$I$112,A117)+COUNTIFS('2024'!$L$24:$L$112,A117&amp;" / "&amp;B117,'2024'!$I$24:$I$112,A117)+COUNTIFS('2025'!$L$24:$L$112,A117&amp;" / "&amp;B117,'2025'!$I$24:$I$112,A117)</x:f>
        <x:v>0</x:v>
      </x:c>
      <x:c r="E117" s="2" t="n">
        <x:f>COUNTIFS('2015'!$L$24:$L$96,A117&amp;" / "&amp;B117,'2015'!$I$24:$I$96,B117)+COUNTIFS('2016'!$L$24:$L$96,A117&amp;" / "&amp;B117,'2016'!$I$24:$I$96,B117)+COUNTIFS('2017'!$L$24:$L$106,A117&amp;" / "&amp;B117,'2017'!$I$24:$I$106,B117)+COUNTIFS('2018'!$L$24:$L$106,A117&amp;" / "&amp;B117,'2018'!$I$24:$I$106,B117)+COUNTIFS('2019'!$L$24:$L$106,A117&amp;" / "&amp;B117,'2019'!$I$24:$I$106,B117)+COUNTIFS('2020'!$L$24:$L$106,A117&amp;" / "&amp;B117,'2020'!$I$24:$I$106,B117)+COUNTIFS('2021'!$L$24:$L$112,A117&amp;" / "&amp;B117,'2021'!$I$24:$I$112,B117)+COUNTIFS('2022'!$L$24:$L$112,A117&amp;" / "&amp;B117,'2022'!$I$24:$I$112,B117)+COUNTIFS('2023'!$L$24:$L$112,A117&amp;" / "&amp;B117,'2023'!$I$24:$I$112,B117)+COUNTIFS('2024'!$L$24:$L$112,A117&amp;" / "&amp;B117,'2024'!$I$24:$I$112,B117)+COUNTIFS('2025'!$L$24:$L$112,A117&amp;" / "&amp;B117,'2025'!$I$24:$I$112,B117)</x:f>
        <x:v>2</x:v>
      </x:c>
      <x:c r="F117" s="2" t="n">
        <x:f>COUNTIFS('2015'!$L$24:$L$96,A117&amp;" / "&amp;B117,'2015'!$K$24:$K$96,1)+COUNTIFS('2016'!$L$24:$L$96,A117&amp;" / "&amp;B117,'2016'!$K$24:$K$96,1)+COUNTIFS('2017'!$L$24:$L$106,A117&amp;" / "&amp;B117,'2017'!$K$24:$K$106,1)+COUNTIFS('2018'!$L$24:$L$106,A117&amp;" / "&amp;B117,'2018'!$K$24:$K$106,1)+COUNTIFS('2019'!$L$24:$L$106,A117&amp;" / "&amp;B117,'2019'!$K$24:$K$106,1)+COUNTIFS('2020'!$L$24:$L$106,A117&amp;" / "&amp;B117,'2020'!$K$24:$K$106,1)+COUNTIFS('2021'!$L$24:$L$112,A117&amp;" / "&amp;B117,'2021'!$K$24:$K$112,1)+COUNTIFS('2022'!$L$24:$L$112,A117&amp;" / "&amp;B117,'2022'!$K$24:$K$112,1)+COUNTIFS('2023'!$L$24:$L$112,A117&amp;" / "&amp;B117,'2023'!$K$24:$K$112,1)+COUNTIFS('2024'!$L$24:$L$112,A117&amp;" / "&amp;B117,'2024'!$K$24:$K$112,1)+COUNTIFS('2025'!$L$24:$L$112,A117&amp;" / "&amp;B117,'2025'!$K$24:$K$112,1)</x:f>
        <x:v>0</x:v>
      </x:c>
      <x:c r="G117" s="25" t="n">
        <x:f>SUMIFS('2015'!$E$24:$E$96,'2015'!$L$24:$L$96,A117&amp;" / "&amp;B117,'2015'!$C$24:$C$96,A117)+SUMIFS('2015'!$H$24:$H$96,'2015'!$L$24:$L$96,A117&amp;" / "&amp;B117,'2015'!$F$24:$F$96,A117)+SUMIFS('2016'!$E$24:$E$96,'2016'!$L$24:$L$96,A117&amp;" / "&amp;B117,'2016'!$C$24:$C$96,A117)+SUMIFS('2016'!$H$24:$H$96,'2016'!$L$24:$L$96,A117&amp;" / "&amp;B117,'2016'!$F$24:$F$96,A117)+SUMIFS('2017'!$E$24:$E$106,'2017'!$L$24:$L$106,A117&amp;" / "&amp;B117,'2017'!$C$24:$C$106,A117)+SUMIFS('2017'!$H$24:$H$106,'2017'!$L$24:$L$106,A117&amp;" / "&amp;B117,'2017'!$F$24:$F$106,A117)+SUMIFS('2018'!$E$24:$E$106,'2018'!$L$24:$L$106,A117&amp;" / "&amp;B117,'2018'!$C$24:$C$106,A117)+SUMIFS('2018'!$H$24:$H$106,'2018'!$L$24:$L$106,A117&amp;" / "&amp;B117,'2018'!$F$24:$F$106,A117)+SUMIFS('2019'!$E$24:$E$106,'2019'!$L$24:$L$106,A117&amp;" / "&amp;B117,'2019'!$C$24:$C$106,A117)+SUMIFS('2019'!$H$24:$H$106,'2019'!$L$24:$L$106,A117&amp;" / "&amp;B117,'2019'!$F$24:$F$106,A117)+SUMIFS('2020'!$E$24:$E$106,'2020'!$L$24:$L$106,A117&amp;" / "&amp;B117,'2020'!$C$24:$C$106,A117)+SUMIFS('2020'!$H$24:$H$106,'2020'!$L$24:$L$106,A117&amp;" / "&amp;B117,'2020'!$F$24:$F$106,A117)+SUMIFS('2021'!$E$24:$E$112,'2021'!$L$24:$L$112,A117&amp;" / "&amp;B117,'2021'!$C$24:$C$112,A117)+SUMIFS('2021'!$H$24:$H$112,'2021'!$L$24:$L$112,A117&amp;" / "&amp;B117,'2021'!$F$24:$F$112,A117)+SUMIFS('2022'!$E$24:$E$112,'2022'!$L$24:$L$112,A117&amp;" / "&amp;B117,'2022'!$C$24:$C$112,A117)+SUMIFS('2022'!$H$24:$H$112,'2022'!$L$24:$L$112,A117&amp;" / "&amp;B117,'2022'!$F$24:$F$112,A117)+SUMIFS('2023'!$E$24:$E$112,'2023'!$L$24:$L$112,A117&amp;" / "&amp;B117,'2023'!$C$24:$C$112,A117)+SUMIFS('2023'!$H$24:$H$112,'2023'!$L$24:$L$112,A117&amp;" / "&amp;B117,'2023'!$F$24:$F$112,A117)+SUMIFS('2024'!$E$24:$E$112,'2024'!$L$24:$L$112,A117&amp;" / "&amp;B117,'2024'!$C$24:$C$112,A117)+SUMIFS('2024'!$H$24:$H$112,'2024'!$L$24:$L$112,A117&amp;" / "&amp;B117,'2024'!$F$24:$F$112,A117)+SUMIFS('2025'!$E$24:$E$112,'2025'!$L$24:$L$112,A117&amp;" / "&amp;B117,'2025'!$C$24:$C$112,A117)+SUMIFS('2025'!$H$24:$H$112,'2025'!$L$24:$L$112,A117&amp;" / "&amp;B117,'2025'!$F$24:$F$112,A117)</x:f>
        <x:v>222</x:v>
      </x:c>
      <x:c r="H117" s="25" t="n">
        <x:f>SUMIFS('2015'!$E$24:$E$96,'2015'!$L$24:$L$96,A117&amp;" / "&amp;B117,'2015'!$C$24:$C$96,B117)+SUMIFS('2015'!$H$24:$H$96,'2015'!$L$24:$L$96,A117&amp;" / "&amp;B117,'2015'!$F$24:$F$96,B117)+SUMIFS('2016'!$E$24:$E$96,'2016'!$L$24:$L$96,A117&amp;" / "&amp;B117,'2016'!$C$24:$C$96,B117)+SUMIFS('2016'!$H$24:$H$96,'2016'!$L$24:$L$96,A117&amp;" / "&amp;B117,'2016'!$F$24:$F$96,B117)+SUMIFS('2017'!$E$24:$E$106,'2017'!$L$24:$L$106,A117&amp;" / "&amp;B117,'2017'!$C$24:$C$106,B117)+SUMIFS('2017'!$H$24:$H$106,'2017'!$L$24:$L$106,A117&amp;" / "&amp;B117,'2017'!$F$24:$F$106,B117)+SUMIFS('2018'!$E$24:$E$106,'2018'!$L$24:$L$106,A117&amp;" / "&amp;B117,'2018'!$C$24:$C$106,B117)+SUMIFS('2018'!$H$24:$H$106,'2018'!$L$24:$L$106,A117&amp;" / "&amp;B117,'2018'!$F$24:$F$106,B117)+SUMIFS('2019'!$E$24:$E$106,'2019'!$L$24:$L$106,A117&amp;" / "&amp;B117,'2019'!$C$24:$C$106,B117)+SUMIFS('2019'!$H$24:$H$106,'2019'!$L$24:$L$106,A117&amp;" / "&amp;B117,'2019'!$F$24:$F$106,B117)+SUMIFS('2020'!$E$24:$E$106,'2020'!$L$24:$L$106,A117&amp;" / "&amp;B117,'2020'!$C$24:$C$106,B117)+SUMIFS('2020'!$H$24:$H$106,'2020'!$L$24:$L$106,A117&amp;" / "&amp;B117,'2020'!$F$24:$F$106,B117)+SUMIFS('2021'!$E$24:$E$112,'2021'!$L$24:$L$112,A117&amp;" / "&amp;B117,'2021'!$C$24:$C$112,B117)+SUMIFS('2021'!$H$24:$H$112,'2021'!$L$24:$L$112,A117&amp;" / "&amp;B117,'2021'!$F$24:$F$112,B117)+SUMIFS('2022'!$E$24:$E$112,'2022'!$L$24:$L$112,A117&amp;" / "&amp;B117,'2022'!$C$24:$C$112,B117)+SUMIFS('2022'!$H$24:$H$112,'2022'!$L$24:$L$112,A117&amp;" / "&amp;B117,'2022'!$F$24:$F$112,B117)+SUMIFS('2023'!$E$24:$E$112,'2023'!$L$24:$L$112,A117&amp;" / "&amp;B117,'2023'!$C$24:$C$112,B117)+SUMIFS('2023'!$H$24:$H$112,'2023'!$L$24:$L$112,A117&amp;" / "&amp;B117,'2023'!$F$24:$F$112,B117)+SUMIFS('2024'!$E$24:$E$112,'2024'!$L$24:$L$112,A117&amp;" / "&amp;B117,'2024'!$C$24:$C$112,B117)+SUMIFS('2024'!$H$24:$H$112,'2024'!$L$24:$L$112,A117&amp;" / "&amp;B117,'2024'!$F$24:$F$112,B117)+SUMIFS('2025'!$E$24:$E$112,'2025'!$L$24:$L$112,A117&amp;" / "&amp;B117,'2025'!$C$24:$C$112,B117)+SUMIFS('2025'!$H$24:$H$112,'2025'!$L$24:$L$112,A117&amp;" / "&amp;B117,'2025'!$F$24:$F$112,B117)</x:f>
        <x:v>294</x:v>
      </x:c>
      <x:c r="I117" s="11" t="n">
        <x:f>IF(C117=0,0,(D117+0.5*F117)/C117)</x:f>
        <x:v>0</x:v>
      </x:c>
      <x:c r="J117" s="2" t="n">
        <x:f>COUNTIFS('2015'!$L$24:$L$96,A117&amp;" / "&amp;B117,'2015'!$B$24:$B$96,"Regular")+COUNTIFS('2016'!$L$24:$L$96,A117&amp;" / "&amp;B117,'2016'!$B$24:$B$96,"Regular")+COUNTIFS('2017'!$L$24:$L$106,A117&amp;" / "&amp;B117,'2017'!$B$24:$B$106,"Regular")+COUNTIFS('2018'!$L$24:$L$106,A117&amp;" / "&amp;B117,'2018'!$B$24:$B$106,"Regular")+COUNTIFS('2019'!$L$24:$L$106,A117&amp;" / "&amp;B117,'2019'!$B$24:$B$106,"Regular")+COUNTIFS('2020'!$L$24:$L$106,A117&amp;" / "&amp;B117,'2020'!$B$24:$B$106,"Regular")+COUNTIFS('2021'!$L$24:$L$112,A117&amp;" / "&amp;B117,'2021'!$B$24:$B$112,"Regular")+COUNTIFS('2022'!$L$24:$L$112,A117&amp;" / "&amp;B117,'2022'!$B$24:$B$112,"Regular")+COUNTIFS('2023'!$L$24:$L$112,A117&amp;" / "&amp;B117,'2023'!$B$24:$B$112,"Regular")+COUNTIFS('2024'!$L$24:$L$112,A117&amp;" / "&amp;B117,'2024'!$B$24:$B$112,"Regular")+COUNTIFS('2025'!$L$24:$L$112,A117&amp;" / "&amp;B117,'2025'!$B$24:$B$112,"Regular")</x:f>
        <x:v>2</x:v>
      </x:c>
      <x:c r="K117" s="2" t="n">
        <x:f>COUNTIFS('2015'!$L$24:$L$96,A117&amp;" / "&amp;B117,'2015'!$B$24:$B$96,"Playoffs")+COUNTIFS('2016'!$L$24:$L$96,A117&amp;" / "&amp;B117,'2016'!$B$24:$B$96,"Playoffs")+COUNTIFS('2017'!$L$24:$L$106,A117&amp;" / "&amp;B117,'2017'!$B$24:$B$106,"Playoffs")+COUNTIFS('2018'!$L$24:$L$106,A117&amp;" / "&amp;B117,'2018'!$B$24:$B$106,"Playoffs")+COUNTIFS('2019'!$L$24:$L$106,A117&amp;" / "&amp;B117,'2019'!$B$24:$B$106,"Playoffs")+COUNTIFS('2020'!$L$24:$L$106,A117&amp;" / "&amp;B117,'2020'!$B$24:$B$106,"Playoffs")+COUNTIFS('2021'!$L$24:$L$112,A117&amp;" / "&amp;B117,'2021'!$B$24:$B$112,"Playoffs")+COUNTIFS('2022'!$L$24:$L$112,A117&amp;" / "&amp;B117,'2022'!$B$24:$B$112,"Playoffs")+COUNTIFS('2023'!$L$24:$L$112,A117&amp;" / "&amp;B117,'2023'!$B$24:$B$112,"Playoffs")+COUNTIFS('2024'!$L$24:$L$112,A117&amp;" / "&amp;B117,'2024'!$B$24:$B$112,"Playoffs")+COUNTIFS('2025'!$L$24:$L$112,A117&amp;" / "&amp;B117,'2025'!$B$24:$B$112,"Playoffs")</x:f>
        <x:v>0</x:v>
      </x:c>
      <x:c r="L117" s="2" t="n">
        <x:f>COUNTIFS('2015'!$L$24:$L$96,A117&amp;" / "&amp;B117,'2015'!$B$24:$B$96,"Unconfirmed")+COUNTIFS('2016'!$L$24:$L$96,A117&amp;" / "&amp;B117,'2016'!$B$24:$B$96,"Unconfirmed")+COUNTIFS('2017'!$L$24:$L$106,A117&amp;" / "&amp;B117,'2017'!$B$24:$B$106,"Unconfirmed")+COUNTIFS('2018'!$L$24:$L$106,A117&amp;" / "&amp;B117,'2018'!$B$24:$B$106,"Unconfirmed")+COUNTIFS('2019'!$L$24:$L$106,A117&amp;" / "&amp;B117,'2019'!$B$24:$B$106,"Unconfirmed")+COUNTIFS('2020'!$L$24:$L$106,A117&amp;" / "&amp;B117,'2020'!$B$24:$B$106,"Unconfirmed")+COUNTIFS('2021'!$L$24:$L$112,A117&amp;" / "&amp;B117,'2021'!$B$24:$B$112,"Unconfirmed")+COUNTIFS('2022'!$L$24:$L$112,A117&amp;" / "&amp;B117,'2022'!$B$24:$B$112,"Unconfirmed")+COUNTIFS('2023'!$L$24:$L$112,A117&amp;" / "&amp;B117,'2023'!$B$24:$B$112,"Unconfirmed")+COUNTIFS('2024'!$L$24:$L$112,A117&amp;" / "&amp;B117,'2024'!$B$24:$B$112,"Unconfirmed")+COUNTIFS('2025'!$L$24:$L$112,A117&amp;" / "&amp;B117,'2025'!$B$24:$B$112,"Unconfirmed")</x:f>
        <x:v>0</x:v>
      </x:c>
    </x:row>
    <x:row r="118" ht="22" customHeight="1">
      <x:c r="A118" s="2" t="str">
        <x:v>Grossi</x:v>
      </x:c>
      <x:c r="B118" s="2" t="str">
        <x:v>Mark</x:v>
      </x:c>
      <x:c r="C118" s="2" t="n">
        <x:f>COUNTIFS('2015'!$L$24:$L$96,A118&amp;" / "&amp;B118)+COUNTIFS('2016'!$L$24:$L$96,A118&amp;" / "&amp;B118)+COUNTIFS('2017'!$L$24:$L$106,A118&amp;" / "&amp;B118)+COUNTIFS('2018'!$L$24:$L$106,A118&amp;" / "&amp;B118)+COUNTIFS('2019'!$L$24:$L$106,A118&amp;" / "&amp;B118)+COUNTIFS('2020'!$L$24:$L$106,A118&amp;" / "&amp;B118)+COUNTIFS('2021'!$L$24:$L$112,A118&amp;" / "&amp;B118)+COUNTIFS('2022'!$L$24:$L$112,A118&amp;" / "&amp;B118)+COUNTIFS('2023'!$L$24:$L$112,A118&amp;" / "&amp;B118)+COUNTIFS('2024'!$L$24:$L$112,A118&amp;" / "&amp;B118)+COUNTIFS('2025'!$L$24:$L$112,A118&amp;" / "&amp;B118)</x:f>
        <x:v>1</x:v>
      </x:c>
      <x:c r="D118" s="2" t="n">
        <x:f>COUNTIFS('2015'!$L$24:$L$96,A118&amp;" / "&amp;B118,'2015'!$I$24:$I$96,A118)+COUNTIFS('2016'!$L$24:$L$96,A118&amp;" / "&amp;B118,'2016'!$I$24:$I$96,A118)+COUNTIFS('2017'!$L$24:$L$106,A118&amp;" / "&amp;B118,'2017'!$I$24:$I$106,A118)+COUNTIFS('2018'!$L$24:$L$106,A118&amp;" / "&amp;B118,'2018'!$I$24:$I$106,A118)+COUNTIFS('2019'!$L$24:$L$106,A118&amp;" / "&amp;B118,'2019'!$I$24:$I$106,A118)+COUNTIFS('2020'!$L$24:$L$106,A118&amp;" / "&amp;B118,'2020'!$I$24:$I$106,A118)+COUNTIFS('2021'!$L$24:$L$112,A118&amp;" / "&amp;B118,'2021'!$I$24:$I$112,A118)+COUNTIFS('2022'!$L$24:$L$112,A118&amp;" / "&amp;B118,'2022'!$I$24:$I$112,A118)+COUNTIFS('2023'!$L$24:$L$112,A118&amp;" / "&amp;B118,'2023'!$I$24:$I$112,A118)+COUNTIFS('2024'!$L$24:$L$112,A118&amp;" / "&amp;B118,'2024'!$I$24:$I$112,A118)+COUNTIFS('2025'!$L$24:$L$112,A118&amp;" / "&amp;B118,'2025'!$I$24:$I$112,A118)</x:f>
        <x:v>1</x:v>
      </x:c>
      <x:c r="E118" s="2" t="n">
        <x:f>COUNTIFS('2015'!$L$24:$L$96,A118&amp;" / "&amp;B118,'2015'!$I$24:$I$96,B118)+COUNTIFS('2016'!$L$24:$L$96,A118&amp;" / "&amp;B118,'2016'!$I$24:$I$96,B118)+COUNTIFS('2017'!$L$24:$L$106,A118&amp;" / "&amp;B118,'2017'!$I$24:$I$106,B118)+COUNTIFS('2018'!$L$24:$L$106,A118&amp;" / "&amp;B118,'2018'!$I$24:$I$106,B118)+COUNTIFS('2019'!$L$24:$L$106,A118&amp;" / "&amp;B118,'2019'!$I$24:$I$106,B118)+COUNTIFS('2020'!$L$24:$L$106,A118&amp;" / "&amp;B118,'2020'!$I$24:$I$106,B118)+COUNTIFS('2021'!$L$24:$L$112,A118&amp;" / "&amp;B118,'2021'!$I$24:$I$112,B118)+COUNTIFS('2022'!$L$24:$L$112,A118&amp;" / "&amp;B118,'2022'!$I$24:$I$112,B118)+COUNTIFS('2023'!$L$24:$L$112,A118&amp;" / "&amp;B118,'2023'!$I$24:$I$112,B118)+COUNTIFS('2024'!$L$24:$L$112,A118&amp;" / "&amp;B118,'2024'!$I$24:$I$112,B118)+COUNTIFS('2025'!$L$24:$L$112,A118&amp;" / "&amp;B118,'2025'!$I$24:$I$112,B118)</x:f>
        <x:v>0</x:v>
      </x:c>
      <x:c r="F118" s="2" t="n">
        <x:f>COUNTIFS('2015'!$L$24:$L$96,A118&amp;" / "&amp;B118,'2015'!$K$24:$K$96,1)+COUNTIFS('2016'!$L$24:$L$96,A118&amp;" / "&amp;B118,'2016'!$K$24:$K$96,1)+COUNTIFS('2017'!$L$24:$L$106,A118&amp;" / "&amp;B118,'2017'!$K$24:$K$106,1)+COUNTIFS('2018'!$L$24:$L$106,A118&amp;" / "&amp;B118,'2018'!$K$24:$K$106,1)+COUNTIFS('2019'!$L$24:$L$106,A118&amp;" / "&amp;B118,'2019'!$K$24:$K$106,1)+COUNTIFS('2020'!$L$24:$L$106,A118&amp;" / "&amp;B118,'2020'!$K$24:$K$106,1)+COUNTIFS('2021'!$L$24:$L$112,A118&amp;" / "&amp;B118,'2021'!$K$24:$K$112,1)+COUNTIFS('2022'!$L$24:$L$112,A118&amp;" / "&amp;B118,'2022'!$K$24:$K$112,1)+COUNTIFS('2023'!$L$24:$L$112,A118&amp;" / "&amp;B118,'2023'!$K$24:$K$112,1)+COUNTIFS('2024'!$L$24:$L$112,A118&amp;" / "&amp;B118,'2024'!$K$24:$K$112,1)+COUNTIFS('2025'!$L$24:$L$112,A118&amp;" / "&amp;B118,'2025'!$K$24:$K$112,1)</x:f>
        <x:v>0</x:v>
      </x:c>
      <x:c r="G118" s="25" t="n">
        <x:f>SUMIFS('2015'!$E$24:$E$96,'2015'!$L$24:$L$96,A118&amp;" / "&amp;B118,'2015'!$C$24:$C$96,A118)+SUMIFS('2015'!$H$24:$H$96,'2015'!$L$24:$L$96,A118&amp;" / "&amp;B118,'2015'!$F$24:$F$96,A118)+SUMIFS('2016'!$E$24:$E$96,'2016'!$L$24:$L$96,A118&amp;" / "&amp;B118,'2016'!$C$24:$C$96,A118)+SUMIFS('2016'!$H$24:$H$96,'2016'!$L$24:$L$96,A118&amp;" / "&amp;B118,'2016'!$F$24:$F$96,A118)+SUMIFS('2017'!$E$24:$E$106,'2017'!$L$24:$L$106,A118&amp;" / "&amp;B118,'2017'!$C$24:$C$106,A118)+SUMIFS('2017'!$H$24:$H$106,'2017'!$L$24:$L$106,A118&amp;" / "&amp;B118,'2017'!$F$24:$F$106,A118)+SUMIFS('2018'!$E$24:$E$106,'2018'!$L$24:$L$106,A118&amp;" / "&amp;B118,'2018'!$C$24:$C$106,A118)+SUMIFS('2018'!$H$24:$H$106,'2018'!$L$24:$L$106,A118&amp;" / "&amp;B118,'2018'!$F$24:$F$106,A118)+SUMIFS('2019'!$E$24:$E$106,'2019'!$L$24:$L$106,A118&amp;" / "&amp;B118,'2019'!$C$24:$C$106,A118)+SUMIFS('2019'!$H$24:$H$106,'2019'!$L$24:$L$106,A118&amp;" / "&amp;B118,'2019'!$F$24:$F$106,A118)+SUMIFS('2020'!$E$24:$E$106,'2020'!$L$24:$L$106,A118&amp;" / "&amp;B118,'2020'!$C$24:$C$106,A118)+SUMIFS('2020'!$H$24:$H$106,'2020'!$L$24:$L$106,A118&amp;" / "&amp;B118,'2020'!$F$24:$F$106,A118)+SUMIFS('2021'!$E$24:$E$112,'2021'!$L$24:$L$112,A118&amp;" / "&amp;B118,'2021'!$C$24:$C$112,A118)+SUMIFS('2021'!$H$24:$H$112,'2021'!$L$24:$L$112,A118&amp;" / "&amp;B118,'2021'!$F$24:$F$112,A118)+SUMIFS('2022'!$E$24:$E$112,'2022'!$L$24:$L$112,A118&amp;" / "&amp;B118,'2022'!$C$24:$C$112,A118)+SUMIFS('2022'!$H$24:$H$112,'2022'!$L$24:$L$112,A118&amp;" / "&amp;B118,'2022'!$F$24:$F$112,A118)+SUMIFS('2023'!$E$24:$E$112,'2023'!$L$24:$L$112,A118&amp;" / "&amp;B118,'2023'!$C$24:$C$112,A118)+SUMIFS('2023'!$H$24:$H$112,'2023'!$L$24:$L$112,A118&amp;" / "&amp;B118,'2023'!$F$24:$F$112,A118)+SUMIFS('2024'!$E$24:$E$112,'2024'!$L$24:$L$112,A118&amp;" / "&amp;B118,'2024'!$C$24:$C$112,A118)+SUMIFS('2024'!$H$24:$H$112,'2024'!$L$24:$L$112,A118&amp;" / "&amp;B118,'2024'!$F$24:$F$112,A118)+SUMIFS('2025'!$E$24:$E$112,'2025'!$L$24:$L$112,A118&amp;" / "&amp;B118,'2025'!$C$24:$C$112,A118)+SUMIFS('2025'!$H$24:$H$112,'2025'!$L$24:$L$112,A118&amp;" / "&amp;B118,'2025'!$F$24:$F$112,A118)</x:f>
        <x:v>188</x:v>
      </x:c>
      <x:c r="H118" s="25" t="n">
        <x:f>SUMIFS('2015'!$E$24:$E$96,'2015'!$L$24:$L$96,A118&amp;" / "&amp;B118,'2015'!$C$24:$C$96,B118)+SUMIFS('2015'!$H$24:$H$96,'2015'!$L$24:$L$96,A118&amp;" / "&amp;B118,'2015'!$F$24:$F$96,B118)+SUMIFS('2016'!$E$24:$E$96,'2016'!$L$24:$L$96,A118&amp;" / "&amp;B118,'2016'!$C$24:$C$96,B118)+SUMIFS('2016'!$H$24:$H$96,'2016'!$L$24:$L$96,A118&amp;" / "&amp;B118,'2016'!$F$24:$F$96,B118)+SUMIFS('2017'!$E$24:$E$106,'2017'!$L$24:$L$106,A118&amp;" / "&amp;B118,'2017'!$C$24:$C$106,B118)+SUMIFS('2017'!$H$24:$H$106,'2017'!$L$24:$L$106,A118&amp;" / "&amp;B118,'2017'!$F$24:$F$106,B118)+SUMIFS('2018'!$E$24:$E$106,'2018'!$L$24:$L$106,A118&amp;" / "&amp;B118,'2018'!$C$24:$C$106,B118)+SUMIFS('2018'!$H$24:$H$106,'2018'!$L$24:$L$106,A118&amp;" / "&amp;B118,'2018'!$F$24:$F$106,B118)+SUMIFS('2019'!$E$24:$E$106,'2019'!$L$24:$L$106,A118&amp;" / "&amp;B118,'2019'!$C$24:$C$106,B118)+SUMIFS('2019'!$H$24:$H$106,'2019'!$L$24:$L$106,A118&amp;" / "&amp;B118,'2019'!$F$24:$F$106,B118)+SUMIFS('2020'!$E$24:$E$106,'2020'!$L$24:$L$106,A118&amp;" / "&amp;B118,'2020'!$C$24:$C$106,B118)+SUMIFS('2020'!$H$24:$H$106,'2020'!$L$24:$L$106,A118&amp;" / "&amp;B118,'2020'!$F$24:$F$106,B118)+SUMIFS('2021'!$E$24:$E$112,'2021'!$L$24:$L$112,A118&amp;" / "&amp;B118,'2021'!$C$24:$C$112,B118)+SUMIFS('2021'!$H$24:$H$112,'2021'!$L$24:$L$112,A118&amp;" / "&amp;B118,'2021'!$F$24:$F$112,B118)+SUMIFS('2022'!$E$24:$E$112,'2022'!$L$24:$L$112,A118&amp;" / "&amp;B118,'2022'!$C$24:$C$112,B118)+SUMIFS('2022'!$H$24:$H$112,'2022'!$L$24:$L$112,A118&amp;" / "&amp;B118,'2022'!$F$24:$F$112,B118)+SUMIFS('2023'!$E$24:$E$112,'2023'!$L$24:$L$112,A118&amp;" / "&amp;B118,'2023'!$C$24:$C$112,B118)+SUMIFS('2023'!$H$24:$H$112,'2023'!$L$24:$L$112,A118&amp;" / "&amp;B118,'2023'!$F$24:$F$112,B118)+SUMIFS('2024'!$E$24:$E$112,'2024'!$L$24:$L$112,A118&amp;" / "&amp;B118,'2024'!$C$24:$C$112,B118)+SUMIFS('2024'!$H$24:$H$112,'2024'!$L$24:$L$112,A118&amp;" / "&amp;B118,'2024'!$F$24:$F$112,B118)+SUMIFS('2025'!$E$24:$E$112,'2025'!$L$24:$L$112,A118&amp;" / "&amp;B118,'2025'!$C$24:$C$112,B118)+SUMIFS('2025'!$H$24:$H$112,'2025'!$L$24:$L$112,A118&amp;" / "&amp;B118,'2025'!$F$24:$F$112,B118)</x:f>
        <x:v>141</x:v>
      </x:c>
      <x:c r="I118" s="11" t="n">
        <x:f>IF(C118=0,0,(D118+0.5*F118)/C118)</x:f>
        <x:v>1</x:v>
      </x:c>
      <x:c r="J118" s="2" t="n">
        <x:f>COUNTIFS('2015'!$L$24:$L$96,A118&amp;" / "&amp;B118,'2015'!$B$24:$B$96,"Regular")+COUNTIFS('2016'!$L$24:$L$96,A118&amp;" / "&amp;B118,'2016'!$B$24:$B$96,"Regular")+COUNTIFS('2017'!$L$24:$L$106,A118&amp;" / "&amp;B118,'2017'!$B$24:$B$106,"Regular")+COUNTIFS('2018'!$L$24:$L$106,A118&amp;" / "&amp;B118,'2018'!$B$24:$B$106,"Regular")+COUNTIFS('2019'!$L$24:$L$106,A118&amp;" / "&amp;B118,'2019'!$B$24:$B$106,"Regular")+COUNTIFS('2020'!$L$24:$L$106,A118&amp;" / "&amp;B118,'2020'!$B$24:$B$106,"Regular")+COUNTIFS('2021'!$L$24:$L$112,A118&amp;" / "&amp;B118,'2021'!$B$24:$B$112,"Regular")+COUNTIFS('2022'!$L$24:$L$112,A118&amp;" / "&amp;B118,'2022'!$B$24:$B$112,"Regular")+COUNTIFS('2023'!$L$24:$L$112,A118&amp;" / "&amp;B118,'2023'!$B$24:$B$112,"Regular")+COUNTIFS('2024'!$L$24:$L$112,A118&amp;" / "&amp;B118,'2024'!$B$24:$B$112,"Regular")+COUNTIFS('2025'!$L$24:$L$112,A118&amp;" / "&amp;B118,'2025'!$B$24:$B$112,"Regular")</x:f>
        <x:v>1</x:v>
      </x:c>
      <x:c r="K118" s="2" t="n">
        <x:f>COUNTIFS('2015'!$L$24:$L$96,A118&amp;" / "&amp;B118,'2015'!$B$24:$B$96,"Playoffs")+COUNTIFS('2016'!$L$24:$L$96,A118&amp;" / "&amp;B118,'2016'!$B$24:$B$96,"Playoffs")+COUNTIFS('2017'!$L$24:$L$106,A118&amp;" / "&amp;B118,'2017'!$B$24:$B$106,"Playoffs")+COUNTIFS('2018'!$L$24:$L$106,A118&amp;" / "&amp;B118,'2018'!$B$24:$B$106,"Playoffs")+COUNTIFS('2019'!$L$24:$L$106,A118&amp;" / "&amp;B118,'2019'!$B$24:$B$106,"Playoffs")+COUNTIFS('2020'!$L$24:$L$106,A118&amp;" / "&amp;B118,'2020'!$B$24:$B$106,"Playoffs")+COUNTIFS('2021'!$L$24:$L$112,A118&amp;" / "&amp;B118,'2021'!$B$24:$B$112,"Playoffs")+COUNTIFS('2022'!$L$24:$L$112,A118&amp;" / "&amp;B118,'2022'!$B$24:$B$112,"Playoffs")+COUNTIFS('2023'!$L$24:$L$112,A118&amp;" / "&amp;B118,'2023'!$B$24:$B$112,"Playoffs")+COUNTIFS('2024'!$L$24:$L$112,A118&amp;" / "&amp;B118,'2024'!$B$24:$B$112,"Playoffs")+COUNTIFS('2025'!$L$24:$L$112,A118&amp;" / "&amp;B118,'2025'!$B$24:$B$112,"Playoffs")</x:f>
        <x:v>0</x:v>
      </x:c>
      <x:c r="L118" s="2" t="n">
        <x:f>COUNTIFS('2015'!$L$24:$L$96,A118&amp;" / "&amp;B118,'2015'!$B$24:$B$96,"Unconfirmed")+COUNTIFS('2016'!$L$24:$L$96,A118&amp;" / "&amp;B118,'2016'!$B$24:$B$96,"Unconfirmed")+COUNTIFS('2017'!$L$24:$L$106,A118&amp;" / "&amp;B118,'2017'!$B$24:$B$106,"Unconfirmed")+COUNTIFS('2018'!$L$24:$L$106,A118&amp;" / "&amp;B118,'2018'!$B$24:$B$106,"Unconfirmed")+COUNTIFS('2019'!$L$24:$L$106,A118&amp;" / "&amp;B118,'2019'!$B$24:$B$106,"Unconfirmed")+COUNTIFS('2020'!$L$24:$L$106,A118&amp;" / "&amp;B118,'2020'!$B$24:$B$106,"Unconfirmed")+COUNTIFS('2021'!$L$24:$L$112,A118&amp;" / "&amp;B118,'2021'!$B$24:$B$112,"Unconfirmed")+COUNTIFS('2022'!$L$24:$L$112,A118&amp;" / "&amp;B118,'2022'!$B$24:$B$112,"Unconfirmed")+COUNTIFS('2023'!$L$24:$L$112,A118&amp;" / "&amp;B118,'2023'!$B$24:$B$112,"Unconfirmed")+COUNTIFS('2024'!$L$24:$L$112,A118&amp;" / "&amp;B118,'2024'!$B$24:$B$112,"Unconfirmed")+COUNTIFS('2025'!$L$24:$L$112,A118&amp;" / "&amp;B118,'2025'!$B$24:$B$112,"Unconfirmed")</x:f>
        <x:v>0</x:v>
      </x:c>
    </x:row>
    <x:row r="119" ht="22" customHeight="1">
      <x:c r="A119" s="2" t="str">
        <x:v>Grossi</x:v>
      </x:c>
      <x:c r="B119" s="2" t="str">
        <x:v>Matt</x:v>
      </x:c>
      <x:c r="C119" s="2" t="n">
        <x:f>COUNTIFS('2015'!$L$24:$L$96,A119&amp;" / "&amp;B119)+COUNTIFS('2016'!$L$24:$L$96,A119&amp;" / "&amp;B119)+COUNTIFS('2017'!$L$24:$L$106,A119&amp;" / "&amp;B119)+COUNTIFS('2018'!$L$24:$L$106,A119&amp;" / "&amp;B119)+COUNTIFS('2019'!$L$24:$L$106,A119&amp;" / "&amp;B119)+COUNTIFS('2020'!$L$24:$L$106,A119&amp;" / "&amp;B119)+COUNTIFS('2021'!$L$24:$L$112,A119&amp;" / "&amp;B119)+COUNTIFS('2022'!$L$24:$L$112,A119&amp;" / "&amp;B119)+COUNTIFS('2023'!$L$24:$L$112,A119&amp;" / "&amp;B119)+COUNTIFS('2024'!$L$24:$L$112,A119&amp;" / "&amp;B119)+COUNTIFS('2025'!$L$24:$L$112,A119&amp;" / "&amp;B119)</x:f>
        <x:v>2</x:v>
      </x:c>
      <x:c r="D119" s="2" t="n">
        <x:f>COUNTIFS('2015'!$L$24:$L$96,A119&amp;" / "&amp;B119,'2015'!$I$24:$I$96,A119)+COUNTIFS('2016'!$L$24:$L$96,A119&amp;" / "&amp;B119,'2016'!$I$24:$I$96,A119)+COUNTIFS('2017'!$L$24:$L$106,A119&amp;" / "&amp;B119,'2017'!$I$24:$I$106,A119)+COUNTIFS('2018'!$L$24:$L$106,A119&amp;" / "&amp;B119,'2018'!$I$24:$I$106,A119)+COUNTIFS('2019'!$L$24:$L$106,A119&amp;" / "&amp;B119,'2019'!$I$24:$I$106,A119)+COUNTIFS('2020'!$L$24:$L$106,A119&amp;" / "&amp;B119,'2020'!$I$24:$I$106,A119)+COUNTIFS('2021'!$L$24:$L$112,A119&amp;" / "&amp;B119,'2021'!$I$24:$I$112,A119)+COUNTIFS('2022'!$L$24:$L$112,A119&amp;" / "&amp;B119,'2022'!$I$24:$I$112,A119)+COUNTIFS('2023'!$L$24:$L$112,A119&amp;" / "&amp;B119,'2023'!$I$24:$I$112,A119)+COUNTIFS('2024'!$L$24:$L$112,A119&amp;" / "&amp;B119,'2024'!$I$24:$I$112,A119)+COUNTIFS('2025'!$L$24:$L$112,A119&amp;" / "&amp;B119,'2025'!$I$24:$I$112,A119)</x:f>
        <x:v>0</x:v>
      </x:c>
      <x:c r="E119" s="2" t="n">
        <x:f>COUNTIFS('2015'!$L$24:$L$96,A119&amp;" / "&amp;B119,'2015'!$I$24:$I$96,B119)+COUNTIFS('2016'!$L$24:$L$96,A119&amp;" / "&amp;B119,'2016'!$I$24:$I$96,B119)+COUNTIFS('2017'!$L$24:$L$106,A119&amp;" / "&amp;B119,'2017'!$I$24:$I$106,B119)+COUNTIFS('2018'!$L$24:$L$106,A119&amp;" / "&amp;B119,'2018'!$I$24:$I$106,B119)+COUNTIFS('2019'!$L$24:$L$106,A119&amp;" / "&amp;B119,'2019'!$I$24:$I$106,B119)+COUNTIFS('2020'!$L$24:$L$106,A119&amp;" / "&amp;B119,'2020'!$I$24:$I$106,B119)+COUNTIFS('2021'!$L$24:$L$112,A119&amp;" / "&amp;B119,'2021'!$I$24:$I$112,B119)+COUNTIFS('2022'!$L$24:$L$112,A119&amp;" / "&amp;B119,'2022'!$I$24:$I$112,B119)+COUNTIFS('2023'!$L$24:$L$112,A119&amp;" / "&amp;B119,'2023'!$I$24:$I$112,B119)+COUNTIFS('2024'!$L$24:$L$112,A119&amp;" / "&amp;B119,'2024'!$I$24:$I$112,B119)+COUNTIFS('2025'!$L$24:$L$112,A119&amp;" / "&amp;B119,'2025'!$I$24:$I$112,B119)</x:f>
        <x:v>2</x:v>
      </x:c>
      <x:c r="F119" s="2" t="n">
        <x:f>COUNTIFS('2015'!$L$24:$L$96,A119&amp;" / "&amp;B119,'2015'!$K$24:$K$96,1)+COUNTIFS('2016'!$L$24:$L$96,A119&amp;" / "&amp;B119,'2016'!$K$24:$K$96,1)+COUNTIFS('2017'!$L$24:$L$106,A119&amp;" / "&amp;B119,'2017'!$K$24:$K$106,1)+COUNTIFS('2018'!$L$24:$L$106,A119&amp;" / "&amp;B119,'2018'!$K$24:$K$106,1)+COUNTIFS('2019'!$L$24:$L$106,A119&amp;" / "&amp;B119,'2019'!$K$24:$K$106,1)+COUNTIFS('2020'!$L$24:$L$106,A119&amp;" / "&amp;B119,'2020'!$K$24:$K$106,1)+COUNTIFS('2021'!$L$24:$L$112,A119&amp;" / "&amp;B119,'2021'!$K$24:$K$112,1)+COUNTIFS('2022'!$L$24:$L$112,A119&amp;" / "&amp;B119,'2022'!$K$24:$K$112,1)+COUNTIFS('2023'!$L$24:$L$112,A119&amp;" / "&amp;B119,'2023'!$K$24:$K$112,1)+COUNTIFS('2024'!$L$24:$L$112,A119&amp;" / "&amp;B119,'2024'!$K$24:$K$112,1)+COUNTIFS('2025'!$L$24:$L$112,A119&amp;" / "&amp;B119,'2025'!$K$24:$K$112,1)</x:f>
        <x:v>0</x:v>
      </x:c>
      <x:c r="G119" s="25" t="n">
        <x:f>SUMIFS('2015'!$E$24:$E$96,'2015'!$L$24:$L$96,A119&amp;" / "&amp;B119,'2015'!$C$24:$C$96,A119)+SUMIFS('2015'!$H$24:$H$96,'2015'!$L$24:$L$96,A119&amp;" / "&amp;B119,'2015'!$F$24:$F$96,A119)+SUMIFS('2016'!$E$24:$E$96,'2016'!$L$24:$L$96,A119&amp;" / "&amp;B119,'2016'!$C$24:$C$96,A119)+SUMIFS('2016'!$H$24:$H$96,'2016'!$L$24:$L$96,A119&amp;" / "&amp;B119,'2016'!$F$24:$F$96,A119)+SUMIFS('2017'!$E$24:$E$106,'2017'!$L$24:$L$106,A119&amp;" / "&amp;B119,'2017'!$C$24:$C$106,A119)+SUMIFS('2017'!$H$24:$H$106,'2017'!$L$24:$L$106,A119&amp;" / "&amp;B119,'2017'!$F$24:$F$106,A119)+SUMIFS('2018'!$E$24:$E$106,'2018'!$L$24:$L$106,A119&amp;" / "&amp;B119,'2018'!$C$24:$C$106,A119)+SUMIFS('2018'!$H$24:$H$106,'2018'!$L$24:$L$106,A119&amp;" / "&amp;B119,'2018'!$F$24:$F$106,A119)+SUMIFS('2019'!$E$24:$E$106,'2019'!$L$24:$L$106,A119&amp;" / "&amp;B119,'2019'!$C$24:$C$106,A119)+SUMIFS('2019'!$H$24:$H$106,'2019'!$L$24:$L$106,A119&amp;" / "&amp;B119,'2019'!$F$24:$F$106,A119)+SUMIFS('2020'!$E$24:$E$106,'2020'!$L$24:$L$106,A119&amp;" / "&amp;B119,'2020'!$C$24:$C$106,A119)+SUMIFS('2020'!$H$24:$H$106,'2020'!$L$24:$L$106,A119&amp;" / "&amp;B119,'2020'!$F$24:$F$106,A119)+SUMIFS('2021'!$E$24:$E$112,'2021'!$L$24:$L$112,A119&amp;" / "&amp;B119,'2021'!$C$24:$C$112,A119)+SUMIFS('2021'!$H$24:$H$112,'2021'!$L$24:$L$112,A119&amp;" / "&amp;B119,'2021'!$F$24:$F$112,A119)+SUMIFS('2022'!$E$24:$E$112,'2022'!$L$24:$L$112,A119&amp;" / "&amp;B119,'2022'!$C$24:$C$112,A119)+SUMIFS('2022'!$H$24:$H$112,'2022'!$L$24:$L$112,A119&amp;" / "&amp;B119,'2022'!$F$24:$F$112,A119)+SUMIFS('2023'!$E$24:$E$112,'2023'!$L$24:$L$112,A119&amp;" / "&amp;B119,'2023'!$C$24:$C$112,A119)+SUMIFS('2023'!$H$24:$H$112,'2023'!$L$24:$L$112,A119&amp;" / "&amp;B119,'2023'!$F$24:$F$112,A119)+SUMIFS('2024'!$E$24:$E$112,'2024'!$L$24:$L$112,A119&amp;" / "&amp;B119,'2024'!$C$24:$C$112,A119)+SUMIFS('2024'!$H$24:$H$112,'2024'!$L$24:$L$112,A119&amp;" / "&amp;B119,'2024'!$F$24:$F$112,A119)+SUMIFS('2025'!$E$24:$E$112,'2025'!$L$24:$L$112,A119&amp;" / "&amp;B119,'2025'!$C$24:$C$112,A119)+SUMIFS('2025'!$H$24:$H$112,'2025'!$L$24:$L$112,A119&amp;" / "&amp;B119,'2025'!$F$24:$F$112,A119)</x:f>
        <x:v>218</x:v>
      </x:c>
      <x:c r="H119" s="25" t="n">
        <x:f>SUMIFS('2015'!$E$24:$E$96,'2015'!$L$24:$L$96,A119&amp;" / "&amp;B119,'2015'!$C$24:$C$96,B119)+SUMIFS('2015'!$H$24:$H$96,'2015'!$L$24:$L$96,A119&amp;" / "&amp;B119,'2015'!$F$24:$F$96,B119)+SUMIFS('2016'!$E$24:$E$96,'2016'!$L$24:$L$96,A119&amp;" / "&amp;B119,'2016'!$C$24:$C$96,B119)+SUMIFS('2016'!$H$24:$H$96,'2016'!$L$24:$L$96,A119&amp;" / "&amp;B119,'2016'!$F$24:$F$96,B119)+SUMIFS('2017'!$E$24:$E$106,'2017'!$L$24:$L$106,A119&amp;" / "&amp;B119,'2017'!$C$24:$C$106,B119)+SUMIFS('2017'!$H$24:$H$106,'2017'!$L$24:$L$106,A119&amp;" / "&amp;B119,'2017'!$F$24:$F$106,B119)+SUMIFS('2018'!$E$24:$E$106,'2018'!$L$24:$L$106,A119&amp;" / "&amp;B119,'2018'!$C$24:$C$106,B119)+SUMIFS('2018'!$H$24:$H$106,'2018'!$L$24:$L$106,A119&amp;" / "&amp;B119,'2018'!$F$24:$F$106,B119)+SUMIFS('2019'!$E$24:$E$106,'2019'!$L$24:$L$106,A119&amp;" / "&amp;B119,'2019'!$C$24:$C$106,B119)+SUMIFS('2019'!$H$24:$H$106,'2019'!$L$24:$L$106,A119&amp;" / "&amp;B119,'2019'!$F$24:$F$106,B119)+SUMIFS('2020'!$E$24:$E$106,'2020'!$L$24:$L$106,A119&amp;" / "&amp;B119,'2020'!$C$24:$C$106,B119)+SUMIFS('2020'!$H$24:$H$106,'2020'!$L$24:$L$106,A119&amp;" / "&amp;B119,'2020'!$F$24:$F$106,B119)+SUMIFS('2021'!$E$24:$E$112,'2021'!$L$24:$L$112,A119&amp;" / "&amp;B119,'2021'!$C$24:$C$112,B119)+SUMIFS('2021'!$H$24:$H$112,'2021'!$L$24:$L$112,A119&amp;" / "&amp;B119,'2021'!$F$24:$F$112,B119)+SUMIFS('2022'!$E$24:$E$112,'2022'!$L$24:$L$112,A119&amp;" / "&amp;B119,'2022'!$C$24:$C$112,B119)+SUMIFS('2022'!$H$24:$H$112,'2022'!$L$24:$L$112,A119&amp;" / "&amp;B119,'2022'!$F$24:$F$112,B119)+SUMIFS('2023'!$E$24:$E$112,'2023'!$L$24:$L$112,A119&amp;" / "&amp;B119,'2023'!$C$24:$C$112,B119)+SUMIFS('2023'!$H$24:$H$112,'2023'!$L$24:$L$112,A119&amp;" / "&amp;B119,'2023'!$F$24:$F$112,B119)+SUMIFS('2024'!$E$24:$E$112,'2024'!$L$24:$L$112,A119&amp;" / "&amp;B119,'2024'!$C$24:$C$112,B119)+SUMIFS('2024'!$H$24:$H$112,'2024'!$L$24:$L$112,A119&amp;" / "&amp;B119,'2024'!$F$24:$F$112,B119)+SUMIFS('2025'!$E$24:$E$112,'2025'!$L$24:$L$112,A119&amp;" / "&amp;B119,'2025'!$C$24:$C$112,B119)+SUMIFS('2025'!$H$24:$H$112,'2025'!$L$24:$L$112,A119&amp;" / "&amp;B119,'2025'!$F$24:$F$112,B119)</x:f>
        <x:v>267</x:v>
      </x:c>
      <x:c r="I119" s="11" t="n">
        <x:f>IF(C119=0,0,(D119+0.5*F119)/C119)</x:f>
        <x:v>0</x:v>
      </x:c>
      <x:c r="J119" s="2" t="n">
        <x:f>COUNTIFS('2015'!$L$24:$L$96,A119&amp;" / "&amp;B119,'2015'!$B$24:$B$96,"Regular")+COUNTIFS('2016'!$L$24:$L$96,A119&amp;" / "&amp;B119,'2016'!$B$24:$B$96,"Regular")+COUNTIFS('2017'!$L$24:$L$106,A119&amp;" / "&amp;B119,'2017'!$B$24:$B$106,"Regular")+COUNTIFS('2018'!$L$24:$L$106,A119&amp;" / "&amp;B119,'2018'!$B$24:$B$106,"Regular")+COUNTIFS('2019'!$L$24:$L$106,A119&amp;" / "&amp;B119,'2019'!$B$24:$B$106,"Regular")+COUNTIFS('2020'!$L$24:$L$106,A119&amp;" / "&amp;B119,'2020'!$B$24:$B$106,"Regular")+COUNTIFS('2021'!$L$24:$L$112,A119&amp;" / "&amp;B119,'2021'!$B$24:$B$112,"Regular")+COUNTIFS('2022'!$L$24:$L$112,A119&amp;" / "&amp;B119,'2022'!$B$24:$B$112,"Regular")+COUNTIFS('2023'!$L$24:$L$112,A119&amp;" / "&amp;B119,'2023'!$B$24:$B$112,"Regular")+COUNTIFS('2024'!$L$24:$L$112,A119&amp;" / "&amp;B119,'2024'!$B$24:$B$112,"Regular")+COUNTIFS('2025'!$L$24:$L$112,A119&amp;" / "&amp;B119,'2025'!$B$24:$B$112,"Regular")</x:f>
        <x:v>2</x:v>
      </x:c>
      <x:c r="K119" s="2" t="n">
        <x:f>COUNTIFS('2015'!$L$24:$L$96,A119&amp;" / "&amp;B119,'2015'!$B$24:$B$96,"Playoffs")+COUNTIFS('2016'!$L$24:$L$96,A119&amp;" / "&amp;B119,'2016'!$B$24:$B$96,"Playoffs")+COUNTIFS('2017'!$L$24:$L$106,A119&amp;" / "&amp;B119,'2017'!$B$24:$B$106,"Playoffs")+COUNTIFS('2018'!$L$24:$L$106,A119&amp;" / "&amp;B119,'2018'!$B$24:$B$106,"Playoffs")+COUNTIFS('2019'!$L$24:$L$106,A119&amp;" / "&amp;B119,'2019'!$B$24:$B$106,"Playoffs")+COUNTIFS('2020'!$L$24:$L$106,A119&amp;" / "&amp;B119,'2020'!$B$24:$B$106,"Playoffs")+COUNTIFS('2021'!$L$24:$L$112,A119&amp;" / "&amp;B119,'2021'!$B$24:$B$112,"Playoffs")+COUNTIFS('2022'!$L$24:$L$112,A119&amp;" / "&amp;B119,'2022'!$B$24:$B$112,"Playoffs")+COUNTIFS('2023'!$L$24:$L$112,A119&amp;" / "&amp;B119,'2023'!$B$24:$B$112,"Playoffs")+COUNTIFS('2024'!$L$24:$L$112,A119&amp;" / "&amp;B119,'2024'!$B$24:$B$112,"Playoffs")+COUNTIFS('2025'!$L$24:$L$112,A119&amp;" / "&amp;B119,'2025'!$B$24:$B$112,"Playoffs")</x:f>
        <x:v>0</x:v>
      </x:c>
      <x:c r="L119" s="2" t="n">
        <x:f>COUNTIFS('2015'!$L$24:$L$96,A119&amp;" / "&amp;B119,'2015'!$B$24:$B$96,"Unconfirmed")+COUNTIFS('2016'!$L$24:$L$96,A119&amp;" / "&amp;B119,'2016'!$B$24:$B$96,"Unconfirmed")+COUNTIFS('2017'!$L$24:$L$106,A119&amp;" / "&amp;B119,'2017'!$B$24:$B$106,"Unconfirmed")+COUNTIFS('2018'!$L$24:$L$106,A119&amp;" / "&amp;B119,'2018'!$B$24:$B$106,"Unconfirmed")+COUNTIFS('2019'!$L$24:$L$106,A119&amp;" / "&amp;B119,'2019'!$B$24:$B$106,"Unconfirmed")+COUNTIFS('2020'!$L$24:$L$106,A119&amp;" / "&amp;B119,'2020'!$B$24:$B$106,"Unconfirmed")+COUNTIFS('2021'!$L$24:$L$112,A119&amp;" / "&amp;B119,'2021'!$B$24:$B$112,"Unconfirmed")+COUNTIFS('2022'!$L$24:$L$112,A119&amp;" / "&amp;B119,'2022'!$B$24:$B$112,"Unconfirmed")+COUNTIFS('2023'!$L$24:$L$112,A119&amp;" / "&amp;B119,'2023'!$B$24:$B$112,"Unconfirmed")+COUNTIFS('2024'!$L$24:$L$112,A119&amp;" / "&amp;B119,'2024'!$B$24:$B$112,"Unconfirmed")+COUNTIFS('2025'!$L$24:$L$112,A119&amp;" / "&amp;B119,'2025'!$B$24:$B$112,"Unconfirmed")</x:f>
        <x:v>0</x:v>
      </x:c>
    </x:row>
    <x:row r="120" ht="22" customHeight="1">
      <x:c r="A120" s="2" t="str">
        <x:v>Grossi</x:v>
      </x:c>
      <x:c r="B120" s="2" t="str">
        <x:v>Taylor</x:v>
      </x:c>
      <x:c r="C120" s="2" t="n">
        <x:f>COUNTIFS('2015'!$L$24:$L$96,A120&amp;" / "&amp;B120)+COUNTIFS('2016'!$L$24:$L$96,A120&amp;" / "&amp;B120)+COUNTIFS('2017'!$L$24:$L$106,A120&amp;" / "&amp;B120)+COUNTIFS('2018'!$L$24:$L$106,A120&amp;" / "&amp;B120)+COUNTIFS('2019'!$L$24:$L$106,A120&amp;" / "&amp;B120)+COUNTIFS('2020'!$L$24:$L$106,A120&amp;" / "&amp;B120)+COUNTIFS('2021'!$L$24:$L$112,A120&amp;" / "&amp;B120)+COUNTIFS('2022'!$L$24:$L$112,A120&amp;" / "&amp;B120)+COUNTIFS('2023'!$L$24:$L$112,A120&amp;" / "&amp;B120)+COUNTIFS('2024'!$L$24:$L$112,A120&amp;" / "&amp;B120)+COUNTIFS('2025'!$L$24:$L$112,A120&amp;" / "&amp;B120)</x:f>
        <x:v>2</x:v>
      </x:c>
      <x:c r="D120" s="2" t="n">
        <x:f>COUNTIFS('2015'!$L$24:$L$96,A120&amp;" / "&amp;B120,'2015'!$I$24:$I$96,A120)+COUNTIFS('2016'!$L$24:$L$96,A120&amp;" / "&amp;B120,'2016'!$I$24:$I$96,A120)+COUNTIFS('2017'!$L$24:$L$106,A120&amp;" / "&amp;B120,'2017'!$I$24:$I$106,A120)+COUNTIFS('2018'!$L$24:$L$106,A120&amp;" / "&amp;B120,'2018'!$I$24:$I$106,A120)+COUNTIFS('2019'!$L$24:$L$106,A120&amp;" / "&amp;B120,'2019'!$I$24:$I$106,A120)+COUNTIFS('2020'!$L$24:$L$106,A120&amp;" / "&amp;B120,'2020'!$I$24:$I$106,A120)+COUNTIFS('2021'!$L$24:$L$112,A120&amp;" / "&amp;B120,'2021'!$I$24:$I$112,A120)+COUNTIFS('2022'!$L$24:$L$112,A120&amp;" / "&amp;B120,'2022'!$I$24:$I$112,A120)+COUNTIFS('2023'!$L$24:$L$112,A120&amp;" / "&amp;B120,'2023'!$I$24:$I$112,A120)+COUNTIFS('2024'!$L$24:$L$112,A120&amp;" / "&amp;B120,'2024'!$I$24:$I$112,A120)+COUNTIFS('2025'!$L$24:$L$112,A120&amp;" / "&amp;B120,'2025'!$I$24:$I$112,A120)</x:f>
        <x:v>1</x:v>
      </x:c>
      <x:c r="E120" s="2" t="n">
        <x:f>COUNTIFS('2015'!$L$24:$L$96,A120&amp;" / "&amp;B120,'2015'!$I$24:$I$96,B120)+COUNTIFS('2016'!$L$24:$L$96,A120&amp;" / "&amp;B120,'2016'!$I$24:$I$96,B120)+COUNTIFS('2017'!$L$24:$L$106,A120&amp;" / "&amp;B120,'2017'!$I$24:$I$106,B120)+COUNTIFS('2018'!$L$24:$L$106,A120&amp;" / "&amp;B120,'2018'!$I$24:$I$106,B120)+COUNTIFS('2019'!$L$24:$L$106,A120&amp;" / "&amp;B120,'2019'!$I$24:$I$106,B120)+COUNTIFS('2020'!$L$24:$L$106,A120&amp;" / "&amp;B120,'2020'!$I$24:$I$106,B120)+COUNTIFS('2021'!$L$24:$L$112,A120&amp;" / "&amp;B120,'2021'!$I$24:$I$112,B120)+COUNTIFS('2022'!$L$24:$L$112,A120&amp;" / "&amp;B120,'2022'!$I$24:$I$112,B120)+COUNTIFS('2023'!$L$24:$L$112,A120&amp;" / "&amp;B120,'2023'!$I$24:$I$112,B120)+COUNTIFS('2024'!$L$24:$L$112,A120&amp;" / "&amp;B120,'2024'!$I$24:$I$112,B120)+COUNTIFS('2025'!$L$24:$L$112,A120&amp;" / "&amp;B120,'2025'!$I$24:$I$112,B120)</x:f>
        <x:v>1</x:v>
      </x:c>
      <x:c r="F120" s="2" t="n">
        <x:f>COUNTIFS('2015'!$L$24:$L$96,A120&amp;" / "&amp;B120,'2015'!$K$24:$K$96,1)+COUNTIFS('2016'!$L$24:$L$96,A120&amp;" / "&amp;B120,'2016'!$K$24:$K$96,1)+COUNTIFS('2017'!$L$24:$L$106,A120&amp;" / "&amp;B120,'2017'!$K$24:$K$106,1)+COUNTIFS('2018'!$L$24:$L$106,A120&amp;" / "&amp;B120,'2018'!$K$24:$K$106,1)+COUNTIFS('2019'!$L$24:$L$106,A120&amp;" / "&amp;B120,'2019'!$K$24:$K$106,1)+COUNTIFS('2020'!$L$24:$L$106,A120&amp;" / "&amp;B120,'2020'!$K$24:$K$106,1)+COUNTIFS('2021'!$L$24:$L$112,A120&amp;" / "&amp;B120,'2021'!$K$24:$K$112,1)+COUNTIFS('2022'!$L$24:$L$112,A120&amp;" / "&amp;B120,'2022'!$K$24:$K$112,1)+COUNTIFS('2023'!$L$24:$L$112,A120&amp;" / "&amp;B120,'2023'!$K$24:$K$112,1)+COUNTIFS('2024'!$L$24:$L$112,A120&amp;" / "&amp;B120,'2024'!$K$24:$K$112,1)+COUNTIFS('2025'!$L$24:$L$112,A120&amp;" / "&amp;B120,'2025'!$K$24:$K$112,1)</x:f>
        <x:v>0</x:v>
      </x:c>
      <x:c r="G120" s="25" t="n">
        <x:f>SUMIFS('2015'!$E$24:$E$96,'2015'!$L$24:$L$96,A120&amp;" / "&amp;B120,'2015'!$C$24:$C$96,A120)+SUMIFS('2015'!$H$24:$H$96,'2015'!$L$24:$L$96,A120&amp;" / "&amp;B120,'2015'!$F$24:$F$96,A120)+SUMIFS('2016'!$E$24:$E$96,'2016'!$L$24:$L$96,A120&amp;" / "&amp;B120,'2016'!$C$24:$C$96,A120)+SUMIFS('2016'!$H$24:$H$96,'2016'!$L$24:$L$96,A120&amp;" / "&amp;B120,'2016'!$F$24:$F$96,A120)+SUMIFS('2017'!$E$24:$E$106,'2017'!$L$24:$L$106,A120&amp;" / "&amp;B120,'2017'!$C$24:$C$106,A120)+SUMIFS('2017'!$H$24:$H$106,'2017'!$L$24:$L$106,A120&amp;" / "&amp;B120,'2017'!$F$24:$F$106,A120)+SUMIFS('2018'!$E$24:$E$106,'2018'!$L$24:$L$106,A120&amp;" / "&amp;B120,'2018'!$C$24:$C$106,A120)+SUMIFS('2018'!$H$24:$H$106,'2018'!$L$24:$L$106,A120&amp;" / "&amp;B120,'2018'!$F$24:$F$106,A120)+SUMIFS('2019'!$E$24:$E$106,'2019'!$L$24:$L$106,A120&amp;" / "&amp;B120,'2019'!$C$24:$C$106,A120)+SUMIFS('2019'!$H$24:$H$106,'2019'!$L$24:$L$106,A120&amp;" / "&amp;B120,'2019'!$F$24:$F$106,A120)+SUMIFS('2020'!$E$24:$E$106,'2020'!$L$24:$L$106,A120&amp;" / "&amp;B120,'2020'!$C$24:$C$106,A120)+SUMIFS('2020'!$H$24:$H$106,'2020'!$L$24:$L$106,A120&amp;" / "&amp;B120,'2020'!$F$24:$F$106,A120)+SUMIFS('2021'!$E$24:$E$112,'2021'!$L$24:$L$112,A120&amp;" / "&amp;B120,'2021'!$C$24:$C$112,A120)+SUMIFS('2021'!$H$24:$H$112,'2021'!$L$24:$L$112,A120&amp;" / "&amp;B120,'2021'!$F$24:$F$112,A120)+SUMIFS('2022'!$E$24:$E$112,'2022'!$L$24:$L$112,A120&amp;" / "&amp;B120,'2022'!$C$24:$C$112,A120)+SUMIFS('2022'!$H$24:$H$112,'2022'!$L$24:$L$112,A120&amp;" / "&amp;B120,'2022'!$F$24:$F$112,A120)+SUMIFS('2023'!$E$24:$E$112,'2023'!$L$24:$L$112,A120&amp;" / "&amp;B120,'2023'!$C$24:$C$112,A120)+SUMIFS('2023'!$H$24:$H$112,'2023'!$L$24:$L$112,A120&amp;" / "&amp;B120,'2023'!$F$24:$F$112,A120)+SUMIFS('2024'!$E$24:$E$112,'2024'!$L$24:$L$112,A120&amp;" / "&amp;B120,'2024'!$C$24:$C$112,A120)+SUMIFS('2024'!$H$24:$H$112,'2024'!$L$24:$L$112,A120&amp;" / "&amp;B120,'2024'!$F$24:$F$112,A120)+SUMIFS('2025'!$E$24:$E$112,'2025'!$L$24:$L$112,A120&amp;" / "&amp;B120,'2025'!$C$24:$C$112,A120)+SUMIFS('2025'!$H$24:$H$112,'2025'!$L$24:$L$112,A120&amp;" / "&amp;B120,'2025'!$F$24:$F$112,A120)</x:f>
        <x:v>265</x:v>
      </x:c>
      <x:c r="H120" s="25" t="n">
        <x:f>SUMIFS('2015'!$E$24:$E$96,'2015'!$L$24:$L$96,A120&amp;" / "&amp;B120,'2015'!$C$24:$C$96,B120)+SUMIFS('2015'!$H$24:$H$96,'2015'!$L$24:$L$96,A120&amp;" / "&amp;B120,'2015'!$F$24:$F$96,B120)+SUMIFS('2016'!$E$24:$E$96,'2016'!$L$24:$L$96,A120&amp;" / "&amp;B120,'2016'!$C$24:$C$96,B120)+SUMIFS('2016'!$H$24:$H$96,'2016'!$L$24:$L$96,A120&amp;" / "&amp;B120,'2016'!$F$24:$F$96,B120)+SUMIFS('2017'!$E$24:$E$106,'2017'!$L$24:$L$106,A120&amp;" / "&amp;B120,'2017'!$C$24:$C$106,B120)+SUMIFS('2017'!$H$24:$H$106,'2017'!$L$24:$L$106,A120&amp;" / "&amp;B120,'2017'!$F$24:$F$106,B120)+SUMIFS('2018'!$E$24:$E$106,'2018'!$L$24:$L$106,A120&amp;" / "&amp;B120,'2018'!$C$24:$C$106,B120)+SUMIFS('2018'!$H$24:$H$106,'2018'!$L$24:$L$106,A120&amp;" / "&amp;B120,'2018'!$F$24:$F$106,B120)+SUMIFS('2019'!$E$24:$E$106,'2019'!$L$24:$L$106,A120&amp;" / "&amp;B120,'2019'!$C$24:$C$106,B120)+SUMIFS('2019'!$H$24:$H$106,'2019'!$L$24:$L$106,A120&amp;" / "&amp;B120,'2019'!$F$24:$F$106,B120)+SUMIFS('2020'!$E$24:$E$106,'2020'!$L$24:$L$106,A120&amp;" / "&amp;B120,'2020'!$C$24:$C$106,B120)+SUMIFS('2020'!$H$24:$H$106,'2020'!$L$24:$L$106,A120&amp;" / "&amp;B120,'2020'!$F$24:$F$106,B120)+SUMIFS('2021'!$E$24:$E$112,'2021'!$L$24:$L$112,A120&amp;" / "&amp;B120,'2021'!$C$24:$C$112,B120)+SUMIFS('2021'!$H$24:$H$112,'2021'!$L$24:$L$112,A120&amp;" / "&amp;B120,'2021'!$F$24:$F$112,B120)+SUMIFS('2022'!$E$24:$E$112,'2022'!$L$24:$L$112,A120&amp;" / "&amp;B120,'2022'!$C$24:$C$112,B120)+SUMIFS('2022'!$H$24:$H$112,'2022'!$L$24:$L$112,A120&amp;" / "&amp;B120,'2022'!$F$24:$F$112,B120)+SUMIFS('2023'!$E$24:$E$112,'2023'!$L$24:$L$112,A120&amp;" / "&amp;B120,'2023'!$C$24:$C$112,B120)+SUMIFS('2023'!$H$24:$H$112,'2023'!$L$24:$L$112,A120&amp;" / "&amp;B120,'2023'!$F$24:$F$112,B120)+SUMIFS('2024'!$E$24:$E$112,'2024'!$L$24:$L$112,A120&amp;" / "&amp;B120,'2024'!$C$24:$C$112,B120)+SUMIFS('2024'!$H$24:$H$112,'2024'!$L$24:$L$112,A120&amp;" / "&amp;B120,'2024'!$F$24:$F$112,B120)+SUMIFS('2025'!$E$24:$E$112,'2025'!$L$24:$L$112,A120&amp;" / "&amp;B120,'2025'!$C$24:$C$112,B120)+SUMIFS('2025'!$H$24:$H$112,'2025'!$L$24:$L$112,A120&amp;" / "&amp;B120,'2025'!$F$24:$F$112,B120)</x:f>
        <x:v>249</x:v>
      </x:c>
      <x:c r="I120" s="11" t="n">
        <x:f>IF(C120=0,0,(D120+0.5*F120)/C120)</x:f>
        <x:v>0.5</x:v>
      </x:c>
      <x:c r="J120" s="2" t="n">
        <x:f>COUNTIFS('2015'!$L$24:$L$96,A120&amp;" / "&amp;B120,'2015'!$B$24:$B$96,"Regular")+COUNTIFS('2016'!$L$24:$L$96,A120&amp;" / "&amp;B120,'2016'!$B$24:$B$96,"Regular")+COUNTIFS('2017'!$L$24:$L$106,A120&amp;" / "&amp;B120,'2017'!$B$24:$B$106,"Regular")+COUNTIFS('2018'!$L$24:$L$106,A120&amp;" / "&amp;B120,'2018'!$B$24:$B$106,"Regular")+COUNTIFS('2019'!$L$24:$L$106,A120&amp;" / "&amp;B120,'2019'!$B$24:$B$106,"Regular")+COUNTIFS('2020'!$L$24:$L$106,A120&amp;" / "&amp;B120,'2020'!$B$24:$B$106,"Regular")+COUNTIFS('2021'!$L$24:$L$112,A120&amp;" / "&amp;B120,'2021'!$B$24:$B$112,"Regular")+COUNTIFS('2022'!$L$24:$L$112,A120&amp;" / "&amp;B120,'2022'!$B$24:$B$112,"Regular")+COUNTIFS('2023'!$L$24:$L$112,A120&amp;" / "&amp;B120,'2023'!$B$24:$B$112,"Regular")+COUNTIFS('2024'!$L$24:$L$112,A120&amp;" / "&amp;B120,'2024'!$B$24:$B$112,"Regular")+COUNTIFS('2025'!$L$24:$L$112,A120&amp;" / "&amp;B120,'2025'!$B$24:$B$112,"Regular")</x:f>
        <x:v>2</x:v>
      </x:c>
      <x:c r="K120" s="2" t="n">
        <x:f>COUNTIFS('2015'!$L$24:$L$96,A120&amp;" / "&amp;B120,'2015'!$B$24:$B$96,"Playoffs")+COUNTIFS('2016'!$L$24:$L$96,A120&amp;" / "&amp;B120,'2016'!$B$24:$B$96,"Playoffs")+COUNTIFS('2017'!$L$24:$L$106,A120&amp;" / "&amp;B120,'2017'!$B$24:$B$106,"Playoffs")+COUNTIFS('2018'!$L$24:$L$106,A120&amp;" / "&amp;B120,'2018'!$B$24:$B$106,"Playoffs")+COUNTIFS('2019'!$L$24:$L$106,A120&amp;" / "&amp;B120,'2019'!$B$24:$B$106,"Playoffs")+COUNTIFS('2020'!$L$24:$L$106,A120&amp;" / "&amp;B120,'2020'!$B$24:$B$106,"Playoffs")+COUNTIFS('2021'!$L$24:$L$112,A120&amp;" / "&amp;B120,'2021'!$B$24:$B$112,"Playoffs")+COUNTIFS('2022'!$L$24:$L$112,A120&amp;" / "&amp;B120,'2022'!$B$24:$B$112,"Playoffs")+COUNTIFS('2023'!$L$24:$L$112,A120&amp;" / "&amp;B120,'2023'!$B$24:$B$112,"Playoffs")+COUNTIFS('2024'!$L$24:$L$112,A120&amp;" / "&amp;B120,'2024'!$B$24:$B$112,"Playoffs")+COUNTIFS('2025'!$L$24:$L$112,A120&amp;" / "&amp;B120,'2025'!$B$24:$B$112,"Playoffs")</x:f>
        <x:v>0</x:v>
      </x:c>
      <x:c r="L120" s="2" t="n">
        <x:f>COUNTIFS('2015'!$L$24:$L$96,A120&amp;" / "&amp;B120,'2015'!$B$24:$B$96,"Unconfirmed")+COUNTIFS('2016'!$L$24:$L$96,A120&amp;" / "&amp;B120,'2016'!$B$24:$B$96,"Unconfirmed")+COUNTIFS('2017'!$L$24:$L$106,A120&amp;" / "&amp;B120,'2017'!$B$24:$B$106,"Unconfirmed")+COUNTIFS('2018'!$L$24:$L$106,A120&amp;" / "&amp;B120,'2018'!$B$24:$B$106,"Unconfirmed")+COUNTIFS('2019'!$L$24:$L$106,A120&amp;" / "&amp;B120,'2019'!$B$24:$B$106,"Unconfirmed")+COUNTIFS('2020'!$L$24:$L$106,A120&amp;" / "&amp;B120,'2020'!$B$24:$B$106,"Unconfirmed")+COUNTIFS('2021'!$L$24:$L$112,A120&amp;" / "&amp;B120,'2021'!$B$24:$B$112,"Unconfirmed")+COUNTIFS('2022'!$L$24:$L$112,A120&amp;" / "&amp;B120,'2022'!$B$24:$B$112,"Unconfirmed")+COUNTIFS('2023'!$L$24:$L$112,A120&amp;" / "&amp;B120,'2023'!$B$24:$B$112,"Unconfirmed")+COUNTIFS('2024'!$L$24:$L$112,A120&amp;" / "&amp;B120,'2024'!$B$24:$B$112,"Unconfirmed")+COUNTIFS('2025'!$L$24:$L$112,A120&amp;" / "&amp;B120,'2025'!$B$24:$B$112,"Unconfirmed")</x:f>
        <x:v>0</x:v>
      </x:c>
    </x:row>
    <x:row r="121" ht="22" customHeight="1">
      <x:c r="A121" s="2" t="str">
        <x:v>James B.</x:v>
      </x:c>
      <x:c r="B121" s="2" t="str">
        <x:v>Josh</x:v>
      </x:c>
      <x:c r="C121" s="2" t="n">
        <x:f>COUNTIFS('2015'!$L$24:$L$96,A121&amp;" / "&amp;B121)+COUNTIFS('2016'!$L$24:$L$96,A121&amp;" / "&amp;B121)+COUNTIFS('2017'!$L$24:$L$106,A121&amp;" / "&amp;B121)+COUNTIFS('2018'!$L$24:$L$106,A121&amp;" / "&amp;B121)+COUNTIFS('2019'!$L$24:$L$106,A121&amp;" / "&amp;B121)+COUNTIFS('2020'!$L$24:$L$106,A121&amp;" / "&amp;B121)+COUNTIFS('2021'!$L$24:$L$112,A121&amp;" / "&amp;B121)+COUNTIFS('2022'!$L$24:$L$112,A121&amp;" / "&amp;B121)+COUNTIFS('2023'!$L$24:$L$112,A121&amp;" / "&amp;B121)+COUNTIFS('2024'!$L$24:$L$112,A121&amp;" / "&amp;B121)+COUNTIFS('2025'!$L$24:$L$112,A121&amp;" / "&amp;B121)</x:f>
        <x:v>4</x:v>
      </x:c>
      <x:c r="D121" s="2" t="n">
        <x:f>COUNTIFS('2015'!$L$24:$L$96,A121&amp;" / "&amp;B121,'2015'!$I$24:$I$96,A121)+COUNTIFS('2016'!$L$24:$L$96,A121&amp;" / "&amp;B121,'2016'!$I$24:$I$96,A121)+COUNTIFS('2017'!$L$24:$L$106,A121&amp;" / "&amp;B121,'2017'!$I$24:$I$106,A121)+COUNTIFS('2018'!$L$24:$L$106,A121&amp;" / "&amp;B121,'2018'!$I$24:$I$106,A121)+COUNTIFS('2019'!$L$24:$L$106,A121&amp;" / "&amp;B121,'2019'!$I$24:$I$106,A121)+COUNTIFS('2020'!$L$24:$L$106,A121&amp;" / "&amp;B121,'2020'!$I$24:$I$106,A121)+COUNTIFS('2021'!$L$24:$L$112,A121&amp;" / "&amp;B121,'2021'!$I$24:$I$112,A121)+COUNTIFS('2022'!$L$24:$L$112,A121&amp;" / "&amp;B121,'2022'!$I$24:$I$112,A121)+COUNTIFS('2023'!$L$24:$L$112,A121&amp;" / "&amp;B121,'2023'!$I$24:$I$112,A121)+COUNTIFS('2024'!$L$24:$L$112,A121&amp;" / "&amp;B121,'2024'!$I$24:$I$112,A121)+COUNTIFS('2025'!$L$24:$L$112,A121&amp;" / "&amp;B121,'2025'!$I$24:$I$112,A121)</x:f>
        <x:v>1</x:v>
      </x:c>
      <x:c r="E121" s="2" t="n">
        <x:f>COUNTIFS('2015'!$L$24:$L$96,A121&amp;" / "&amp;B121,'2015'!$I$24:$I$96,B121)+COUNTIFS('2016'!$L$24:$L$96,A121&amp;" / "&amp;B121,'2016'!$I$24:$I$96,B121)+COUNTIFS('2017'!$L$24:$L$106,A121&amp;" / "&amp;B121,'2017'!$I$24:$I$106,B121)+COUNTIFS('2018'!$L$24:$L$106,A121&amp;" / "&amp;B121,'2018'!$I$24:$I$106,B121)+COUNTIFS('2019'!$L$24:$L$106,A121&amp;" / "&amp;B121,'2019'!$I$24:$I$106,B121)+COUNTIFS('2020'!$L$24:$L$106,A121&amp;" / "&amp;B121,'2020'!$I$24:$I$106,B121)+COUNTIFS('2021'!$L$24:$L$112,A121&amp;" / "&amp;B121,'2021'!$I$24:$I$112,B121)+COUNTIFS('2022'!$L$24:$L$112,A121&amp;" / "&amp;B121,'2022'!$I$24:$I$112,B121)+COUNTIFS('2023'!$L$24:$L$112,A121&amp;" / "&amp;B121,'2023'!$I$24:$I$112,B121)+COUNTIFS('2024'!$L$24:$L$112,A121&amp;" / "&amp;B121,'2024'!$I$24:$I$112,B121)+COUNTIFS('2025'!$L$24:$L$112,A121&amp;" / "&amp;B121,'2025'!$I$24:$I$112,B121)</x:f>
        <x:v>3</x:v>
      </x:c>
      <x:c r="F121" s="2" t="n">
        <x:f>COUNTIFS('2015'!$L$24:$L$96,A121&amp;" / "&amp;B121,'2015'!$K$24:$K$96,1)+COUNTIFS('2016'!$L$24:$L$96,A121&amp;" / "&amp;B121,'2016'!$K$24:$K$96,1)+COUNTIFS('2017'!$L$24:$L$106,A121&amp;" / "&amp;B121,'2017'!$K$24:$K$106,1)+COUNTIFS('2018'!$L$24:$L$106,A121&amp;" / "&amp;B121,'2018'!$K$24:$K$106,1)+COUNTIFS('2019'!$L$24:$L$106,A121&amp;" / "&amp;B121,'2019'!$K$24:$K$106,1)+COUNTIFS('2020'!$L$24:$L$106,A121&amp;" / "&amp;B121,'2020'!$K$24:$K$106,1)+COUNTIFS('2021'!$L$24:$L$112,A121&amp;" / "&amp;B121,'2021'!$K$24:$K$112,1)+COUNTIFS('2022'!$L$24:$L$112,A121&amp;" / "&amp;B121,'2022'!$K$24:$K$112,1)+COUNTIFS('2023'!$L$24:$L$112,A121&amp;" / "&amp;B121,'2023'!$K$24:$K$112,1)+COUNTIFS('2024'!$L$24:$L$112,A121&amp;" / "&amp;B121,'2024'!$K$24:$K$112,1)+COUNTIFS('2025'!$L$24:$L$112,A121&amp;" / "&amp;B121,'2025'!$K$24:$K$112,1)</x:f>
        <x:v>0</x:v>
      </x:c>
      <x:c r="G121" s="25" t="n">
        <x:f>SUMIFS('2015'!$E$24:$E$96,'2015'!$L$24:$L$96,A121&amp;" / "&amp;B121,'2015'!$C$24:$C$96,A121)+SUMIFS('2015'!$H$24:$H$96,'2015'!$L$24:$L$96,A121&amp;" / "&amp;B121,'2015'!$F$24:$F$96,A121)+SUMIFS('2016'!$E$24:$E$96,'2016'!$L$24:$L$96,A121&amp;" / "&amp;B121,'2016'!$C$24:$C$96,A121)+SUMIFS('2016'!$H$24:$H$96,'2016'!$L$24:$L$96,A121&amp;" / "&amp;B121,'2016'!$F$24:$F$96,A121)+SUMIFS('2017'!$E$24:$E$106,'2017'!$L$24:$L$106,A121&amp;" / "&amp;B121,'2017'!$C$24:$C$106,A121)+SUMIFS('2017'!$H$24:$H$106,'2017'!$L$24:$L$106,A121&amp;" / "&amp;B121,'2017'!$F$24:$F$106,A121)+SUMIFS('2018'!$E$24:$E$106,'2018'!$L$24:$L$106,A121&amp;" / "&amp;B121,'2018'!$C$24:$C$106,A121)+SUMIFS('2018'!$H$24:$H$106,'2018'!$L$24:$L$106,A121&amp;" / "&amp;B121,'2018'!$F$24:$F$106,A121)+SUMIFS('2019'!$E$24:$E$106,'2019'!$L$24:$L$106,A121&amp;" / "&amp;B121,'2019'!$C$24:$C$106,A121)+SUMIFS('2019'!$H$24:$H$106,'2019'!$L$24:$L$106,A121&amp;" / "&amp;B121,'2019'!$F$24:$F$106,A121)+SUMIFS('2020'!$E$24:$E$106,'2020'!$L$24:$L$106,A121&amp;" / "&amp;B121,'2020'!$C$24:$C$106,A121)+SUMIFS('2020'!$H$24:$H$106,'2020'!$L$24:$L$106,A121&amp;" / "&amp;B121,'2020'!$F$24:$F$106,A121)+SUMIFS('2021'!$E$24:$E$112,'2021'!$L$24:$L$112,A121&amp;" / "&amp;B121,'2021'!$C$24:$C$112,A121)+SUMIFS('2021'!$H$24:$H$112,'2021'!$L$24:$L$112,A121&amp;" / "&amp;B121,'2021'!$F$24:$F$112,A121)+SUMIFS('2022'!$E$24:$E$112,'2022'!$L$24:$L$112,A121&amp;" / "&amp;B121,'2022'!$C$24:$C$112,A121)+SUMIFS('2022'!$H$24:$H$112,'2022'!$L$24:$L$112,A121&amp;" / "&amp;B121,'2022'!$F$24:$F$112,A121)+SUMIFS('2023'!$E$24:$E$112,'2023'!$L$24:$L$112,A121&amp;" / "&amp;B121,'2023'!$C$24:$C$112,A121)+SUMIFS('2023'!$H$24:$H$112,'2023'!$L$24:$L$112,A121&amp;" / "&amp;B121,'2023'!$F$24:$F$112,A121)+SUMIFS('2024'!$E$24:$E$112,'2024'!$L$24:$L$112,A121&amp;" / "&amp;B121,'2024'!$C$24:$C$112,A121)+SUMIFS('2024'!$H$24:$H$112,'2024'!$L$24:$L$112,A121&amp;" / "&amp;B121,'2024'!$F$24:$F$112,A121)+SUMIFS('2025'!$E$24:$E$112,'2025'!$L$24:$L$112,A121&amp;" / "&amp;B121,'2025'!$C$24:$C$112,A121)+SUMIFS('2025'!$H$24:$H$112,'2025'!$L$24:$L$112,A121&amp;" / "&amp;B121,'2025'!$F$24:$F$112,A121)</x:f>
        <x:v>473</x:v>
      </x:c>
      <x:c r="H121" s="25" t="n">
        <x:f>SUMIFS('2015'!$E$24:$E$96,'2015'!$L$24:$L$96,A121&amp;" / "&amp;B121,'2015'!$C$24:$C$96,B121)+SUMIFS('2015'!$H$24:$H$96,'2015'!$L$24:$L$96,A121&amp;" / "&amp;B121,'2015'!$F$24:$F$96,B121)+SUMIFS('2016'!$E$24:$E$96,'2016'!$L$24:$L$96,A121&amp;" / "&amp;B121,'2016'!$C$24:$C$96,B121)+SUMIFS('2016'!$H$24:$H$96,'2016'!$L$24:$L$96,A121&amp;" / "&amp;B121,'2016'!$F$24:$F$96,B121)+SUMIFS('2017'!$E$24:$E$106,'2017'!$L$24:$L$106,A121&amp;" / "&amp;B121,'2017'!$C$24:$C$106,B121)+SUMIFS('2017'!$H$24:$H$106,'2017'!$L$24:$L$106,A121&amp;" / "&amp;B121,'2017'!$F$24:$F$106,B121)+SUMIFS('2018'!$E$24:$E$106,'2018'!$L$24:$L$106,A121&amp;" / "&amp;B121,'2018'!$C$24:$C$106,B121)+SUMIFS('2018'!$H$24:$H$106,'2018'!$L$24:$L$106,A121&amp;" / "&amp;B121,'2018'!$F$24:$F$106,B121)+SUMIFS('2019'!$E$24:$E$106,'2019'!$L$24:$L$106,A121&amp;" / "&amp;B121,'2019'!$C$24:$C$106,B121)+SUMIFS('2019'!$H$24:$H$106,'2019'!$L$24:$L$106,A121&amp;" / "&amp;B121,'2019'!$F$24:$F$106,B121)+SUMIFS('2020'!$E$24:$E$106,'2020'!$L$24:$L$106,A121&amp;" / "&amp;B121,'2020'!$C$24:$C$106,B121)+SUMIFS('2020'!$H$24:$H$106,'2020'!$L$24:$L$106,A121&amp;" / "&amp;B121,'2020'!$F$24:$F$106,B121)+SUMIFS('2021'!$E$24:$E$112,'2021'!$L$24:$L$112,A121&amp;" / "&amp;B121,'2021'!$C$24:$C$112,B121)+SUMIFS('2021'!$H$24:$H$112,'2021'!$L$24:$L$112,A121&amp;" / "&amp;B121,'2021'!$F$24:$F$112,B121)+SUMIFS('2022'!$E$24:$E$112,'2022'!$L$24:$L$112,A121&amp;" / "&amp;B121,'2022'!$C$24:$C$112,B121)+SUMIFS('2022'!$H$24:$H$112,'2022'!$L$24:$L$112,A121&amp;" / "&amp;B121,'2022'!$F$24:$F$112,B121)+SUMIFS('2023'!$E$24:$E$112,'2023'!$L$24:$L$112,A121&amp;" / "&amp;B121,'2023'!$C$24:$C$112,B121)+SUMIFS('2023'!$H$24:$H$112,'2023'!$L$24:$L$112,A121&amp;" / "&amp;B121,'2023'!$F$24:$F$112,B121)+SUMIFS('2024'!$E$24:$E$112,'2024'!$L$24:$L$112,A121&amp;" / "&amp;B121,'2024'!$C$24:$C$112,B121)+SUMIFS('2024'!$H$24:$H$112,'2024'!$L$24:$L$112,A121&amp;" / "&amp;B121,'2024'!$F$24:$F$112,B121)+SUMIFS('2025'!$E$24:$E$112,'2025'!$L$24:$L$112,A121&amp;" / "&amp;B121,'2025'!$C$24:$C$112,B121)+SUMIFS('2025'!$H$24:$H$112,'2025'!$L$24:$L$112,A121&amp;" / "&amp;B121,'2025'!$F$24:$F$112,B121)</x:f>
        <x:v>535</x:v>
      </x:c>
      <x:c r="I121" s="11" t="n">
        <x:f>IF(C121=0,0,(D121+0.5*F121)/C121)</x:f>
        <x:v>0.25</x:v>
      </x:c>
      <x:c r="J121" s="2" t="n">
        <x:f>COUNTIFS('2015'!$L$24:$L$96,A121&amp;" / "&amp;B121,'2015'!$B$24:$B$96,"Regular")+COUNTIFS('2016'!$L$24:$L$96,A121&amp;" / "&amp;B121,'2016'!$B$24:$B$96,"Regular")+COUNTIFS('2017'!$L$24:$L$106,A121&amp;" / "&amp;B121,'2017'!$B$24:$B$106,"Regular")+COUNTIFS('2018'!$L$24:$L$106,A121&amp;" / "&amp;B121,'2018'!$B$24:$B$106,"Regular")+COUNTIFS('2019'!$L$24:$L$106,A121&amp;" / "&amp;B121,'2019'!$B$24:$B$106,"Regular")+COUNTIFS('2020'!$L$24:$L$106,A121&amp;" / "&amp;B121,'2020'!$B$24:$B$106,"Regular")+COUNTIFS('2021'!$L$24:$L$112,A121&amp;" / "&amp;B121,'2021'!$B$24:$B$112,"Regular")+COUNTIFS('2022'!$L$24:$L$112,A121&amp;" / "&amp;B121,'2022'!$B$24:$B$112,"Regular")+COUNTIFS('2023'!$L$24:$L$112,A121&amp;" / "&amp;B121,'2023'!$B$24:$B$112,"Regular")+COUNTIFS('2024'!$L$24:$L$112,A121&amp;" / "&amp;B121,'2024'!$B$24:$B$112,"Regular")+COUNTIFS('2025'!$L$24:$L$112,A121&amp;" / "&amp;B121,'2025'!$B$24:$B$112,"Regular")</x:f>
        <x:v>3</x:v>
      </x:c>
      <x:c r="K121" s="2" t="n">
        <x:f>COUNTIFS('2015'!$L$24:$L$96,A121&amp;" / "&amp;B121,'2015'!$B$24:$B$96,"Playoffs")+COUNTIFS('2016'!$L$24:$L$96,A121&amp;" / "&amp;B121,'2016'!$B$24:$B$96,"Playoffs")+COUNTIFS('2017'!$L$24:$L$106,A121&amp;" / "&amp;B121,'2017'!$B$24:$B$106,"Playoffs")+COUNTIFS('2018'!$L$24:$L$106,A121&amp;" / "&amp;B121,'2018'!$B$24:$B$106,"Playoffs")+COUNTIFS('2019'!$L$24:$L$106,A121&amp;" / "&amp;B121,'2019'!$B$24:$B$106,"Playoffs")+COUNTIFS('2020'!$L$24:$L$106,A121&amp;" / "&amp;B121,'2020'!$B$24:$B$106,"Playoffs")+COUNTIFS('2021'!$L$24:$L$112,A121&amp;" / "&amp;B121,'2021'!$B$24:$B$112,"Playoffs")+COUNTIFS('2022'!$L$24:$L$112,A121&amp;" / "&amp;B121,'2022'!$B$24:$B$112,"Playoffs")+COUNTIFS('2023'!$L$24:$L$112,A121&amp;" / "&amp;B121,'2023'!$B$24:$B$112,"Playoffs")+COUNTIFS('2024'!$L$24:$L$112,A121&amp;" / "&amp;B121,'2024'!$B$24:$B$112,"Playoffs")+COUNTIFS('2025'!$L$24:$L$112,A121&amp;" / "&amp;B121,'2025'!$B$24:$B$112,"Playoffs")</x:f>
        <x:v>1</x:v>
      </x:c>
      <x:c r="L121" s="2" t="n">
        <x:f>COUNTIFS('2015'!$L$24:$L$96,A121&amp;" / "&amp;B121,'2015'!$B$24:$B$96,"Unconfirmed")+COUNTIFS('2016'!$L$24:$L$96,A121&amp;" / "&amp;B121,'2016'!$B$24:$B$96,"Unconfirmed")+COUNTIFS('2017'!$L$24:$L$106,A121&amp;" / "&amp;B121,'2017'!$B$24:$B$106,"Unconfirmed")+COUNTIFS('2018'!$L$24:$L$106,A121&amp;" / "&amp;B121,'2018'!$B$24:$B$106,"Unconfirmed")+COUNTIFS('2019'!$L$24:$L$106,A121&amp;" / "&amp;B121,'2019'!$B$24:$B$106,"Unconfirmed")+COUNTIFS('2020'!$L$24:$L$106,A121&amp;" / "&amp;B121,'2020'!$B$24:$B$106,"Unconfirmed")+COUNTIFS('2021'!$L$24:$L$112,A121&amp;" / "&amp;B121,'2021'!$B$24:$B$112,"Unconfirmed")+COUNTIFS('2022'!$L$24:$L$112,A121&amp;" / "&amp;B121,'2022'!$B$24:$B$112,"Unconfirmed")+COUNTIFS('2023'!$L$24:$L$112,A121&amp;" / "&amp;B121,'2023'!$B$24:$B$112,"Unconfirmed")+COUNTIFS('2024'!$L$24:$L$112,A121&amp;" / "&amp;B121,'2024'!$B$24:$B$112,"Unconfirmed")+COUNTIFS('2025'!$L$24:$L$112,A121&amp;" / "&amp;B121,'2025'!$B$24:$B$112,"Unconfirmed")</x:f>
        <x:v>0</x:v>
      </x:c>
    </x:row>
    <x:row r="122" ht="22" customHeight="1">
      <x:c r="A122" s="2" t="str">
        <x:v>James B.</x:v>
      </x:c>
      <x:c r="B122" s="2" t="str">
        <x:v>Mark</x:v>
      </x:c>
      <x:c r="C122" s="2" t="n">
        <x:f>COUNTIFS('2015'!$L$24:$L$96,A122&amp;" / "&amp;B122)+COUNTIFS('2016'!$L$24:$L$96,A122&amp;" / "&amp;B122)+COUNTIFS('2017'!$L$24:$L$106,A122&amp;" / "&amp;B122)+COUNTIFS('2018'!$L$24:$L$106,A122&amp;" / "&amp;B122)+COUNTIFS('2019'!$L$24:$L$106,A122&amp;" / "&amp;B122)+COUNTIFS('2020'!$L$24:$L$106,A122&amp;" / "&amp;B122)+COUNTIFS('2021'!$L$24:$L$112,A122&amp;" / "&amp;B122)+COUNTIFS('2022'!$L$24:$L$112,A122&amp;" / "&amp;B122)+COUNTIFS('2023'!$L$24:$L$112,A122&amp;" / "&amp;B122)+COUNTIFS('2024'!$L$24:$L$112,A122&amp;" / "&amp;B122)+COUNTIFS('2025'!$L$24:$L$112,A122&amp;" / "&amp;B122)</x:f>
        <x:v>4</x:v>
      </x:c>
      <x:c r="D122" s="2" t="n">
        <x:f>COUNTIFS('2015'!$L$24:$L$96,A122&amp;" / "&amp;B122,'2015'!$I$24:$I$96,A122)+COUNTIFS('2016'!$L$24:$L$96,A122&amp;" / "&amp;B122,'2016'!$I$24:$I$96,A122)+COUNTIFS('2017'!$L$24:$L$106,A122&amp;" / "&amp;B122,'2017'!$I$24:$I$106,A122)+COUNTIFS('2018'!$L$24:$L$106,A122&amp;" / "&amp;B122,'2018'!$I$24:$I$106,A122)+COUNTIFS('2019'!$L$24:$L$106,A122&amp;" / "&amp;B122,'2019'!$I$24:$I$106,A122)+COUNTIFS('2020'!$L$24:$L$106,A122&amp;" / "&amp;B122,'2020'!$I$24:$I$106,A122)+COUNTIFS('2021'!$L$24:$L$112,A122&amp;" / "&amp;B122,'2021'!$I$24:$I$112,A122)+COUNTIFS('2022'!$L$24:$L$112,A122&amp;" / "&amp;B122,'2022'!$I$24:$I$112,A122)+COUNTIFS('2023'!$L$24:$L$112,A122&amp;" / "&amp;B122,'2023'!$I$24:$I$112,A122)+COUNTIFS('2024'!$L$24:$L$112,A122&amp;" / "&amp;B122,'2024'!$I$24:$I$112,A122)+COUNTIFS('2025'!$L$24:$L$112,A122&amp;" / "&amp;B122,'2025'!$I$24:$I$112,A122)</x:f>
        <x:v>3</x:v>
      </x:c>
      <x:c r="E122" s="2" t="n">
        <x:f>COUNTIFS('2015'!$L$24:$L$96,A122&amp;" / "&amp;B122,'2015'!$I$24:$I$96,B122)+COUNTIFS('2016'!$L$24:$L$96,A122&amp;" / "&amp;B122,'2016'!$I$24:$I$96,B122)+COUNTIFS('2017'!$L$24:$L$106,A122&amp;" / "&amp;B122,'2017'!$I$24:$I$106,B122)+COUNTIFS('2018'!$L$24:$L$106,A122&amp;" / "&amp;B122,'2018'!$I$24:$I$106,B122)+COUNTIFS('2019'!$L$24:$L$106,A122&amp;" / "&amp;B122,'2019'!$I$24:$I$106,B122)+COUNTIFS('2020'!$L$24:$L$106,A122&amp;" / "&amp;B122,'2020'!$I$24:$I$106,B122)+COUNTIFS('2021'!$L$24:$L$112,A122&amp;" / "&amp;B122,'2021'!$I$24:$I$112,B122)+COUNTIFS('2022'!$L$24:$L$112,A122&amp;" / "&amp;B122,'2022'!$I$24:$I$112,B122)+COUNTIFS('2023'!$L$24:$L$112,A122&amp;" / "&amp;B122,'2023'!$I$24:$I$112,B122)+COUNTIFS('2024'!$L$24:$L$112,A122&amp;" / "&amp;B122,'2024'!$I$24:$I$112,B122)+COUNTIFS('2025'!$L$24:$L$112,A122&amp;" / "&amp;B122,'2025'!$I$24:$I$112,B122)</x:f>
        <x:v>1</x:v>
      </x:c>
      <x:c r="F122" s="2" t="n">
        <x:f>COUNTIFS('2015'!$L$24:$L$96,A122&amp;" / "&amp;B122,'2015'!$K$24:$K$96,1)+COUNTIFS('2016'!$L$24:$L$96,A122&amp;" / "&amp;B122,'2016'!$K$24:$K$96,1)+COUNTIFS('2017'!$L$24:$L$106,A122&amp;" / "&amp;B122,'2017'!$K$24:$K$106,1)+COUNTIFS('2018'!$L$24:$L$106,A122&amp;" / "&amp;B122,'2018'!$K$24:$K$106,1)+COUNTIFS('2019'!$L$24:$L$106,A122&amp;" / "&amp;B122,'2019'!$K$24:$K$106,1)+COUNTIFS('2020'!$L$24:$L$106,A122&amp;" / "&amp;B122,'2020'!$K$24:$K$106,1)+COUNTIFS('2021'!$L$24:$L$112,A122&amp;" / "&amp;B122,'2021'!$K$24:$K$112,1)+COUNTIFS('2022'!$L$24:$L$112,A122&amp;" / "&amp;B122,'2022'!$K$24:$K$112,1)+COUNTIFS('2023'!$L$24:$L$112,A122&amp;" / "&amp;B122,'2023'!$K$24:$K$112,1)+COUNTIFS('2024'!$L$24:$L$112,A122&amp;" / "&amp;B122,'2024'!$K$24:$K$112,1)+COUNTIFS('2025'!$L$24:$L$112,A122&amp;" / "&amp;B122,'2025'!$K$24:$K$112,1)</x:f>
        <x:v>0</x:v>
      </x:c>
      <x:c r="G122" s="25" t="n">
        <x:f>SUMIFS('2015'!$E$24:$E$96,'2015'!$L$24:$L$96,A122&amp;" / "&amp;B122,'2015'!$C$24:$C$96,A122)+SUMIFS('2015'!$H$24:$H$96,'2015'!$L$24:$L$96,A122&amp;" / "&amp;B122,'2015'!$F$24:$F$96,A122)+SUMIFS('2016'!$E$24:$E$96,'2016'!$L$24:$L$96,A122&amp;" / "&amp;B122,'2016'!$C$24:$C$96,A122)+SUMIFS('2016'!$H$24:$H$96,'2016'!$L$24:$L$96,A122&amp;" / "&amp;B122,'2016'!$F$24:$F$96,A122)+SUMIFS('2017'!$E$24:$E$106,'2017'!$L$24:$L$106,A122&amp;" / "&amp;B122,'2017'!$C$24:$C$106,A122)+SUMIFS('2017'!$H$24:$H$106,'2017'!$L$24:$L$106,A122&amp;" / "&amp;B122,'2017'!$F$24:$F$106,A122)+SUMIFS('2018'!$E$24:$E$106,'2018'!$L$24:$L$106,A122&amp;" / "&amp;B122,'2018'!$C$24:$C$106,A122)+SUMIFS('2018'!$H$24:$H$106,'2018'!$L$24:$L$106,A122&amp;" / "&amp;B122,'2018'!$F$24:$F$106,A122)+SUMIFS('2019'!$E$24:$E$106,'2019'!$L$24:$L$106,A122&amp;" / "&amp;B122,'2019'!$C$24:$C$106,A122)+SUMIFS('2019'!$H$24:$H$106,'2019'!$L$24:$L$106,A122&amp;" / "&amp;B122,'2019'!$F$24:$F$106,A122)+SUMIFS('2020'!$E$24:$E$106,'2020'!$L$24:$L$106,A122&amp;" / "&amp;B122,'2020'!$C$24:$C$106,A122)+SUMIFS('2020'!$H$24:$H$106,'2020'!$L$24:$L$106,A122&amp;" / "&amp;B122,'2020'!$F$24:$F$106,A122)+SUMIFS('2021'!$E$24:$E$112,'2021'!$L$24:$L$112,A122&amp;" / "&amp;B122,'2021'!$C$24:$C$112,A122)+SUMIFS('2021'!$H$24:$H$112,'2021'!$L$24:$L$112,A122&amp;" / "&amp;B122,'2021'!$F$24:$F$112,A122)+SUMIFS('2022'!$E$24:$E$112,'2022'!$L$24:$L$112,A122&amp;" / "&amp;B122,'2022'!$C$24:$C$112,A122)+SUMIFS('2022'!$H$24:$H$112,'2022'!$L$24:$L$112,A122&amp;" / "&amp;B122,'2022'!$F$24:$F$112,A122)+SUMIFS('2023'!$E$24:$E$112,'2023'!$L$24:$L$112,A122&amp;" / "&amp;B122,'2023'!$C$24:$C$112,A122)+SUMIFS('2023'!$H$24:$H$112,'2023'!$L$24:$L$112,A122&amp;" / "&amp;B122,'2023'!$F$24:$F$112,A122)+SUMIFS('2024'!$E$24:$E$112,'2024'!$L$24:$L$112,A122&amp;" / "&amp;B122,'2024'!$C$24:$C$112,A122)+SUMIFS('2024'!$H$24:$H$112,'2024'!$L$24:$L$112,A122&amp;" / "&amp;B122,'2024'!$F$24:$F$112,A122)+SUMIFS('2025'!$E$24:$E$112,'2025'!$L$24:$L$112,A122&amp;" / "&amp;B122,'2025'!$C$24:$C$112,A122)+SUMIFS('2025'!$H$24:$H$112,'2025'!$L$24:$L$112,A122&amp;" / "&amp;B122,'2025'!$F$24:$F$112,A122)</x:f>
        <x:v>536</x:v>
      </x:c>
      <x:c r="H122" s="25" t="n">
        <x:f>SUMIFS('2015'!$E$24:$E$96,'2015'!$L$24:$L$96,A122&amp;" / "&amp;B122,'2015'!$C$24:$C$96,B122)+SUMIFS('2015'!$H$24:$H$96,'2015'!$L$24:$L$96,A122&amp;" / "&amp;B122,'2015'!$F$24:$F$96,B122)+SUMIFS('2016'!$E$24:$E$96,'2016'!$L$24:$L$96,A122&amp;" / "&amp;B122,'2016'!$C$24:$C$96,B122)+SUMIFS('2016'!$H$24:$H$96,'2016'!$L$24:$L$96,A122&amp;" / "&amp;B122,'2016'!$F$24:$F$96,B122)+SUMIFS('2017'!$E$24:$E$106,'2017'!$L$24:$L$106,A122&amp;" / "&amp;B122,'2017'!$C$24:$C$106,B122)+SUMIFS('2017'!$H$24:$H$106,'2017'!$L$24:$L$106,A122&amp;" / "&amp;B122,'2017'!$F$24:$F$106,B122)+SUMIFS('2018'!$E$24:$E$106,'2018'!$L$24:$L$106,A122&amp;" / "&amp;B122,'2018'!$C$24:$C$106,B122)+SUMIFS('2018'!$H$24:$H$106,'2018'!$L$24:$L$106,A122&amp;" / "&amp;B122,'2018'!$F$24:$F$106,B122)+SUMIFS('2019'!$E$24:$E$106,'2019'!$L$24:$L$106,A122&amp;" / "&amp;B122,'2019'!$C$24:$C$106,B122)+SUMIFS('2019'!$H$24:$H$106,'2019'!$L$24:$L$106,A122&amp;" / "&amp;B122,'2019'!$F$24:$F$106,B122)+SUMIFS('2020'!$E$24:$E$106,'2020'!$L$24:$L$106,A122&amp;" / "&amp;B122,'2020'!$C$24:$C$106,B122)+SUMIFS('2020'!$H$24:$H$106,'2020'!$L$24:$L$106,A122&amp;" / "&amp;B122,'2020'!$F$24:$F$106,B122)+SUMIFS('2021'!$E$24:$E$112,'2021'!$L$24:$L$112,A122&amp;" / "&amp;B122,'2021'!$C$24:$C$112,B122)+SUMIFS('2021'!$H$24:$H$112,'2021'!$L$24:$L$112,A122&amp;" / "&amp;B122,'2021'!$F$24:$F$112,B122)+SUMIFS('2022'!$E$24:$E$112,'2022'!$L$24:$L$112,A122&amp;" / "&amp;B122,'2022'!$C$24:$C$112,B122)+SUMIFS('2022'!$H$24:$H$112,'2022'!$L$24:$L$112,A122&amp;" / "&amp;B122,'2022'!$F$24:$F$112,B122)+SUMIFS('2023'!$E$24:$E$112,'2023'!$L$24:$L$112,A122&amp;" / "&amp;B122,'2023'!$C$24:$C$112,B122)+SUMIFS('2023'!$H$24:$H$112,'2023'!$L$24:$L$112,A122&amp;" / "&amp;B122,'2023'!$F$24:$F$112,B122)+SUMIFS('2024'!$E$24:$E$112,'2024'!$L$24:$L$112,A122&amp;" / "&amp;B122,'2024'!$C$24:$C$112,B122)+SUMIFS('2024'!$H$24:$H$112,'2024'!$L$24:$L$112,A122&amp;" / "&amp;B122,'2024'!$F$24:$F$112,B122)+SUMIFS('2025'!$E$24:$E$112,'2025'!$L$24:$L$112,A122&amp;" / "&amp;B122,'2025'!$C$24:$C$112,B122)+SUMIFS('2025'!$H$24:$H$112,'2025'!$L$24:$L$112,A122&amp;" / "&amp;B122,'2025'!$F$24:$F$112,B122)</x:f>
        <x:v>464</x:v>
      </x:c>
      <x:c r="I122" s="11" t="n">
        <x:f>IF(C122=0,0,(D122+0.5*F122)/C122)</x:f>
        <x:v>0.75</x:v>
      </x:c>
      <x:c r="J122" s="2" t="n">
        <x:f>COUNTIFS('2015'!$L$24:$L$96,A122&amp;" / "&amp;B122,'2015'!$B$24:$B$96,"Regular")+COUNTIFS('2016'!$L$24:$L$96,A122&amp;" / "&amp;B122,'2016'!$B$24:$B$96,"Regular")+COUNTIFS('2017'!$L$24:$L$106,A122&amp;" / "&amp;B122,'2017'!$B$24:$B$106,"Regular")+COUNTIFS('2018'!$L$24:$L$106,A122&amp;" / "&amp;B122,'2018'!$B$24:$B$106,"Regular")+COUNTIFS('2019'!$L$24:$L$106,A122&amp;" / "&amp;B122,'2019'!$B$24:$B$106,"Regular")+COUNTIFS('2020'!$L$24:$L$106,A122&amp;" / "&amp;B122,'2020'!$B$24:$B$106,"Regular")+COUNTIFS('2021'!$L$24:$L$112,A122&amp;" / "&amp;B122,'2021'!$B$24:$B$112,"Regular")+COUNTIFS('2022'!$L$24:$L$112,A122&amp;" / "&amp;B122,'2022'!$B$24:$B$112,"Regular")+COUNTIFS('2023'!$L$24:$L$112,A122&amp;" / "&amp;B122,'2023'!$B$24:$B$112,"Regular")+COUNTIFS('2024'!$L$24:$L$112,A122&amp;" / "&amp;B122,'2024'!$B$24:$B$112,"Regular")+COUNTIFS('2025'!$L$24:$L$112,A122&amp;" / "&amp;B122,'2025'!$B$24:$B$112,"Regular")</x:f>
        <x:v>4</x:v>
      </x:c>
      <x:c r="K122" s="2" t="n">
        <x:f>COUNTIFS('2015'!$L$24:$L$96,A122&amp;" / "&amp;B122,'2015'!$B$24:$B$96,"Playoffs")+COUNTIFS('2016'!$L$24:$L$96,A122&amp;" / "&amp;B122,'2016'!$B$24:$B$96,"Playoffs")+COUNTIFS('2017'!$L$24:$L$106,A122&amp;" / "&amp;B122,'2017'!$B$24:$B$106,"Playoffs")+COUNTIFS('2018'!$L$24:$L$106,A122&amp;" / "&amp;B122,'2018'!$B$24:$B$106,"Playoffs")+COUNTIFS('2019'!$L$24:$L$106,A122&amp;" / "&amp;B122,'2019'!$B$24:$B$106,"Playoffs")+COUNTIFS('2020'!$L$24:$L$106,A122&amp;" / "&amp;B122,'2020'!$B$24:$B$106,"Playoffs")+COUNTIFS('2021'!$L$24:$L$112,A122&amp;" / "&amp;B122,'2021'!$B$24:$B$112,"Playoffs")+COUNTIFS('2022'!$L$24:$L$112,A122&amp;" / "&amp;B122,'2022'!$B$24:$B$112,"Playoffs")+COUNTIFS('2023'!$L$24:$L$112,A122&amp;" / "&amp;B122,'2023'!$B$24:$B$112,"Playoffs")+COUNTIFS('2024'!$L$24:$L$112,A122&amp;" / "&amp;B122,'2024'!$B$24:$B$112,"Playoffs")+COUNTIFS('2025'!$L$24:$L$112,A122&amp;" / "&amp;B122,'2025'!$B$24:$B$112,"Playoffs")</x:f>
        <x:v>0</x:v>
      </x:c>
      <x:c r="L122" s="2" t="n">
        <x:f>COUNTIFS('2015'!$L$24:$L$96,A122&amp;" / "&amp;B122,'2015'!$B$24:$B$96,"Unconfirmed")+COUNTIFS('2016'!$L$24:$L$96,A122&amp;" / "&amp;B122,'2016'!$B$24:$B$96,"Unconfirmed")+COUNTIFS('2017'!$L$24:$L$106,A122&amp;" / "&amp;B122,'2017'!$B$24:$B$106,"Unconfirmed")+COUNTIFS('2018'!$L$24:$L$106,A122&amp;" / "&amp;B122,'2018'!$B$24:$B$106,"Unconfirmed")+COUNTIFS('2019'!$L$24:$L$106,A122&amp;" / "&amp;B122,'2019'!$B$24:$B$106,"Unconfirmed")+COUNTIFS('2020'!$L$24:$L$106,A122&amp;" / "&amp;B122,'2020'!$B$24:$B$106,"Unconfirmed")+COUNTIFS('2021'!$L$24:$L$112,A122&amp;" / "&amp;B122,'2021'!$B$24:$B$112,"Unconfirmed")+COUNTIFS('2022'!$L$24:$L$112,A122&amp;" / "&amp;B122,'2022'!$B$24:$B$112,"Unconfirmed")+COUNTIFS('2023'!$L$24:$L$112,A122&amp;" / "&amp;B122,'2023'!$B$24:$B$112,"Unconfirmed")+COUNTIFS('2024'!$L$24:$L$112,A122&amp;" / "&amp;B122,'2024'!$B$24:$B$112,"Unconfirmed")+COUNTIFS('2025'!$L$24:$L$112,A122&amp;" / "&amp;B122,'2025'!$B$24:$B$112,"Unconfirmed")</x:f>
        <x:v>0</x:v>
      </x:c>
    </x:row>
    <x:row r="123" ht="22" customHeight="1">
      <x:c r="A123" s="2" t="str">
        <x:v>James B.</x:v>
      </x:c>
      <x:c r="B123" s="2" t="str">
        <x:v>Matt</x:v>
      </x:c>
      <x:c r="C123" s="2" t="n">
        <x:f>COUNTIFS('2015'!$L$24:$L$96,A123&amp;" / "&amp;B123)+COUNTIFS('2016'!$L$24:$L$96,A123&amp;" / "&amp;B123)+COUNTIFS('2017'!$L$24:$L$106,A123&amp;" / "&amp;B123)+COUNTIFS('2018'!$L$24:$L$106,A123&amp;" / "&amp;B123)+COUNTIFS('2019'!$L$24:$L$106,A123&amp;" / "&amp;B123)+COUNTIFS('2020'!$L$24:$L$106,A123&amp;" / "&amp;B123)+COUNTIFS('2021'!$L$24:$L$112,A123&amp;" / "&amp;B123)+COUNTIFS('2022'!$L$24:$L$112,A123&amp;" / "&amp;B123)+COUNTIFS('2023'!$L$24:$L$112,A123&amp;" / "&amp;B123)+COUNTIFS('2024'!$L$24:$L$112,A123&amp;" / "&amp;B123)+COUNTIFS('2025'!$L$24:$L$112,A123&amp;" / "&amp;B123)</x:f>
        <x:v>5</x:v>
      </x:c>
      <x:c r="D123" s="2" t="n">
        <x:f>COUNTIFS('2015'!$L$24:$L$96,A123&amp;" / "&amp;B123,'2015'!$I$24:$I$96,A123)+COUNTIFS('2016'!$L$24:$L$96,A123&amp;" / "&amp;B123,'2016'!$I$24:$I$96,A123)+COUNTIFS('2017'!$L$24:$L$106,A123&amp;" / "&amp;B123,'2017'!$I$24:$I$106,A123)+COUNTIFS('2018'!$L$24:$L$106,A123&amp;" / "&amp;B123,'2018'!$I$24:$I$106,A123)+COUNTIFS('2019'!$L$24:$L$106,A123&amp;" / "&amp;B123,'2019'!$I$24:$I$106,A123)+COUNTIFS('2020'!$L$24:$L$106,A123&amp;" / "&amp;B123,'2020'!$I$24:$I$106,A123)+COUNTIFS('2021'!$L$24:$L$112,A123&amp;" / "&amp;B123,'2021'!$I$24:$I$112,A123)+COUNTIFS('2022'!$L$24:$L$112,A123&amp;" / "&amp;B123,'2022'!$I$24:$I$112,A123)+COUNTIFS('2023'!$L$24:$L$112,A123&amp;" / "&amp;B123,'2023'!$I$24:$I$112,A123)+COUNTIFS('2024'!$L$24:$L$112,A123&amp;" / "&amp;B123,'2024'!$I$24:$I$112,A123)+COUNTIFS('2025'!$L$24:$L$112,A123&amp;" / "&amp;B123,'2025'!$I$24:$I$112,A123)</x:f>
        <x:v>3</x:v>
      </x:c>
      <x:c r="E123" s="2" t="n">
        <x:f>COUNTIFS('2015'!$L$24:$L$96,A123&amp;" / "&amp;B123,'2015'!$I$24:$I$96,B123)+COUNTIFS('2016'!$L$24:$L$96,A123&amp;" / "&amp;B123,'2016'!$I$24:$I$96,B123)+COUNTIFS('2017'!$L$24:$L$106,A123&amp;" / "&amp;B123,'2017'!$I$24:$I$106,B123)+COUNTIFS('2018'!$L$24:$L$106,A123&amp;" / "&amp;B123,'2018'!$I$24:$I$106,B123)+COUNTIFS('2019'!$L$24:$L$106,A123&amp;" / "&amp;B123,'2019'!$I$24:$I$106,B123)+COUNTIFS('2020'!$L$24:$L$106,A123&amp;" / "&amp;B123,'2020'!$I$24:$I$106,B123)+COUNTIFS('2021'!$L$24:$L$112,A123&amp;" / "&amp;B123,'2021'!$I$24:$I$112,B123)+COUNTIFS('2022'!$L$24:$L$112,A123&amp;" / "&amp;B123,'2022'!$I$24:$I$112,B123)+COUNTIFS('2023'!$L$24:$L$112,A123&amp;" / "&amp;B123,'2023'!$I$24:$I$112,B123)+COUNTIFS('2024'!$L$24:$L$112,A123&amp;" / "&amp;B123,'2024'!$I$24:$I$112,B123)+COUNTIFS('2025'!$L$24:$L$112,A123&amp;" / "&amp;B123,'2025'!$I$24:$I$112,B123)</x:f>
        <x:v>2</x:v>
      </x:c>
      <x:c r="F123" s="2" t="n">
        <x:f>COUNTIFS('2015'!$L$24:$L$96,A123&amp;" / "&amp;B123,'2015'!$K$24:$K$96,1)+COUNTIFS('2016'!$L$24:$L$96,A123&amp;" / "&amp;B123,'2016'!$K$24:$K$96,1)+COUNTIFS('2017'!$L$24:$L$106,A123&amp;" / "&amp;B123,'2017'!$K$24:$K$106,1)+COUNTIFS('2018'!$L$24:$L$106,A123&amp;" / "&amp;B123,'2018'!$K$24:$K$106,1)+COUNTIFS('2019'!$L$24:$L$106,A123&amp;" / "&amp;B123,'2019'!$K$24:$K$106,1)+COUNTIFS('2020'!$L$24:$L$106,A123&amp;" / "&amp;B123,'2020'!$K$24:$K$106,1)+COUNTIFS('2021'!$L$24:$L$112,A123&amp;" / "&amp;B123,'2021'!$K$24:$K$112,1)+COUNTIFS('2022'!$L$24:$L$112,A123&amp;" / "&amp;B123,'2022'!$K$24:$K$112,1)+COUNTIFS('2023'!$L$24:$L$112,A123&amp;" / "&amp;B123,'2023'!$K$24:$K$112,1)+COUNTIFS('2024'!$L$24:$L$112,A123&amp;" / "&amp;B123,'2024'!$K$24:$K$112,1)+COUNTIFS('2025'!$L$24:$L$112,A123&amp;" / "&amp;B123,'2025'!$K$24:$K$112,1)</x:f>
        <x:v>0</x:v>
      </x:c>
      <x:c r="G123" s="25" t="n">
        <x:f>SUMIFS('2015'!$E$24:$E$96,'2015'!$L$24:$L$96,A123&amp;" / "&amp;B123,'2015'!$C$24:$C$96,A123)+SUMIFS('2015'!$H$24:$H$96,'2015'!$L$24:$L$96,A123&amp;" / "&amp;B123,'2015'!$F$24:$F$96,A123)+SUMIFS('2016'!$E$24:$E$96,'2016'!$L$24:$L$96,A123&amp;" / "&amp;B123,'2016'!$C$24:$C$96,A123)+SUMIFS('2016'!$H$24:$H$96,'2016'!$L$24:$L$96,A123&amp;" / "&amp;B123,'2016'!$F$24:$F$96,A123)+SUMIFS('2017'!$E$24:$E$106,'2017'!$L$24:$L$106,A123&amp;" / "&amp;B123,'2017'!$C$24:$C$106,A123)+SUMIFS('2017'!$H$24:$H$106,'2017'!$L$24:$L$106,A123&amp;" / "&amp;B123,'2017'!$F$24:$F$106,A123)+SUMIFS('2018'!$E$24:$E$106,'2018'!$L$24:$L$106,A123&amp;" / "&amp;B123,'2018'!$C$24:$C$106,A123)+SUMIFS('2018'!$H$24:$H$106,'2018'!$L$24:$L$106,A123&amp;" / "&amp;B123,'2018'!$F$24:$F$106,A123)+SUMIFS('2019'!$E$24:$E$106,'2019'!$L$24:$L$106,A123&amp;" / "&amp;B123,'2019'!$C$24:$C$106,A123)+SUMIFS('2019'!$H$24:$H$106,'2019'!$L$24:$L$106,A123&amp;" / "&amp;B123,'2019'!$F$24:$F$106,A123)+SUMIFS('2020'!$E$24:$E$106,'2020'!$L$24:$L$106,A123&amp;" / "&amp;B123,'2020'!$C$24:$C$106,A123)+SUMIFS('2020'!$H$24:$H$106,'2020'!$L$24:$L$106,A123&amp;" / "&amp;B123,'2020'!$F$24:$F$106,A123)+SUMIFS('2021'!$E$24:$E$112,'2021'!$L$24:$L$112,A123&amp;" / "&amp;B123,'2021'!$C$24:$C$112,A123)+SUMIFS('2021'!$H$24:$H$112,'2021'!$L$24:$L$112,A123&amp;" / "&amp;B123,'2021'!$F$24:$F$112,A123)+SUMIFS('2022'!$E$24:$E$112,'2022'!$L$24:$L$112,A123&amp;" / "&amp;B123,'2022'!$C$24:$C$112,A123)+SUMIFS('2022'!$H$24:$H$112,'2022'!$L$24:$L$112,A123&amp;" / "&amp;B123,'2022'!$F$24:$F$112,A123)+SUMIFS('2023'!$E$24:$E$112,'2023'!$L$24:$L$112,A123&amp;" / "&amp;B123,'2023'!$C$24:$C$112,A123)+SUMIFS('2023'!$H$24:$H$112,'2023'!$L$24:$L$112,A123&amp;" / "&amp;B123,'2023'!$F$24:$F$112,A123)+SUMIFS('2024'!$E$24:$E$112,'2024'!$L$24:$L$112,A123&amp;" / "&amp;B123,'2024'!$C$24:$C$112,A123)+SUMIFS('2024'!$H$24:$H$112,'2024'!$L$24:$L$112,A123&amp;" / "&amp;B123,'2024'!$F$24:$F$112,A123)+SUMIFS('2025'!$E$24:$E$112,'2025'!$L$24:$L$112,A123&amp;" / "&amp;B123,'2025'!$C$24:$C$112,A123)+SUMIFS('2025'!$H$24:$H$112,'2025'!$L$24:$L$112,A123&amp;" / "&amp;B123,'2025'!$F$24:$F$112,A123)</x:f>
        <x:v>636</x:v>
      </x:c>
      <x:c r="H123" s="25" t="n">
        <x:f>SUMIFS('2015'!$E$24:$E$96,'2015'!$L$24:$L$96,A123&amp;" / "&amp;B123,'2015'!$C$24:$C$96,B123)+SUMIFS('2015'!$H$24:$H$96,'2015'!$L$24:$L$96,A123&amp;" / "&amp;B123,'2015'!$F$24:$F$96,B123)+SUMIFS('2016'!$E$24:$E$96,'2016'!$L$24:$L$96,A123&amp;" / "&amp;B123,'2016'!$C$24:$C$96,B123)+SUMIFS('2016'!$H$24:$H$96,'2016'!$L$24:$L$96,A123&amp;" / "&amp;B123,'2016'!$F$24:$F$96,B123)+SUMIFS('2017'!$E$24:$E$106,'2017'!$L$24:$L$106,A123&amp;" / "&amp;B123,'2017'!$C$24:$C$106,B123)+SUMIFS('2017'!$H$24:$H$106,'2017'!$L$24:$L$106,A123&amp;" / "&amp;B123,'2017'!$F$24:$F$106,B123)+SUMIFS('2018'!$E$24:$E$106,'2018'!$L$24:$L$106,A123&amp;" / "&amp;B123,'2018'!$C$24:$C$106,B123)+SUMIFS('2018'!$H$24:$H$106,'2018'!$L$24:$L$106,A123&amp;" / "&amp;B123,'2018'!$F$24:$F$106,B123)+SUMIFS('2019'!$E$24:$E$106,'2019'!$L$24:$L$106,A123&amp;" / "&amp;B123,'2019'!$C$24:$C$106,B123)+SUMIFS('2019'!$H$24:$H$106,'2019'!$L$24:$L$106,A123&amp;" / "&amp;B123,'2019'!$F$24:$F$106,B123)+SUMIFS('2020'!$E$24:$E$106,'2020'!$L$24:$L$106,A123&amp;" / "&amp;B123,'2020'!$C$24:$C$106,B123)+SUMIFS('2020'!$H$24:$H$106,'2020'!$L$24:$L$106,A123&amp;" / "&amp;B123,'2020'!$F$24:$F$106,B123)+SUMIFS('2021'!$E$24:$E$112,'2021'!$L$24:$L$112,A123&amp;" / "&amp;B123,'2021'!$C$24:$C$112,B123)+SUMIFS('2021'!$H$24:$H$112,'2021'!$L$24:$L$112,A123&amp;" / "&amp;B123,'2021'!$F$24:$F$112,B123)+SUMIFS('2022'!$E$24:$E$112,'2022'!$L$24:$L$112,A123&amp;" / "&amp;B123,'2022'!$C$24:$C$112,B123)+SUMIFS('2022'!$H$24:$H$112,'2022'!$L$24:$L$112,A123&amp;" / "&amp;B123,'2022'!$F$24:$F$112,B123)+SUMIFS('2023'!$E$24:$E$112,'2023'!$L$24:$L$112,A123&amp;" / "&amp;B123,'2023'!$C$24:$C$112,B123)+SUMIFS('2023'!$H$24:$H$112,'2023'!$L$24:$L$112,A123&amp;" / "&amp;B123,'2023'!$F$24:$F$112,B123)+SUMIFS('2024'!$E$24:$E$112,'2024'!$L$24:$L$112,A123&amp;" / "&amp;B123,'2024'!$C$24:$C$112,B123)+SUMIFS('2024'!$H$24:$H$112,'2024'!$L$24:$L$112,A123&amp;" / "&amp;B123,'2024'!$F$24:$F$112,B123)+SUMIFS('2025'!$E$24:$E$112,'2025'!$L$24:$L$112,A123&amp;" / "&amp;B123,'2025'!$C$24:$C$112,B123)+SUMIFS('2025'!$H$24:$H$112,'2025'!$L$24:$L$112,A123&amp;" / "&amp;B123,'2025'!$F$24:$F$112,B123)</x:f>
        <x:v>617</x:v>
      </x:c>
      <x:c r="I123" s="11" t="n">
        <x:f>IF(C123=0,0,(D123+0.5*F123)/C123)</x:f>
        <x:v>0.6</x:v>
      </x:c>
      <x:c r="J123" s="2" t="n">
        <x:f>COUNTIFS('2015'!$L$24:$L$96,A123&amp;" / "&amp;B123,'2015'!$B$24:$B$96,"Regular")+COUNTIFS('2016'!$L$24:$L$96,A123&amp;" / "&amp;B123,'2016'!$B$24:$B$96,"Regular")+COUNTIFS('2017'!$L$24:$L$106,A123&amp;" / "&amp;B123,'2017'!$B$24:$B$106,"Regular")+COUNTIFS('2018'!$L$24:$L$106,A123&amp;" / "&amp;B123,'2018'!$B$24:$B$106,"Regular")+COUNTIFS('2019'!$L$24:$L$106,A123&amp;" / "&amp;B123,'2019'!$B$24:$B$106,"Regular")+COUNTIFS('2020'!$L$24:$L$106,A123&amp;" / "&amp;B123,'2020'!$B$24:$B$106,"Regular")+COUNTIFS('2021'!$L$24:$L$112,A123&amp;" / "&amp;B123,'2021'!$B$24:$B$112,"Regular")+COUNTIFS('2022'!$L$24:$L$112,A123&amp;" / "&amp;B123,'2022'!$B$24:$B$112,"Regular")+COUNTIFS('2023'!$L$24:$L$112,A123&amp;" / "&amp;B123,'2023'!$B$24:$B$112,"Regular")+COUNTIFS('2024'!$L$24:$L$112,A123&amp;" / "&amp;B123,'2024'!$B$24:$B$112,"Regular")+COUNTIFS('2025'!$L$24:$L$112,A123&amp;" / "&amp;B123,'2025'!$B$24:$B$112,"Regular")</x:f>
        <x:v>4</x:v>
      </x:c>
      <x:c r="K123" s="2" t="n">
        <x:f>COUNTIFS('2015'!$L$24:$L$96,A123&amp;" / "&amp;B123,'2015'!$B$24:$B$96,"Playoffs")+COUNTIFS('2016'!$L$24:$L$96,A123&amp;" / "&amp;B123,'2016'!$B$24:$B$96,"Playoffs")+COUNTIFS('2017'!$L$24:$L$106,A123&amp;" / "&amp;B123,'2017'!$B$24:$B$106,"Playoffs")+COUNTIFS('2018'!$L$24:$L$106,A123&amp;" / "&amp;B123,'2018'!$B$24:$B$106,"Playoffs")+COUNTIFS('2019'!$L$24:$L$106,A123&amp;" / "&amp;B123,'2019'!$B$24:$B$106,"Playoffs")+COUNTIFS('2020'!$L$24:$L$106,A123&amp;" / "&amp;B123,'2020'!$B$24:$B$106,"Playoffs")+COUNTIFS('2021'!$L$24:$L$112,A123&amp;" / "&amp;B123,'2021'!$B$24:$B$112,"Playoffs")+COUNTIFS('2022'!$L$24:$L$112,A123&amp;" / "&amp;B123,'2022'!$B$24:$B$112,"Playoffs")+COUNTIFS('2023'!$L$24:$L$112,A123&amp;" / "&amp;B123,'2023'!$B$24:$B$112,"Playoffs")+COUNTIFS('2024'!$L$24:$L$112,A123&amp;" / "&amp;B123,'2024'!$B$24:$B$112,"Playoffs")+COUNTIFS('2025'!$L$24:$L$112,A123&amp;" / "&amp;B123,'2025'!$B$24:$B$112,"Playoffs")</x:f>
        <x:v>1</x:v>
      </x:c>
      <x:c r="L123" s="2" t="n">
        <x:f>COUNTIFS('2015'!$L$24:$L$96,A123&amp;" / "&amp;B123,'2015'!$B$24:$B$96,"Unconfirmed")+COUNTIFS('2016'!$L$24:$L$96,A123&amp;" / "&amp;B123,'2016'!$B$24:$B$96,"Unconfirmed")+COUNTIFS('2017'!$L$24:$L$106,A123&amp;" / "&amp;B123,'2017'!$B$24:$B$106,"Unconfirmed")+COUNTIFS('2018'!$L$24:$L$106,A123&amp;" / "&amp;B123,'2018'!$B$24:$B$106,"Unconfirmed")+COUNTIFS('2019'!$L$24:$L$106,A123&amp;" / "&amp;B123,'2019'!$B$24:$B$106,"Unconfirmed")+COUNTIFS('2020'!$L$24:$L$106,A123&amp;" / "&amp;B123,'2020'!$B$24:$B$106,"Unconfirmed")+COUNTIFS('2021'!$L$24:$L$112,A123&amp;" / "&amp;B123,'2021'!$B$24:$B$112,"Unconfirmed")+COUNTIFS('2022'!$L$24:$L$112,A123&amp;" / "&amp;B123,'2022'!$B$24:$B$112,"Unconfirmed")+COUNTIFS('2023'!$L$24:$L$112,A123&amp;" / "&amp;B123,'2023'!$B$24:$B$112,"Unconfirmed")+COUNTIFS('2024'!$L$24:$L$112,A123&amp;" / "&amp;B123,'2024'!$B$24:$B$112,"Unconfirmed")+COUNTIFS('2025'!$L$24:$L$112,A123&amp;" / "&amp;B123,'2025'!$B$24:$B$112,"Unconfirmed")</x:f>
        <x:v>0</x:v>
      </x:c>
    </x:row>
    <x:row r="124" ht="22" customHeight="1">
      <x:c r="A124" s="2" t="str">
        <x:v>James B.</x:v>
      </x:c>
      <x:c r="B124" s="2" t="str">
        <x:v>Mike</x:v>
      </x:c>
      <x:c r="C124" s="2" t="n">
        <x:f>COUNTIFS('2015'!$L$24:$L$96,A124&amp;" / "&amp;B124)+COUNTIFS('2016'!$L$24:$L$96,A124&amp;" / "&amp;B124)+COUNTIFS('2017'!$L$24:$L$106,A124&amp;" / "&amp;B124)+COUNTIFS('2018'!$L$24:$L$106,A124&amp;" / "&amp;B124)+COUNTIFS('2019'!$L$24:$L$106,A124&amp;" / "&amp;B124)+COUNTIFS('2020'!$L$24:$L$106,A124&amp;" / "&amp;B124)+COUNTIFS('2021'!$L$24:$L$112,A124&amp;" / "&amp;B124)+COUNTIFS('2022'!$L$24:$L$112,A124&amp;" / "&amp;B124)+COUNTIFS('2023'!$L$24:$L$112,A124&amp;" / "&amp;B124)+COUNTIFS('2024'!$L$24:$L$112,A124&amp;" / "&amp;B124)+COUNTIFS('2025'!$L$24:$L$112,A124&amp;" / "&amp;B124)</x:f>
        <x:v>1</x:v>
      </x:c>
      <x:c r="D124" s="2" t="n">
        <x:f>COUNTIFS('2015'!$L$24:$L$96,A124&amp;" / "&amp;B124,'2015'!$I$24:$I$96,A124)+COUNTIFS('2016'!$L$24:$L$96,A124&amp;" / "&amp;B124,'2016'!$I$24:$I$96,A124)+COUNTIFS('2017'!$L$24:$L$106,A124&amp;" / "&amp;B124,'2017'!$I$24:$I$106,A124)+COUNTIFS('2018'!$L$24:$L$106,A124&amp;" / "&amp;B124,'2018'!$I$24:$I$106,A124)+COUNTIFS('2019'!$L$24:$L$106,A124&amp;" / "&amp;B124,'2019'!$I$24:$I$106,A124)+COUNTIFS('2020'!$L$24:$L$106,A124&amp;" / "&amp;B124,'2020'!$I$24:$I$106,A124)+COUNTIFS('2021'!$L$24:$L$112,A124&amp;" / "&amp;B124,'2021'!$I$24:$I$112,A124)+COUNTIFS('2022'!$L$24:$L$112,A124&amp;" / "&amp;B124,'2022'!$I$24:$I$112,A124)+COUNTIFS('2023'!$L$24:$L$112,A124&amp;" / "&amp;B124,'2023'!$I$24:$I$112,A124)+COUNTIFS('2024'!$L$24:$L$112,A124&amp;" / "&amp;B124,'2024'!$I$24:$I$112,A124)+COUNTIFS('2025'!$L$24:$L$112,A124&amp;" / "&amp;B124,'2025'!$I$24:$I$112,A124)</x:f>
        <x:v>1</x:v>
      </x:c>
      <x:c r="E124" s="2" t="n">
        <x:f>COUNTIFS('2015'!$L$24:$L$96,A124&amp;" / "&amp;B124,'2015'!$I$24:$I$96,B124)+COUNTIFS('2016'!$L$24:$L$96,A124&amp;" / "&amp;B124,'2016'!$I$24:$I$96,B124)+COUNTIFS('2017'!$L$24:$L$106,A124&amp;" / "&amp;B124,'2017'!$I$24:$I$106,B124)+COUNTIFS('2018'!$L$24:$L$106,A124&amp;" / "&amp;B124,'2018'!$I$24:$I$106,B124)+COUNTIFS('2019'!$L$24:$L$106,A124&amp;" / "&amp;B124,'2019'!$I$24:$I$106,B124)+COUNTIFS('2020'!$L$24:$L$106,A124&amp;" / "&amp;B124,'2020'!$I$24:$I$106,B124)+COUNTIFS('2021'!$L$24:$L$112,A124&amp;" / "&amp;B124,'2021'!$I$24:$I$112,B124)+COUNTIFS('2022'!$L$24:$L$112,A124&amp;" / "&amp;B124,'2022'!$I$24:$I$112,B124)+COUNTIFS('2023'!$L$24:$L$112,A124&amp;" / "&amp;B124,'2023'!$I$24:$I$112,B124)+COUNTIFS('2024'!$L$24:$L$112,A124&amp;" / "&amp;B124,'2024'!$I$24:$I$112,B124)+COUNTIFS('2025'!$L$24:$L$112,A124&amp;" / "&amp;B124,'2025'!$I$24:$I$112,B124)</x:f>
        <x:v>0</x:v>
      </x:c>
      <x:c r="F124" s="2" t="n">
        <x:f>COUNTIFS('2015'!$L$24:$L$96,A124&amp;" / "&amp;B124,'2015'!$K$24:$K$96,1)+COUNTIFS('2016'!$L$24:$L$96,A124&amp;" / "&amp;B124,'2016'!$K$24:$K$96,1)+COUNTIFS('2017'!$L$24:$L$106,A124&amp;" / "&amp;B124,'2017'!$K$24:$K$106,1)+COUNTIFS('2018'!$L$24:$L$106,A124&amp;" / "&amp;B124,'2018'!$K$24:$K$106,1)+COUNTIFS('2019'!$L$24:$L$106,A124&amp;" / "&amp;B124,'2019'!$K$24:$K$106,1)+COUNTIFS('2020'!$L$24:$L$106,A124&amp;" / "&amp;B124,'2020'!$K$24:$K$106,1)+COUNTIFS('2021'!$L$24:$L$112,A124&amp;" / "&amp;B124,'2021'!$K$24:$K$112,1)+COUNTIFS('2022'!$L$24:$L$112,A124&amp;" / "&amp;B124,'2022'!$K$24:$K$112,1)+COUNTIFS('2023'!$L$24:$L$112,A124&amp;" / "&amp;B124,'2023'!$K$24:$K$112,1)+COUNTIFS('2024'!$L$24:$L$112,A124&amp;" / "&amp;B124,'2024'!$K$24:$K$112,1)+COUNTIFS('2025'!$L$24:$L$112,A124&amp;" / "&amp;B124,'2025'!$K$24:$K$112,1)</x:f>
        <x:v>0</x:v>
      </x:c>
      <x:c r="G124" s="25" t="n">
        <x:f>SUMIFS('2015'!$E$24:$E$96,'2015'!$L$24:$L$96,A124&amp;" / "&amp;B124,'2015'!$C$24:$C$96,A124)+SUMIFS('2015'!$H$24:$H$96,'2015'!$L$24:$L$96,A124&amp;" / "&amp;B124,'2015'!$F$24:$F$96,A124)+SUMIFS('2016'!$E$24:$E$96,'2016'!$L$24:$L$96,A124&amp;" / "&amp;B124,'2016'!$C$24:$C$96,A124)+SUMIFS('2016'!$H$24:$H$96,'2016'!$L$24:$L$96,A124&amp;" / "&amp;B124,'2016'!$F$24:$F$96,A124)+SUMIFS('2017'!$E$24:$E$106,'2017'!$L$24:$L$106,A124&amp;" / "&amp;B124,'2017'!$C$24:$C$106,A124)+SUMIFS('2017'!$H$24:$H$106,'2017'!$L$24:$L$106,A124&amp;" / "&amp;B124,'2017'!$F$24:$F$106,A124)+SUMIFS('2018'!$E$24:$E$106,'2018'!$L$24:$L$106,A124&amp;" / "&amp;B124,'2018'!$C$24:$C$106,A124)+SUMIFS('2018'!$H$24:$H$106,'2018'!$L$24:$L$106,A124&amp;" / "&amp;B124,'2018'!$F$24:$F$106,A124)+SUMIFS('2019'!$E$24:$E$106,'2019'!$L$24:$L$106,A124&amp;" / "&amp;B124,'2019'!$C$24:$C$106,A124)+SUMIFS('2019'!$H$24:$H$106,'2019'!$L$24:$L$106,A124&amp;" / "&amp;B124,'2019'!$F$24:$F$106,A124)+SUMIFS('2020'!$E$24:$E$106,'2020'!$L$24:$L$106,A124&amp;" / "&amp;B124,'2020'!$C$24:$C$106,A124)+SUMIFS('2020'!$H$24:$H$106,'2020'!$L$24:$L$106,A124&amp;" / "&amp;B124,'2020'!$F$24:$F$106,A124)+SUMIFS('2021'!$E$24:$E$112,'2021'!$L$24:$L$112,A124&amp;" / "&amp;B124,'2021'!$C$24:$C$112,A124)+SUMIFS('2021'!$H$24:$H$112,'2021'!$L$24:$L$112,A124&amp;" / "&amp;B124,'2021'!$F$24:$F$112,A124)+SUMIFS('2022'!$E$24:$E$112,'2022'!$L$24:$L$112,A124&amp;" / "&amp;B124,'2022'!$C$24:$C$112,A124)+SUMIFS('2022'!$H$24:$H$112,'2022'!$L$24:$L$112,A124&amp;" / "&amp;B124,'2022'!$F$24:$F$112,A124)+SUMIFS('2023'!$E$24:$E$112,'2023'!$L$24:$L$112,A124&amp;" / "&amp;B124,'2023'!$C$24:$C$112,A124)+SUMIFS('2023'!$H$24:$H$112,'2023'!$L$24:$L$112,A124&amp;" / "&amp;B124,'2023'!$F$24:$F$112,A124)+SUMIFS('2024'!$E$24:$E$112,'2024'!$L$24:$L$112,A124&amp;" / "&amp;B124,'2024'!$C$24:$C$112,A124)+SUMIFS('2024'!$H$24:$H$112,'2024'!$L$24:$L$112,A124&amp;" / "&amp;B124,'2024'!$F$24:$F$112,A124)+SUMIFS('2025'!$E$24:$E$112,'2025'!$L$24:$L$112,A124&amp;" / "&amp;B124,'2025'!$C$24:$C$112,A124)+SUMIFS('2025'!$H$24:$H$112,'2025'!$L$24:$L$112,A124&amp;" / "&amp;B124,'2025'!$F$24:$F$112,A124)</x:f>
        <x:v>158</x:v>
      </x:c>
      <x:c r="H124" s="25" t="n">
        <x:f>SUMIFS('2015'!$E$24:$E$96,'2015'!$L$24:$L$96,A124&amp;" / "&amp;B124,'2015'!$C$24:$C$96,B124)+SUMIFS('2015'!$H$24:$H$96,'2015'!$L$24:$L$96,A124&amp;" / "&amp;B124,'2015'!$F$24:$F$96,B124)+SUMIFS('2016'!$E$24:$E$96,'2016'!$L$24:$L$96,A124&amp;" / "&amp;B124,'2016'!$C$24:$C$96,B124)+SUMIFS('2016'!$H$24:$H$96,'2016'!$L$24:$L$96,A124&amp;" / "&amp;B124,'2016'!$F$24:$F$96,B124)+SUMIFS('2017'!$E$24:$E$106,'2017'!$L$24:$L$106,A124&amp;" / "&amp;B124,'2017'!$C$24:$C$106,B124)+SUMIFS('2017'!$H$24:$H$106,'2017'!$L$24:$L$106,A124&amp;" / "&amp;B124,'2017'!$F$24:$F$106,B124)+SUMIFS('2018'!$E$24:$E$106,'2018'!$L$24:$L$106,A124&amp;" / "&amp;B124,'2018'!$C$24:$C$106,B124)+SUMIFS('2018'!$H$24:$H$106,'2018'!$L$24:$L$106,A124&amp;" / "&amp;B124,'2018'!$F$24:$F$106,B124)+SUMIFS('2019'!$E$24:$E$106,'2019'!$L$24:$L$106,A124&amp;" / "&amp;B124,'2019'!$C$24:$C$106,B124)+SUMIFS('2019'!$H$24:$H$106,'2019'!$L$24:$L$106,A124&amp;" / "&amp;B124,'2019'!$F$24:$F$106,B124)+SUMIFS('2020'!$E$24:$E$106,'2020'!$L$24:$L$106,A124&amp;" / "&amp;B124,'2020'!$C$24:$C$106,B124)+SUMIFS('2020'!$H$24:$H$106,'2020'!$L$24:$L$106,A124&amp;" / "&amp;B124,'2020'!$F$24:$F$106,B124)+SUMIFS('2021'!$E$24:$E$112,'2021'!$L$24:$L$112,A124&amp;" / "&amp;B124,'2021'!$C$24:$C$112,B124)+SUMIFS('2021'!$H$24:$H$112,'2021'!$L$24:$L$112,A124&amp;" / "&amp;B124,'2021'!$F$24:$F$112,B124)+SUMIFS('2022'!$E$24:$E$112,'2022'!$L$24:$L$112,A124&amp;" / "&amp;B124,'2022'!$C$24:$C$112,B124)+SUMIFS('2022'!$H$24:$H$112,'2022'!$L$24:$L$112,A124&amp;" / "&amp;B124,'2022'!$F$24:$F$112,B124)+SUMIFS('2023'!$E$24:$E$112,'2023'!$L$24:$L$112,A124&amp;" / "&amp;B124,'2023'!$C$24:$C$112,B124)+SUMIFS('2023'!$H$24:$H$112,'2023'!$L$24:$L$112,A124&amp;" / "&amp;B124,'2023'!$F$24:$F$112,B124)+SUMIFS('2024'!$E$24:$E$112,'2024'!$L$24:$L$112,A124&amp;" / "&amp;B124,'2024'!$C$24:$C$112,B124)+SUMIFS('2024'!$H$24:$H$112,'2024'!$L$24:$L$112,A124&amp;" / "&amp;B124,'2024'!$F$24:$F$112,B124)+SUMIFS('2025'!$E$24:$E$112,'2025'!$L$24:$L$112,A124&amp;" / "&amp;B124,'2025'!$C$24:$C$112,B124)+SUMIFS('2025'!$H$24:$H$112,'2025'!$L$24:$L$112,A124&amp;" / "&amp;B124,'2025'!$F$24:$F$112,B124)</x:f>
        <x:v>110</x:v>
      </x:c>
      <x:c r="I124" s="11" t="n">
        <x:f>IF(C124=0,0,(D124+0.5*F124)/C124)</x:f>
        <x:v>1</x:v>
      </x:c>
      <x:c r="J124" s="2" t="n">
        <x:f>COUNTIFS('2015'!$L$24:$L$96,A124&amp;" / "&amp;B124,'2015'!$B$24:$B$96,"Regular")+COUNTIFS('2016'!$L$24:$L$96,A124&amp;" / "&amp;B124,'2016'!$B$24:$B$96,"Regular")+COUNTIFS('2017'!$L$24:$L$106,A124&amp;" / "&amp;B124,'2017'!$B$24:$B$106,"Regular")+COUNTIFS('2018'!$L$24:$L$106,A124&amp;" / "&amp;B124,'2018'!$B$24:$B$106,"Regular")+COUNTIFS('2019'!$L$24:$L$106,A124&amp;" / "&amp;B124,'2019'!$B$24:$B$106,"Regular")+COUNTIFS('2020'!$L$24:$L$106,A124&amp;" / "&amp;B124,'2020'!$B$24:$B$106,"Regular")+COUNTIFS('2021'!$L$24:$L$112,A124&amp;" / "&amp;B124,'2021'!$B$24:$B$112,"Regular")+COUNTIFS('2022'!$L$24:$L$112,A124&amp;" / "&amp;B124,'2022'!$B$24:$B$112,"Regular")+COUNTIFS('2023'!$L$24:$L$112,A124&amp;" / "&amp;B124,'2023'!$B$24:$B$112,"Regular")+COUNTIFS('2024'!$L$24:$L$112,A124&amp;" / "&amp;B124,'2024'!$B$24:$B$112,"Regular")+COUNTIFS('2025'!$L$24:$L$112,A124&amp;" / "&amp;B124,'2025'!$B$24:$B$112,"Regular")</x:f>
        <x:v>1</x:v>
      </x:c>
      <x:c r="K124" s="2" t="n">
        <x:f>COUNTIFS('2015'!$L$24:$L$96,A124&amp;" / "&amp;B124,'2015'!$B$24:$B$96,"Playoffs")+COUNTIFS('2016'!$L$24:$L$96,A124&amp;" / "&amp;B124,'2016'!$B$24:$B$96,"Playoffs")+COUNTIFS('2017'!$L$24:$L$106,A124&amp;" / "&amp;B124,'2017'!$B$24:$B$106,"Playoffs")+COUNTIFS('2018'!$L$24:$L$106,A124&amp;" / "&amp;B124,'2018'!$B$24:$B$106,"Playoffs")+COUNTIFS('2019'!$L$24:$L$106,A124&amp;" / "&amp;B124,'2019'!$B$24:$B$106,"Playoffs")+COUNTIFS('2020'!$L$24:$L$106,A124&amp;" / "&amp;B124,'2020'!$B$24:$B$106,"Playoffs")+COUNTIFS('2021'!$L$24:$L$112,A124&amp;" / "&amp;B124,'2021'!$B$24:$B$112,"Playoffs")+COUNTIFS('2022'!$L$24:$L$112,A124&amp;" / "&amp;B124,'2022'!$B$24:$B$112,"Playoffs")+COUNTIFS('2023'!$L$24:$L$112,A124&amp;" / "&amp;B124,'2023'!$B$24:$B$112,"Playoffs")+COUNTIFS('2024'!$L$24:$L$112,A124&amp;" / "&amp;B124,'2024'!$B$24:$B$112,"Playoffs")+COUNTIFS('2025'!$L$24:$L$112,A124&amp;" / "&amp;B124,'2025'!$B$24:$B$112,"Playoffs")</x:f>
        <x:v>0</x:v>
      </x:c>
      <x:c r="L124" s="2" t="n">
        <x:f>COUNTIFS('2015'!$L$24:$L$96,A124&amp;" / "&amp;B124,'2015'!$B$24:$B$96,"Unconfirmed")+COUNTIFS('2016'!$L$24:$L$96,A124&amp;" / "&amp;B124,'2016'!$B$24:$B$96,"Unconfirmed")+COUNTIFS('2017'!$L$24:$L$106,A124&amp;" / "&amp;B124,'2017'!$B$24:$B$106,"Unconfirmed")+COUNTIFS('2018'!$L$24:$L$106,A124&amp;" / "&amp;B124,'2018'!$B$24:$B$106,"Unconfirmed")+COUNTIFS('2019'!$L$24:$L$106,A124&amp;" / "&amp;B124,'2019'!$B$24:$B$106,"Unconfirmed")+COUNTIFS('2020'!$L$24:$L$106,A124&amp;" / "&amp;B124,'2020'!$B$24:$B$106,"Unconfirmed")+COUNTIFS('2021'!$L$24:$L$112,A124&amp;" / "&amp;B124,'2021'!$B$24:$B$112,"Unconfirmed")+COUNTIFS('2022'!$L$24:$L$112,A124&amp;" / "&amp;B124,'2022'!$B$24:$B$112,"Unconfirmed")+COUNTIFS('2023'!$L$24:$L$112,A124&amp;" / "&amp;B124,'2023'!$B$24:$B$112,"Unconfirmed")+COUNTIFS('2024'!$L$24:$L$112,A124&amp;" / "&amp;B124,'2024'!$B$24:$B$112,"Unconfirmed")+COUNTIFS('2025'!$L$24:$L$112,A124&amp;" / "&amp;B124,'2025'!$B$24:$B$112,"Unconfirmed")</x:f>
        <x:v>0</x:v>
      </x:c>
    </x:row>
    <x:row r="125" ht="22" customHeight="1">
      <x:c r="A125" s="2" t="str">
        <x:v>James B.</x:v>
      </x:c>
      <x:c r="B125" s="2" t="str">
        <x:v>Paul</x:v>
      </x:c>
      <x:c r="C125" s="2" t="n">
        <x:f>COUNTIFS('2015'!$L$24:$L$96,A125&amp;" / "&amp;B125)+COUNTIFS('2016'!$L$24:$L$96,A125&amp;" / "&amp;B125)+COUNTIFS('2017'!$L$24:$L$106,A125&amp;" / "&amp;B125)+COUNTIFS('2018'!$L$24:$L$106,A125&amp;" / "&amp;B125)+COUNTIFS('2019'!$L$24:$L$106,A125&amp;" / "&amp;B125)+COUNTIFS('2020'!$L$24:$L$106,A125&amp;" / "&amp;B125)+COUNTIFS('2021'!$L$24:$L$112,A125&amp;" / "&amp;B125)+COUNTIFS('2022'!$L$24:$L$112,A125&amp;" / "&amp;B125)+COUNTIFS('2023'!$L$24:$L$112,A125&amp;" / "&amp;B125)+COUNTIFS('2024'!$L$24:$L$112,A125&amp;" / "&amp;B125)+COUNTIFS('2025'!$L$24:$L$112,A125&amp;" / "&amp;B125)</x:f>
        <x:v>2</x:v>
      </x:c>
      <x:c r="D125" s="2" t="n">
        <x:f>COUNTIFS('2015'!$L$24:$L$96,A125&amp;" / "&amp;B125,'2015'!$I$24:$I$96,A125)+COUNTIFS('2016'!$L$24:$L$96,A125&amp;" / "&amp;B125,'2016'!$I$24:$I$96,A125)+COUNTIFS('2017'!$L$24:$L$106,A125&amp;" / "&amp;B125,'2017'!$I$24:$I$106,A125)+COUNTIFS('2018'!$L$24:$L$106,A125&amp;" / "&amp;B125,'2018'!$I$24:$I$106,A125)+COUNTIFS('2019'!$L$24:$L$106,A125&amp;" / "&amp;B125,'2019'!$I$24:$I$106,A125)+COUNTIFS('2020'!$L$24:$L$106,A125&amp;" / "&amp;B125,'2020'!$I$24:$I$106,A125)+COUNTIFS('2021'!$L$24:$L$112,A125&amp;" / "&amp;B125,'2021'!$I$24:$I$112,A125)+COUNTIFS('2022'!$L$24:$L$112,A125&amp;" / "&amp;B125,'2022'!$I$24:$I$112,A125)+COUNTIFS('2023'!$L$24:$L$112,A125&amp;" / "&amp;B125,'2023'!$I$24:$I$112,A125)+COUNTIFS('2024'!$L$24:$L$112,A125&amp;" / "&amp;B125,'2024'!$I$24:$I$112,A125)+COUNTIFS('2025'!$L$24:$L$112,A125&amp;" / "&amp;B125,'2025'!$I$24:$I$112,A125)</x:f>
        <x:v>1</x:v>
      </x:c>
      <x:c r="E125" s="2" t="n">
        <x:f>COUNTIFS('2015'!$L$24:$L$96,A125&amp;" / "&amp;B125,'2015'!$I$24:$I$96,B125)+COUNTIFS('2016'!$L$24:$L$96,A125&amp;" / "&amp;B125,'2016'!$I$24:$I$96,B125)+COUNTIFS('2017'!$L$24:$L$106,A125&amp;" / "&amp;B125,'2017'!$I$24:$I$106,B125)+COUNTIFS('2018'!$L$24:$L$106,A125&amp;" / "&amp;B125,'2018'!$I$24:$I$106,B125)+COUNTIFS('2019'!$L$24:$L$106,A125&amp;" / "&amp;B125,'2019'!$I$24:$I$106,B125)+COUNTIFS('2020'!$L$24:$L$106,A125&amp;" / "&amp;B125,'2020'!$I$24:$I$106,B125)+COUNTIFS('2021'!$L$24:$L$112,A125&amp;" / "&amp;B125,'2021'!$I$24:$I$112,B125)+COUNTIFS('2022'!$L$24:$L$112,A125&amp;" / "&amp;B125,'2022'!$I$24:$I$112,B125)+COUNTIFS('2023'!$L$24:$L$112,A125&amp;" / "&amp;B125,'2023'!$I$24:$I$112,B125)+COUNTIFS('2024'!$L$24:$L$112,A125&amp;" / "&amp;B125,'2024'!$I$24:$I$112,B125)+COUNTIFS('2025'!$L$24:$L$112,A125&amp;" / "&amp;B125,'2025'!$I$24:$I$112,B125)</x:f>
        <x:v>1</x:v>
      </x:c>
      <x:c r="F125" s="2" t="n">
        <x:f>COUNTIFS('2015'!$L$24:$L$96,A125&amp;" / "&amp;B125,'2015'!$K$24:$K$96,1)+COUNTIFS('2016'!$L$24:$L$96,A125&amp;" / "&amp;B125,'2016'!$K$24:$K$96,1)+COUNTIFS('2017'!$L$24:$L$106,A125&amp;" / "&amp;B125,'2017'!$K$24:$K$106,1)+COUNTIFS('2018'!$L$24:$L$106,A125&amp;" / "&amp;B125,'2018'!$K$24:$K$106,1)+COUNTIFS('2019'!$L$24:$L$106,A125&amp;" / "&amp;B125,'2019'!$K$24:$K$106,1)+COUNTIFS('2020'!$L$24:$L$106,A125&amp;" / "&amp;B125,'2020'!$K$24:$K$106,1)+COUNTIFS('2021'!$L$24:$L$112,A125&amp;" / "&amp;B125,'2021'!$K$24:$K$112,1)+COUNTIFS('2022'!$L$24:$L$112,A125&amp;" / "&amp;B125,'2022'!$K$24:$K$112,1)+COUNTIFS('2023'!$L$24:$L$112,A125&amp;" / "&amp;B125,'2023'!$K$24:$K$112,1)+COUNTIFS('2024'!$L$24:$L$112,A125&amp;" / "&amp;B125,'2024'!$K$24:$K$112,1)+COUNTIFS('2025'!$L$24:$L$112,A125&amp;" / "&amp;B125,'2025'!$K$24:$K$112,1)</x:f>
        <x:v>0</x:v>
      </x:c>
      <x:c r="G125" s="25" t="n">
        <x:f>SUMIFS('2015'!$E$24:$E$96,'2015'!$L$24:$L$96,A125&amp;" / "&amp;B125,'2015'!$C$24:$C$96,A125)+SUMIFS('2015'!$H$24:$H$96,'2015'!$L$24:$L$96,A125&amp;" / "&amp;B125,'2015'!$F$24:$F$96,A125)+SUMIFS('2016'!$E$24:$E$96,'2016'!$L$24:$L$96,A125&amp;" / "&amp;B125,'2016'!$C$24:$C$96,A125)+SUMIFS('2016'!$H$24:$H$96,'2016'!$L$24:$L$96,A125&amp;" / "&amp;B125,'2016'!$F$24:$F$96,A125)+SUMIFS('2017'!$E$24:$E$106,'2017'!$L$24:$L$106,A125&amp;" / "&amp;B125,'2017'!$C$24:$C$106,A125)+SUMIFS('2017'!$H$24:$H$106,'2017'!$L$24:$L$106,A125&amp;" / "&amp;B125,'2017'!$F$24:$F$106,A125)+SUMIFS('2018'!$E$24:$E$106,'2018'!$L$24:$L$106,A125&amp;" / "&amp;B125,'2018'!$C$24:$C$106,A125)+SUMIFS('2018'!$H$24:$H$106,'2018'!$L$24:$L$106,A125&amp;" / "&amp;B125,'2018'!$F$24:$F$106,A125)+SUMIFS('2019'!$E$24:$E$106,'2019'!$L$24:$L$106,A125&amp;" / "&amp;B125,'2019'!$C$24:$C$106,A125)+SUMIFS('2019'!$H$24:$H$106,'2019'!$L$24:$L$106,A125&amp;" / "&amp;B125,'2019'!$F$24:$F$106,A125)+SUMIFS('2020'!$E$24:$E$106,'2020'!$L$24:$L$106,A125&amp;" / "&amp;B125,'2020'!$C$24:$C$106,A125)+SUMIFS('2020'!$H$24:$H$106,'2020'!$L$24:$L$106,A125&amp;" / "&amp;B125,'2020'!$F$24:$F$106,A125)+SUMIFS('2021'!$E$24:$E$112,'2021'!$L$24:$L$112,A125&amp;" / "&amp;B125,'2021'!$C$24:$C$112,A125)+SUMIFS('2021'!$H$24:$H$112,'2021'!$L$24:$L$112,A125&amp;" / "&amp;B125,'2021'!$F$24:$F$112,A125)+SUMIFS('2022'!$E$24:$E$112,'2022'!$L$24:$L$112,A125&amp;" / "&amp;B125,'2022'!$C$24:$C$112,A125)+SUMIFS('2022'!$H$24:$H$112,'2022'!$L$24:$L$112,A125&amp;" / "&amp;B125,'2022'!$F$24:$F$112,A125)+SUMIFS('2023'!$E$24:$E$112,'2023'!$L$24:$L$112,A125&amp;" / "&amp;B125,'2023'!$C$24:$C$112,A125)+SUMIFS('2023'!$H$24:$H$112,'2023'!$L$24:$L$112,A125&amp;" / "&amp;B125,'2023'!$F$24:$F$112,A125)+SUMIFS('2024'!$E$24:$E$112,'2024'!$L$24:$L$112,A125&amp;" / "&amp;B125,'2024'!$C$24:$C$112,A125)+SUMIFS('2024'!$H$24:$H$112,'2024'!$L$24:$L$112,A125&amp;" / "&amp;B125,'2024'!$F$24:$F$112,A125)+SUMIFS('2025'!$E$24:$E$112,'2025'!$L$24:$L$112,A125&amp;" / "&amp;B125,'2025'!$C$24:$C$112,A125)+SUMIFS('2025'!$H$24:$H$112,'2025'!$L$24:$L$112,A125&amp;" / "&amp;B125,'2025'!$F$24:$F$112,A125)</x:f>
        <x:v>261</x:v>
      </x:c>
      <x:c r="H125" s="25" t="n">
        <x:f>SUMIFS('2015'!$E$24:$E$96,'2015'!$L$24:$L$96,A125&amp;" / "&amp;B125,'2015'!$C$24:$C$96,B125)+SUMIFS('2015'!$H$24:$H$96,'2015'!$L$24:$L$96,A125&amp;" / "&amp;B125,'2015'!$F$24:$F$96,B125)+SUMIFS('2016'!$E$24:$E$96,'2016'!$L$24:$L$96,A125&amp;" / "&amp;B125,'2016'!$C$24:$C$96,B125)+SUMIFS('2016'!$H$24:$H$96,'2016'!$L$24:$L$96,A125&amp;" / "&amp;B125,'2016'!$F$24:$F$96,B125)+SUMIFS('2017'!$E$24:$E$106,'2017'!$L$24:$L$106,A125&amp;" / "&amp;B125,'2017'!$C$24:$C$106,B125)+SUMIFS('2017'!$H$24:$H$106,'2017'!$L$24:$L$106,A125&amp;" / "&amp;B125,'2017'!$F$24:$F$106,B125)+SUMIFS('2018'!$E$24:$E$106,'2018'!$L$24:$L$106,A125&amp;" / "&amp;B125,'2018'!$C$24:$C$106,B125)+SUMIFS('2018'!$H$24:$H$106,'2018'!$L$24:$L$106,A125&amp;" / "&amp;B125,'2018'!$F$24:$F$106,B125)+SUMIFS('2019'!$E$24:$E$106,'2019'!$L$24:$L$106,A125&amp;" / "&amp;B125,'2019'!$C$24:$C$106,B125)+SUMIFS('2019'!$H$24:$H$106,'2019'!$L$24:$L$106,A125&amp;" / "&amp;B125,'2019'!$F$24:$F$106,B125)+SUMIFS('2020'!$E$24:$E$106,'2020'!$L$24:$L$106,A125&amp;" / "&amp;B125,'2020'!$C$24:$C$106,B125)+SUMIFS('2020'!$H$24:$H$106,'2020'!$L$24:$L$106,A125&amp;" / "&amp;B125,'2020'!$F$24:$F$106,B125)+SUMIFS('2021'!$E$24:$E$112,'2021'!$L$24:$L$112,A125&amp;" / "&amp;B125,'2021'!$C$24:$C$112,B125)+SUMIFS('2021'!$H$24:$H$112,'2021'!$L$24:$L$112,A125&amp;" / "&amp;B125,'2021'!$F$24:$F$112,B125)+SUMIFS('2022'!$E$24:$E$112,'2022'!$L$24:$L$112,A125&amp;" / "&amp;B125,'2022'!$C$24:$C$112,B125)+SUMIFS('2022'!$H$24:$H$112,'2022'!$L$24:$L$112,A125&amp;" / "&amp;B125,'2022'!$F$24:$F$112,B125)+SUMIFS('2023'!$E$24:$E$112,'2023'!$L$24:$L$112,A125&amp;" / "&amp;B125,'2023'!$C$24:$C$112,B125)+SUMIFS('2023'!$H$24:$H$112,'2023'!$L$24:$L$112,A125&amp;" / "&amp;B125,'2023'!$F$24:$F$112,B125)+SUMIFS('2024'!$E$24:$E$112,'2024'!$L$24:$L$112,A125&amp;" / "&amp;B125,'2024'!$C$24:$C$112,B125)+SUMIFS('2024'!$H$24:$H$112,'2024'!$L$24:$L$112,A125&amp;" / "&amp;B125,'2024'!$F$24:$F$112,B125)+SUMIFS('2025'!$E$24:$E$112,'2025'!$L$24:$L$112,A125&amp;" / "&amp;B125,'2025'!$C$24:$C$112,B125)+SUMIFS('2025'!$H$24:$H$112,'2025'!$L$24:$L$112,A125&amp;" / "&amp;B125,'2025'!$F$24:$F$112,B125)</x:f>
        <x:v>219</x:v>
      </x:c>
      <x:c r="I125" s="11" t="n">
        <x:f>IF(C125=0,0,(D125+0.5*F125)/C125)</x:f>
        <x:v>0.5</x:v>
      </x:c>
      <x:c r="J125" s="2" t="n">
        <x:f>COUNTIFS('2015'!$L$24:$L$96,A125&amp;" / "&amp;B125,'2015'!$B$24:$B$96,"Regular")+COUNTIFS('2016'!$L$24:$L$96,A125&amp;" / "&amp;B125,'2016'!$B$24:$B$96,"Regular")+COUNTIFS('2017'!$L$24:$L$106,A125&amp;" / "&amp;B125,'2017'!$B$24:$B$106,"Regular")+COUNTIFS('2018'!$L$24:$L$106,A125&amp;" / "&amp;B125,'2018'!$B$24:$B$106,"Regular")+COUNTIFS('2019'!$L$24:$L$106,A125&amp;" / "&amp;B125,'2019'!$B$24:$B$106,"Regular")+COUNTIFS('2020'!$L$24:$L$106,A125&amp;" / "&amp;B125,'2020'!$B$24:$B$106,"Regular")+COUNTIFS('2021'!$L$24:$L$112,A125&amp;" / "&amp;B125,'2021'!$B$24:$B$112,"Regular")+COUNTIFS('2022'!$L$24:$L$112,A125&amp;" / "&amp;B125,'2022'!$B$24:$B$112,"Regular")+COUNTIFS('2023'!$L$24:$L$112,A125&amp;" / "&amp;B125,'2023'!$B$24:$B$112,"Regular")+COUNTIFS('2024'!$L$24:$L$112,A125&amp;" / "&amp;B125,'2024'!$B$24:$B$112,"Regular")+COUNTIFS('2025'!$L$24:$L$112,A125&amp;" / "&amp;B125,'2025'!$B$24:$B$112,"Regular")</x:f>
        <x:v>2</x:v>
      </x:c>
      <x:c r="K125" s="2" t="n">
        <x:f>COUNTIFS('2015'!$L$24:$L$96,A125&amp;" / "&amp;B125,'2015'!$B$24:$B$96,"Playoffs")+COUNTIFS('2016'!$L$24:$L$96,A125&amp;" / "&amp;B125,'2016'!$B$24:$B$96,"Playoffs")+COUNTIFS('2017'!$L$24:$L$106,A125&amp;" / "&amp;B125,'2017'!$B$24:$B$106,"Playoffs")+COUNTIFS('2018'!$L$24:$L$106,A125&amp;" / "&amp;B125,'2018'!$B$24:$B$106,"Playoffs")+COUNTIFS('2019'!$L$24:$L$106,A125&amp;" / "&amp;B125,'2019'!$B$24:$B$106,"Playoffs")+COUNTIFS('2020'!$L$24:$L$106,A125&amp;" / "&amp;B125,'2020'!$B$24:$B$106,"Playoffs")+COUNTIFS('2021'!$L$24:$L$112,A125&amp;" / "&amp;B125,'2021'!$B$24:$B$112,"Playoffs")+COUNTIFS('2022'!$L$24:$L$112,A125&amp;" / "&amp;B125,'2022'!$B$24:$B$112,"Playoffs")+COUNTIFS('2023'!$L$24:$L$112,A125&amp;" / "&amp;B125,'2023'!$B$24:$B$112,"Playoffs")+COUNTIFS('2024'!$L$24:$L$112,A125&amp;" / "&amp;B125,'2024'!$B$24:$B$112,"Playoffs")+COUNTIFS('2025'!$L$24:$L$112,A125&amp;" / "&amp;B125,'2025'!$B$24:$B$112,"Playoffs")</x:f>
        <x:v>0</x:v>
      </x:c>
      <x:c r="L125" s="2" t="n">
        <x:f>COUNTIFS('2015'!$L$24:$L$96,A125&amp;" / "&amp;B125,'2015'!$B$24:$B$96,"Unconfirmed")+COUNTIFS('2016'!$L$24:$L$96,A125&amp;" / "&amp;B125,'2016'!$B$24:$B$96,"Unconfirmed")+COUNTIFS('2017'!$L$24:$L$106,A125&amp;" / "&amp;B125,'2017'!$B$24:$B$106,"Unconfirmed")+COUNTIFS('2018'!$L$24:$L$106,A125&amp;" / "&amp;B125,'2018'!$B$24:$B$106,"Unconfirmed")+COUNTIFS('2019'!$L$24:$L$106,A125&amp;" / "&amp;B125,'2019'!$B$24:$B$106,"Unconfirmed")+COUNTIFS('2020'!$L$24:$L$106,A125&amp;" / "&amp;B125,'2020'!$B$24:$B$106,"Unconfirmed")+COUNTIFS('2021'!$L$24:$L$112,A125&amp;" / "&amp;B125,'2021'!$B$24:$B$112,"Unconfirmed")+COUNTIFS('2022'!$L$24:$L$112,A125&amp;" / "&amp;B125,'2022'!$B$24:$B$112,"Unconfirmed")+COUNTIFS('2023'!$L$24:$L$112,A125&amp;" / "&amp;B125,'2023'!$B$24:$B$112,"Unconfirmed")+COUNTIFS('2024'!$L$24:$L$112,A125&amp;" / "&amp;B125,'2024'!$B$24:$B$112,"Unconfirmed")+COUNTIFS('2025'!$L$24:$L$112,A125&amp;" / "&amp;B125,'2025'!$B$24:$B$112,"Unconfirmed")</x:f>
        <x:v>0</x:v>
      </x:c>
    </x:row>
    <x:row r="126" ht="22" customHeight="1">
      <x:c r="A126" s="2" t="str">
        <x:v>James B.</x:v>
      </x:c>
      <x:c r="B126" s="2" t="str">
        <x:v>Taylor</x:v>
      </x:c>
      <x:c r="C126" s="2" t="n">
        <x:f>COUNTIFS('2015'!$L$24:$L$96,A126&amp;" / "&amp;B126)+COUNTIFS('2016'!$L$24:$L$96,A126&amp;" / "&amp;B126)+COUNTIFS('2017'!$L$24:$L$106,A126&amp;" / "&amp;B126)+COUNTIFS('2018'!$L$24:$L$106,A126&amp;" / "&amp;B126)+COUNTIFS('2019'!$L$24:$L$106,A126&amp;" / "&amp;B126)+COUNTIFS('2020'!$L$24:$L$106,A126&amp;" / "&amp;B126)+COUNTIFS('2021'!$L$24:$L$112,A126&amp;" / "&amp;B126)+COUNTIFS('2022'!$L$24:$L$112,A126&amp;" / "&amp;B126)+COUNTIFS('2023'!$L$24:$L$112,A126&amp;" / "&amp;B126)+COUNTIFS('2024'!$L$24:$L$112,A126&amp;" / "&amp;B126)+COUNTIFS('2025'!$L$24:$L$112,A126&amp;" / "&amp;B126)</x:f>
        <x:v>5</x:v>
      </x:c>
      <x:c r="D126" s="2" t="n">
        <x:f>COUNTIFS('2015'!$L$24:$L$96,A126&amp;" / "&amp;B126,'2015'!$I$24:$I$96,A126)+COUNTIFS('2016'!$L$24:$L$96,A126&amp;" / "&amp;B126,'2016'!$I$24:$I$96,A126)+COUNTIFS('2017'!$L$24:$L$106,A126&amp;" / "&amp;B126,'2017'!$I$24:$I$106,A126)+COUNTIFS('2018'!$L$24:$L$106,A126&amp;" / "&amp;B126,'2018'!$I$24:$I$106,A126)+COUNTIFS('2019'!$L$24:$L$106,A126&amp;" / "&amp;B126,'2019'!$I$24:$I$106,A126)+COUNTIFS('2020'!$L$24:$L$106,A126&amp;" / "&amp;B126,'2020'!$I$24:$I$106,A126)+COUNTIFS('2021'!$L$24:$L$112,A126&amp;" / "&amp;B126,'2021'!$I$24:$I$112,A126)+COUNTIFS('2022'!$L$24:$L$112,A126&amp;" / "&amp;B126,'2022'!$I$24:$I$112,A126)+COUNTIFS('2023'!$L$24:$L$112,A126&amp;" / "&amp;B126,'2023'!$I$24:$I$112,A126)+COUNTIFS('2024'!$L$24:$L$112,A126&amp;" / "&amp;B126,'2024'!$I$24:$I$112,A126)+COUNTIFS('2025'!$L$24:$L$112,A126&amp;" / "&amp;B126,'2025'!$I$24:$I$112,A126)</x:f>
        <x:v>4</x:v>
      </x:c>
      <x:c r="E126" s="2" t="n">
        <x:f>COUNTIFS('2015'!$L$24:$L$96,A126&amp;" / "&amp;B126,'2015'!$I$24:$I$96,B126)+COUNTIFS('2016'!$L$24:$L$96,A126&amp;" / "&amp;B126,'2016'!$I$24:$I$96,B126)+COUNTIFS('2017'!$L$24:$L$106,A126&amp;" / "&amp;B126,'2017'!$I$24:$I$106,B126)+COUNTIFS('2018'!$L$24:$L$106,A126&amp;" / "&amp;B126,'2018'!$I$24:$I$106,B126)+COUNTIFS('2019'!$L$24:$L$106,A126&amp;" / "&amp;B126,'2019'!$I$24:$I$106,B126)+COUNTIFS('2020'!$L$24:$L$106,A126&amp;" / "&amp;B126,'2020'!$I$24:$I$106,B126)+COUNTIFS('2021'!$L$24:$L$112,A126&amp;" / "&amp;B126,'2021'!$I$24:$I$112,B126)+COUNTIFS('2022'!$L$24:$L$112,A126&amp;" / "&amp;B126,'2022'!$I$24:$I$112,B126)+COUNTIFS('2023'!$L$24:$L$112,A126&amp;" / "&amp;B126,'2023'!$I$24:$I$112,B126)+COUNTIFS('2024'!$L$24:$L$112,A126&amp;" / "&amp;B126,'2024'!$I$24:$I$112,B126)+COUNTIFS('2025'!$L$24:$L$112,A126&amp;" / "&amp;B126,'2025'!$I$24:$I$112,B126)</x:f>
        <x:v>1</x:v>
      </x:c>
      <x:c r="F126" s="2" t="n">
        <x:f>COUNTIFS('2015'!$L$24:$L$96,A126&amp;" / "&amp;B126,'2015'!$K$24:$K$96,1)+COUNTIFS('2016'!$L$24:$L$96,A126&amp;" / "&amp;B126,'2016'!$K$24:$K$96,1)+COUNTIFS('2017'!$L$24:$L$106,A126&amp;" / "&amp;B126,'2017'!$K$24:$K$106,1)+COUNTIFS('2018'!$L$24:$L$106,A126&amp;" / "&amp;B126,'2018'!$K$24:$K$106,1)+COUNTIFS('2019'!$L$24:$L$106,A126&amp;" / "&amp;B126,'2019'!$K$24:$K$106,1)+COUNTIFS('2020'!$L$24:$L$106,A126&amp;" / "&amp;B126,'2020'!$K$24:$K$106,1)+COUNTIFS('2021'!$L$24:$L$112,A126&amp;" / "&amp;B126,'2021'!$K$24:$K$112,1)+COUNTIFS('2022'!$L$24:$L$112,A126&amp;" / "&amp;B126,'2022'!$K$24:$K$112,1)+COUNTIFS('2023'!$L$24:$L$112,A126&amp;" / "&amp;B126,'2023'!$K$24:$K$112,1)+COUNTIFS('2024'!$L$24:$L$112,A126&amp;" / "&amp;B126,'2024'!$K$24:$K$112,1)+COUNTIFS('2025'!$L$24:$L$112,A126&amp;" / "&amp;B126,'2025'!$K$24:$K$112,1)</x:f>
        <x:v>0</x:v>
      </x:c>
      <x:c r="G126" s="25" t="n">
        <x:f>SUMIFS('2015'!$E$24:$E$96,'2015'!$L$24:$L$96,A126&amp;" / "&amp;B126,'2015'!$C$24:$C$96,A126)+SUMIFS('2015'!$H$24:$H$96,'2015'!$L$24:$L$96,A126&amp;" / "&amp;B126,'2015'!$F$24:$F$96,A126)+SUMIFS('2016'!$E$24:$E$96,'2016'!$L$24:$L$96,A126&amp;" / "&amp;B126,'2016'!$C$24:$C$96,A126)+SUMIFS('2016'!$H$24:$H$96,'2016'!$L$24:$L$96,A126&amp;" / "&amp;B126,'2016'!$F$24:$F$96,A126)+SUMIFS('2017'!$E$24:$E$106,'2017'!$L$24:$L$106,A126&amp;" / "&amp;B126,'2017'!$C$24:$C$106,A126)+SUMIFS('2017'!$H$24:$H$106,'2017'!$L$24:$L$106,A126&amp;" / "&amp;B126,'2017'!$F$24:$F$106,A126)+SUMIFS('2018'!$E$24:$E$106,'2018'!$L$24:$L$106,A126&amp;" / "&amp;B126,'2018'!$C$24:$C$106,A126)+SUMIFS('2018'!$H$24:$H$106,'2018'!$L$24:$L$106,A126&amp;" / "&amp;B126,'2018'!$F$24:$F$106,A126)+SUMIFS('2019'!$E$24:$E$106,'2019'!$L$24:$L$106,A126&amp;" / "&amp;B126,'2019'!$C$24:$C$106,A126)+SUMIFS('2019'!$H$24:$H$106,'2019'!$L$24:$L$106,A126&amp;" / "&amp;B126,'2019'!$F$24:$F$106,A126)+SUMIFS('2020'!$E$24:$E$106,'2020'!$L$24:$L$106,A126&amp;" / "&amp;B126,'2020'!$C$24:$C$106,A126)+SUMIFS('2020'!$H$24:$H$106,'2020'!$L$24:$L$106,A126&amp;" / "&amp;B126,'2020'!$F$24:$F$106,A126)+SUMIFS('2021'!$E$24:$E$112,'2021'!$L$24:$L$112,A126&amp;" / "&amp;B126,'2021'!$C$24:$C$112,A126)+SUMIFS('2021'!$H$24:$H$112,'2021'!$L$24:$L$112,A126&amp;" / "&amp;B126,'2021'!$F$24:$F$112,A126)+SUMIFS('2022'!$E$24:$E$112,'2022'!$L$24:$L$112,A126&amp;" / "&amp;B126,'2022'!$C$24:$C$112,A126)+SUMIFS('2022'!$H$24:$H$112,'2022'!$L$24:$L$112,A126&amp;" / "&amp;B126,'2022'!$F$24:$F$112,A126)+SUMIFS('2023'!$E$24:$E$112,'2023'!$L$24:$L$112,A126&amp;" / "&amp;B126,'2023'!$C$24:$C$112,A126)+SUMIFS('2023'!$H$24:$H$112,'2023'!$L$24:$L$112,A126&amp;" / "&amp;B126,'2023'!$F$24:$F$112,A126)+SUMIFS('2024'!$E$24:$E$112,'2024'!$L$24:$L$112,A126&amp;" / "&amp;B126,'2024'!$C$24:$C$112,A126)+SUMIFS('2024'!$H$24:$H$112,'2024'!$L$24:$L$112,A126&amp;" / "&amp;B126,'2024'!$F$24:$F$112,A126)+SUMIFS('2025'!$E$24:$E$112,'2025'!$L$24:$L$112,A126&amp;" / "&amp;B126,'2025'!$C$24:$C$112,A126)+SUMIFS('2025'!$H$24:$H$112,'2025'!$L$24:$L$112,A126&amp;" / "&amp;B126,'2025'!$F$24:$F$112,A126)</x:f>
        <x:v>694</x:v>
      </x:c>
      <x:c r="H126" s="25" t="n">
        <x:f>SUMIFS('2015'!$E$24:$E$96,'2015'!$L$24:$L$96,A126&amp;" / "&amp;B126,'2015'!$C$24:$C$96,B126)+SUMIFS('2015'!$H$24:$H$96,'2015'!$L$24:$L$96,A126&amp;" / "&amp;B126,'2015'!$F$24:$F$96,B126)+SUMIFS('2016'!$E$24:$E$96,'2016'!$L$24:$L$96,A126&amp;" / "&amp;B126,'2016'!$C$24:$C$96,B126)+SUMIFS('2016'!$H$24:$H$96,'2016'!$L$24:$L$96,A126&amp;" / "&amp;B126,'2016'!$F$24:$F$96,B126)+SUMIFS('2017'!$E$24:$E$106,'2017'!$L$24:$L$106,A126&amp;" / "&amp;B126,'2017'!$C$24:$C$106,B126)+SUMIFS('2017'!$H$24:$H$106,'2017'!$L$24:$L$106,A126&amp;" / "&amp;B126,'2017'!$F$24:$F$106,B126)+SUMIFS('2018'!$E$24:$E$106,'2018'!$L$24:$L$106,A126&amp;" / "&amp;B126,'2018'!$C$24:$C$106,B126)+SUMIFS('2018'!$H$24:$H$106,'2018'!$L$24:$L$106,A126&amp;" / "&amp;B126,'2018'!$F$24:$F$106,B126)+SUMIFS('2019'!$E$24:$E$106,'2019'!$L$24:$L$106,A126&amp;" / "&amp;B126,'2019'!$C$24:$C$106,B126)+SUMIFS('2019'!$H$24:$H$106,'2019'!$L$24:$L$106,A126&amp;" / "&amp;B126,'2019'!$F$24:$F$106,B126)+SUMIFS('2020'!$E$24:$E$106,'2020'!$L$24:$L$106,A126&amp;" / "&amp;B126,'2020'!$C$24:$C$106,B126)+SUMIFS('2020'!$H$24:$H$106,'2020'!$L$24:$L$106,A126&amp;" / "&amp;B126,'2020'!$F$24:$F$106,B126)+SUMIFS('2021'!$E$24:$E$112,'2021'!$L$24:$L$112,A126&amp;" / "&amp;B126,'2021'!$C$24:$C$112,B126)+SUMIFS('2021'!$H$24:$H$112,'2021'!$L$24:$L$112,A126&amp;" / "&amp;B126,'2021'!$F$24:$F$112,B126)+SUMIFS('2022'!$E$24:$E$112,'2022'!$L$24:$L$112,A126&amp;" / "&amp;B126,'2022'!$C$24:$C$112,B126)+SUMIFS('2022'!$H$24:$H$112,'2022'!$L$24:$L$112,A126&amp;" / "&amp;B126,'2022'!$F$24:$F$112,B126)+SUMIFS('2023'!$E$24:$E$112,'2023'!$L$24:$L$112,A126&amp;" / "&amp;B126,'2023'!$C$24:$C$112,B126)+SUMIFS('2023'!$H$24:$H$112,'2023'!$L$24:$L$112,A126&amp;" / "&amp;B126,'2023'!$F$24:$F$112,B126)+SUMIFS('2024'!$E$24:$E$112,'2024'!$L$24:$L$112,A126&amp;" / "&amp;B126,'2024'!$C$24:$C$112,B126)+SUMIFS('2024'!$H$24:$H$112,'2024'!$L$24:$L$112,A126&amp;" / "&amp;B126,'2024'!$F$24:$F$112,B126)+SUMIFS('2025'!$E$24:$E$112,'2025'!$L$24:$L$112,A126&amp;" / "&amp;B126,'2025'!$C$24:$C$112,B126)+SUMIFS('2025'!$H$24:$H$112,'2025'!$L$24:$L$112,A126&amp;" / "&amp;B126,'2025'!$F$24:$F$112,B126)</x:f>
        <x:v>536</x:v>
      </x:c>
      <x:c r="I126" s="11" t="n">
        <x:f>IF(C126=0,0,(D126+0.5*F126)/C126)</x:f>
        <x:v>0.8</x:v>
      </x:c>
      <x:c r="J126" s="2" t="n">
        <x:f>COUNTIFS('2015'!$L$24:$L$96,A126&amp;" / "&amp;B126,'2015'!$B$24:$B$96,"Regular")+COUNTIFS('2016'!$L$24:$L$96,A126&amp;" / "&amp;B126,'2016'!$B$24:$B$96,"Regular")+COUNTIFS('2017'!$L$24:$L$106,A126&amp;" / "&amp;B126,'2017'!$B$24:$B$106,"Regular")+COUNTIFS('2018'!$L$24:$L$106,A126&amp;" / "&amp;B126,'2018'!$B$24:$B$106,"Regular")+COUNTIFS('2019'!$L$24:$L$106,A126&amp;" / "&amp;B126,'2019'!$B$24:$B$106,"Regular")+COUNTIFS('2020'!$L$24:$L$106,A126&amp;" / "&amp;B126,'2020'!$B$24:$B$106,"Regular")+COUNTIFS('2021'!$L$24:$L$112,A126&amp;" / "&amp;B126,'2021'!$B$24:$B$112,"Regular")+COUNTIFS('2022'!$L$24:$L$112,A126&amp;" / "&amp;B126,'2022'!$B$24:$B$112,"Regular")+COUNTIFS('2023'!$L$24:$L$112,A126&amp;" / "&amp;B126,'2023'!$B$24:$B$112,"Regular")+COUNTIFS('2024'!$L$24:$L$112,A126&amp;" / "&amp;B126,'2024'!$B$24:$B$112,"Regular")+COUNTIFS('2025'!$L$24:$L$112,A126&amp;" / "&amp;B126,'2025'!$B$24:$B$112,"Regular")</x:f>
        <x:v>4</x:v>
      </x:c>
      <x:c r="K126" s="2" t="n">
        <x:f>COUNTIFS('2015'!$L$24:$L$96,A126&amp;" / "&amp;B126,'2015'!$B$24:$B$96,"Playoffs")+COUNTIFS('2016'!$L$24:$L$96,A126&amp;" / "&amp;B126,'2016'!$B$24:$B$96,"Playoffs")+COUNTIFS('2017'!$L$24:$L$106,A126&amp;" / "&amp;B126,'2017'!$B$24:$B$106,"Playoffs")+COUNTIFS('2018'!$L$24:$L$106,A126&amp;" / "&amp;B126,'2018'!$B$24:$B$106,"Playoffs")+COUNTIFS('2019'!$L$24:$L$106,A126&amp;" / "&amp;B126,'2019'!$B$24:$B$106,"Playoffs")+COUNTIFS('2020'!$L$24:$L$106,A126&amp;" / "&amp;B126,'2020'!$B$24:$B$106,"Playoffs")+COUNTIFS('2021'!$L$24:$L$112,A126&amp;" / "&amp;B126,'2021'!$B$24:$B$112,"Playoffs")+COUNTIFS('2022'!$L$24:$L$112,A126&amp;" / "&amp;B126,'2022'!$B$24:$B$112,"Playoffs")+COUNTIFS('2023'!$L$24:$L$112,A126&amp;" / "&amp;B126,'2023'!$B$24:$B$112,"Playoffs")+COUNTIFS('2024'!$L$24:$L$112,A126&amp;" / "&amp;B126,'2024'!$B$24:$B$112,"Playoffs")+COUNTIFS('2025'!$L$24:$L$112,A126&amp;" / "&amp;B126,'2025'!$B$24:$B$112,"Playoffs")</x:f>
        <x:v>1</x:v>
      </x:c>
      <x:c r="L126" s="2" t="n">
        <x:f>COUNTIFS('2015'!$L$24:$L$96,A126&amp;" / "&amp;B126,'2015'!$B$24:$B$96,"Unconfirmed")+COUNTIFS('2016'!$L$24:$L$96,A126&amp;" / "&amp;B126,'2016'!$B$24:$B$96,"Unconfirmed")+COUNTIFS('2017'!$L$24:$L$106,A126&amp;" / "&amp;B126,'2017'!$B$24:$B$106,"Unconfirmed")+COUNTIFS('2018'!$L$24:$L$106,A126&amp;" / "&amp;B126,'2018'!$B$24:$B$106,"Unconfirmed")+COUNTIFS('2019'!$L$24:$L$106,A126&amp;" / "&amp;B126,'2019'!$B$24:$B$106,"Unconfirmed")+COUNTIFS('2020'!$L$24:$L$106,A126&amp;" / "&amp;B126,'2020'!$B$24:$B$106,"Unconfirmed")+COUNTIFS('2021'!$L$24:$L$112,A126&amp;" / "&amp;B126,'2021'!$B$24:$B$112,"Unconfirmed")+COUNTIFS('2022'!$L$24:$L$112,A126&amp;" / "&amp;B126,'2022'!$B$24:$B$112,"Unconfirmed")+COUNTIFS('2023'!$L$24:$L$112,A126&amp;" / "&amp;B126,'2023'!$B$24:$B$112,"Unconfirmed")+COUNTIFS('2024'!$L$24:$L$112,A126&amp;" / "&amp;B126,'2024'!$B$24:$B$112,"Unconfirmed")+COUNTIFS('2025'!$L$24:$L$112,A126&amp;" / "&amp;B126,'2025'!$B$24:$B$112,"Unconfirmed")</x:f>
        <x:v>0</x:v>
      </x:c>
    </x:row>
    <x:row r="127" ht="22" customHeight="1">
      <x:c r="A127" s="2" t="str">
        <x:v>Josh</x:v>
      </x:c>
      <x:c r="B127" s="2" t="str">
        <x:v>Mark</x:v>
      </x:c>
      <x:c r="C127" s="2" t="n">
        <x:f>COUNTIFS('2015'!$L$24:$L$96,A127&amp;" / "&amp;B127)+COUNTIFS('2016'!$L$24:$L$96,A127&amp;" / "&amp;B127)+COUNTIFS('2017'!$L$24:$L$106,A127&amp;" / "&amp;B127)+COUNTIFS('2018'!$L$24:$L$106,A127&amp;" / "&amp;B127)+COUNTIFS('2019'!$L$24:$L$106,A127&amp;" / "&amp;B127)+COUNTIFS('2020'!$L$24:$L$106,A127&amp;" / "&amp;B127)+COUNTIFS('2021'!$L$24:$L$112,A127&amp;" / "&amp;B127)+COUNTIFS('2022'!$L$24:$L$112,A127&amp;" / "&amp;B127)+COUNTIFS('2023'!$L$24:$L$112,A127&amp;" / "&amp;B127)+COUNTIFS('2024'!$L$24:$L$112,A127&amp;" / "&amp;B127)+COUNTIFS('2025'!$L$24:$L$112,A127&amp;" / "&amp;B127)</x:f>
        <x:v>15</x:v>
      </x:c>
      <x:c r="D127" s="2" t="n">
        <x:f>COUNTIFS('2015'!$L$24:$L$96,A127&amp;" / "&amp;B127,'2015'!$I$24:$I$96,A127)+COUNTIFS('2016'!$L$24:$L$96,A127&amp;" / "&amp;B127,'2016'!$I$24:$I$96,A127)+COUNTIFS('2017'!$L$24:$L$106,A127&amp;" / "&amp;B127,'2017'!$I$24:$I$106,A127)+COUNTIFS('2018'!$L$24:$L$106,A127&amp;" / "&amp;B127,'2018'!$I$24:$I$106,A127)+COUNTIFS('2019'!$L$24:$L$106,A127&amp;" / "&amp;B127,'2019'!$I$24:$I$106,A127)+COUNTIFS('2020'!$L$24:$L$106,A127&amp;" / "&amp;B127,'2020'!$I$24:$I$106,A127)+COUNTIFS('2021'!$L$24:$L$112,A127&amp;" / "&amp;B127,'2021'!$I$24:$I$112,A127)+COUNTIFS('2022'!$L$24:$L$112,A127&amp;" / "&amp;B127,'2022'!$I$24:$I$112,A127)+COUNTIFS('2023'!$L$24:$L$112,A127&amp;" / "&amp;B127,'2023'!$I$24:$I$112,A127)+COUNTIFS('2024'!$L$24:$L$112,A127&amp;" / "&amp;B127,'2024'!$I$24:$I$112,A127)+COUNTIFS('2025'!$L$24:$L$112,A127&amp;" / "&amp;B127,'2025'!$I$24:$I$112,A127)</x:f>
        <x:v>10</x:v>
      </x:c>
      <x:c r="E127" s="2" t="n">
        <x:f>COUNTIFS('2015'!$L$24:$L$96,A127&amp;" / "&amp;B127,'2015'!$I$24:$I$96,B127)+COUNTIFS('2016'!$L$24:$L$96,A127&amp;" / "&amp;B127,'2016'!$I$24:$I$96,B127)+COUNTIFS('2017'!$L$24:$L$106,A127&amp;" / "&amp;B127,'2017'!$I$24:$I$106,B127)+COUNTIFS('2018'!$L$24:$L$106,A127&amp;" / "&amp;B127,'2018'!$I$24:$I$106,B127)+COUNTIFS('2019'!$L$24:$L$106,A127&amp;" / "&amp;B127,'2019'!$I$24:$I$106,B127)+COUNTIFS('2020'!$L$24:$L$106,A127&amp;" / "&amp;B127,'2020'!$I$24:$I$106,B127)+COUNTIFS('2021'!$L$24:$L$112,A127&amp;" / "&amp;B127,'2021'!$I$24:$I$112,B127)+COUNTIFS('2022'!$L$24:$L$112,A127&amp;" / "&amp;B127,'2022'!$I$24:$I$112,B127)+COUNTIFS('2023'!$L$24:$L$112,A127&amp;" / "&amp;B127,'2023'!$I$24:$I$112,B127)+COUNTIFS('2024'!$L$24:$L$112,A127&amp;" / "&amp;B127,'2024'!$I$24:$I$112,B127)+COUNTIFS('2025'!$L$24:$L$112,A127&amp;" / "&amp;B127,'2025'!$I$24:$I$112,B127)</x:f>
        <x:v>5</x:v>
      </x:c>
      <x:c r="F127" s="2" t="n">
        <x:f>COUNTIFS('2015'!$L$24:$L$96,A127&amp;" / "&amp;B127,'2015'!$K$24:$K$96,1)+COUNTIFS('2016'!$L$24:$L$96,A127&amp;" / "&amp;B127,'2016'!$K$24:$K$96,1)+COUNTIFS('2017'!$L$24:$L$106,A127&amp;" / "&amp;B127,'2017'!$K$24:$K$106,1)+COUNTIFS('2018'!$L$24:$L$106,A127&amp;" / "&amp;B127,'2018'!$K$24:$K$106,1)+COUNTIFS('2019'!$L$24:$L$106,A127&amp;" / "&amp;B127,'2019'!$K$24:$K$106,1)+COUNTIFS('2020'!$L$24:$L$106,A127&amp;" / "&amp;B127,'2020'!$K$24:$K$106,1)+COUNTIFS('2021'!$L$24:$L$112,A127&amp;" / "&amp;B127,'2021'!$K$24:$K$112,1)+COUNTIFS('2022'!$L$24:$L$112,A127&amp;" / "&amp;B127,'2022'!$K$24:$K$112,1)+COUNTIFS('2023'!$L$24:$L$112,A127&amp;" / "&amp;B127,'2023'!$K$24:$K$112,1)+COUNTIFS('2024'!$L$24:$L$112,A127&amp;" / "&amp;B127,'2024'!$K$24:$K$112,1)+COUNTIFS('2025'!$L$24:$L$112,A127&amp;" / "&amp;B127,'2025'!$K$24:$K$112,1)</x:f>
        <x:v>0</x:v>
      </x:c>
      <x:c r="G127" s="25" t="n">
        <x:f>SUMIFS('2015'!$E$24:$E$96,'2015'!$L$24:$L$96,A127&amp;" / "&amp;B127,'2015'!$C$24:$C$96,A127)+SUMIFS('2015'!$H$24:$H$96,'2015'!$L$24:$L$96,A127&amp;" / "&amp;B127,'2015'!$F$24:$F$96,A127)+SUMIFS('2016'!$E$24:$E$96,'2016'!$L$24:$L$96,A127&amp;" / "&amp;B127,'2016'!$C$24:$C$96,A127)+SUMIFS('2016'!$H$24:$H$96,'2016'!$L$24:$L$96,A127&amp;" / "&amp;B127,'2016'!$F$24:$F$96,A127)+SUMIFS('2017'!$E$24:$E$106,'2017'!$L$24:$L$106,A127&amp;" / "&amp;B127,'2017'!$C$24:$C$106,A127)+SUMIFS('2017'!$H$24:$H$106,'2017'!$L$24:$L$106,A127&amp;" / "&amp;B127,'2017'!$F$24:$F$106,A127)+SUMIFS('2018'!$E$24:$E$106,'2018'!$L$24:$L$106,A127&amp;" / "&amp;B127,'2018'!$C$24:$C$106,A127)+SUMIFS('2018'!$H$24:$H$106,'2018'!$L$24:$L$106,A127&amp;" / "&amp;B127,'2018'!$F$24:$F$106,A127)+SUMIFS('2019'!$E$24:$E$106,'2019'!$L$24:$L$106,A127&amp;" / "&amp;B127,'2019'!$C$24:$C$106,A127)+SUMIFS('2019'!$H$24:$H$106,'2019'!$L$24:$L$106,A127&amp;" / "&amp;B127,'2019'!$F$24:$F$106,A127)+SUMIFS('2020'!$E$24:$E$106,'2020'!$L$24:$L$106,A127&amp;" / "&amp;B127,'2020'!$C$24:$C$106,A127)+SUMIFS('2020'!$H$24:$H$106,'2020'!$L$24:$L$106,A127&amp;" / "&amp;B127,'2020'!$F$24:$F$106,A127)+SUMIFS('2021'!$E$24:$E$112,'2021'!$L$24:$L$112,A127&amp;" / "&amp;B127,'2021'!$C$24:$C$112,A127)+SUMIFS('2021'!$H$24:$H$112,'2021'!$L$24:$L$112,A127&amp;" / "&amp;B127,'2021'!$F$24:$F$112,A127)+SUMIFS('2022'!$E$24:$E$112,'2022'!$L$24:$L$112,A127&amp;" / "&amp;B127,'2022'!$C$24:$C$112,A127)+SUMIFS('2022'!$H$24:$H$112,'2022'!$L$24:$L$112,A127&amp;" / "&amp;B127,'2022'!$F$24:$F$112,A127)+SUMIFS('2023'!$E$24:$E$112,'2023'!$L$24:$L$112,A127&amp;" / "&amp;B127,'2023'!$C$24:$C$112,A127)+SUMIFS('2023'!$H$24:$H$112,'2023'!$L$24:$L$112,A127&amp;" / "&amp;B127,'2023'!$F$24:$F$112,A127)+SUMIFS('2024'!$E$24:$E$112,'2024'!$L$24:$L$112,A127&amp;" / "&amp;B127,'2024'!$C$24:$C$112,A127)+SUMIFS('2024'!$H$24:$H$112,'2024'!$L$24:$L$112,A127&amp;" / "&amp;B127,'2024'!$F$24:$F$112,A127)+SUMIFS('2025'!$E$24:$E$112,'2025'!$L$24:$L$112,A127&amp;" / "&amp;B127,'2025'!$C$24:$C$112,A127)+SUMIFS('2025'!$H$24:$H$112,'2025'!$L$24:$L$112,A127&amp;" / "&amp;B127,'2025'!$F$24:$F$112,A127)</x:f>
        <x:v>1714.95</x:v>
      </x:c>
      <x:c r="H127" s="25" t="n">
        <x:f>SUMIFS('2015'!$E$24:$E$96,'2015'!$L$24:$L$96,A127&amp;" / "&amp;B127,'2015'!$C$24:$C$96,B127)+SUMIFS('2015'!$H$24:$H$96,'2015'!$L$24:$L$96,A127&amp;" / "&amp;B127,'2015'!$F$24:$F$96,B127)+SUMIFS('2016'!$E$24:$E$96,'2016'!$L$24:$L$96,A127&amp;" / "&amp;B127,'2016'!$C$24:$C$96,B127)+SUMIFS('2016'!$H$24:$H$96,'2016'!$L$24:$L$96,A127&amp;" / "&amp;B127,'2016'!$F$24:$F$96,B127)+SUMIFS('2017'!$E$24:$E$106,'2017'!$L$24:$L$106,A127&amp;" / "&amp;B127,'2017'!$C$24:$C$106,B127)+SUMIFS('2017'!$H$24:$H$106,'2017'!$L$24:$L$106,A127&amp;" / "&amp;B127,'2017'!$F$24:$F$106,B127)+SUMIFS('2018'!$E$24:$E$106,'2018'!$L$24:$L$106,A127&amp;" / "&amp;B127,'2018'!$C$24:$C$106,B127)+SUMIFS('2018'!$H$24:$H$106,'2018'!$L$24:$L$106,A127&amp;" / "&amp;B127,'2018'!$F$24:$F$106,B127)+SUMIFS('2019'!$E$24:$E$106,'2019'!$L$24:$L$106,A127&amp;" / "&amp;B127,'2019'!$C$24:$C$106,B127)+SUMIFS('2019'!$H$24:$H$106,'2019'!$L$24:$L$106,A127&amp;" / "&amp;B127,'2019'!$F$24:$F$106,B127)+SUMIFS('2020'!$E$24:$E$106,'2020'!$L$24:$L$106,A127&amp;" / "&amp;B127,'2020'!$C$24:$C$106,B127)+SUMIFS('2020'!$H$24:$H$106,'2020'!$L$24:$L$106,A127&amp;" / "&amp;B127,'2020'!$F$24:$F$106,B127)+SUMIFS('2021'!$E$24:$E$112,'2021'!$L$24:$L$112,A127&amp;" / "&amp;B127,'2021'!$C$24:$C$112,B127)+SUMIFS('2021'!$H$24:$H$112,'2021'!$L$24:$L$112,A127&amp;" / "&amp;B127,'2021'!$F$24:$F$112,B127)+SUMIFS('2022'!$E$24:$E$112,'2022'!$L$24:$L$112,A127&amp;" / "&amp;B127,'2022'!$C$24:$C$112,B127)+SUMIFS('2022'!$H$24:$H$112,'2022'!$L$24:$L$112,A127&amp;" / "&amp;B127,'2022'!$F$24:$F$112,B127)+SUMIFS('2023'!$E$24:$E$112,'2023'!$L$24:$L$112,A127&amp;" / "&amp;B127,'2023'!$C$24:$C$112,B127)+SUMIFS('2023'!$H$24:$H$112,'2023'!$L$24:$L$112,A127&amp;" / "&amp;B127,'2023'!$F$24:$F$112,B127)+SUMIFS('2024'!$E$24:$E$112,'2024'!$L$24:$L$112,A127&amp;" / "&amp;B127,'2024'!$C$24:$C$112,B127)+SUMIFS('2024'!$H$24:$H$112,'2024'!$L$24:$L$112,A127&amp;" / "&amp;B127,'2024'!$F$24:$F$112,B127)+SUMIFS('2025'!$E$24:$E$112,'2025'!$L$24:$L$112,A127&amp;" / "&amp;B127,'2025'!$C$24:$C$112,B127)+SUMIFS('2025'!$H$24:$H$112,'2025'!$L$24:$L$112,A127&amp;" / "&amp;B127,'2025'!$F$24:$F$112,B127)</x:f>
        <x:v>1653.3500000000001</x:v>
      </x:c>
      <x:c r="I127" s="11" t="n">
        <x:f>IF(C127=0,0,(D127+0.5*F127)/C127)</x:f>
        <x:v>0.6666666666666666</x:v>
      </x:c>
      <x:c r="J127" s="2" t="n">
        <x:f>COUNTIFS('2015'!$L$24:$L$96,A127&amp;" / "&amp;B127,'2015'!$B$24:$B$96,"Regular")+COUNTIFS('2016'!$L$24:$L$96,A127&amp;" / "&amp;B127,'2016'!$B$24:$B$96,"Regular")+COUNTIFS('2017'!$L$24:$L$106,A127&amp;" / "&amp;B127,'2017'!$B$24:$B$106,"Regular")+COUNTIFS('2018'!$L$24:$L$106,A127&amp;" / "&amp;B127,'2018'!$B$24:$B$106,"Regular")+COUNTIFS('2019'!$L$24:$L$106,A127&amp;" / "&amp;B127,'2019'!$B$24:$B$106,"Regular")+COUNTIFS('2020'!$L$24:$L$106,A127&amp;" / "&amp;B127,'2020'!$B$24:$B$106,"Regular")+COUNTIFS('2021'!$L$24:$L$112,A127&amp;" / "&amp;B127,'2021'!$B$24:$B$112,"Regular")+COUNTIFS('2022'!$L$24:$L$112,A127&amp;" / "&amp;B127,'2022'!$B$24:$B$112,"Regular")+COUNTIFS('2023'!$L$24:$L$112,A127&amp;" / "&amp;B127,'2023'!$B$24:$B$112,"Regular")+COUNTIFS('2024'!$L$24:$L$112,A127&amp;" / "&amp;B127,'2024'!$B$24:$B$112,"Regular")+COUNTIFS('2025'!$L$24:$L$112,A127&amp;" / "&amp;B127,'2025'!$B$24:$B$112,"Regular")</x:f>
        <x:v>15</x:v>
      </x:c>
      <x:c r="K127" s="2" t="n">
        <x:f>COUNTIFS('2015'!$L$24:$L$96,A127&amp;" / "&amp;B127,'2015'!$B$24:$B$96,"Playoffs")+COUNTIFS('2016'!$L$24:$L$96,A127&amp;" / "&amp;B127,'2016'!$B$24:$B$96,"Playoffs")+COUNTIFS('2017'!$L$24:$L$106,A127&amp;" / "&amp;B127,'2017'!$B$24:$B$106,"Playoffs")+COUNTIFS('2018'!$L$24:$L$106,A127&amp;" / "&amp;B127,'2018'!$B$24:$B$106,"Playoffs")+COUNTIFS('2019'!$L$24:$L$106,A127&amp;" / "&amp;B127,'2019'!$B$24:$B$106,"Playoffs")+COUNTIFS('2020'!$L$24:$L$106,A127&amp;" / "&amp;B127,'2020'!$B$24:$B$106,"Playoffs")+COUNTIFS('2021'!$L$24:$L$112,A127&amp;" / "&amp;B127,'2021'!$B$24:$B$112,"Playoffs")+COUNTIFS('2022'!$L$24:$L$112,A127&amp;" / "&amp;B127,'2022'!$B$24:$B$112,"Playoffs")+COUNTIFS('2023'!$L$24:$L$112,A127&amp;" / "&amp;B127,'2023'!$B$24:$B$112,"Playoffs")+COUNTIFS('2024'!$L$24:$L$112,A127&amp;" / "&amp;B127,'2024'!$B$24:$B$112,"Playoffs")+COUNTIFS('2025'!$L$24:$L$112,A127&amp;" / "&amp;B127,'2025'!$B$24:$B$112,"Playoffs")</x:f>
        <x:v>0</x:v>
      </x:c>
      <x:c r="L127" s="2" t="n">
        <x:f>COUNTIFS('2015'!$L$24:$L$96,A127&amp;" / "&amp;B127,'2015'!$B$24:$B$96,"Unconfirmed")+COUNTIFS('2016'!$L$24:$L$96,A127&amp;" / "&amp;B127,'2016'!$B$24:$B$96,"Unconfirmed")+COUNTIFS('2017'!$L$24:$L$106,A127&amp;" / "&amp;B127,'2017'!$B$24:$B$106,"Unconfirmed")+COUNTIFS('2018'!$L$24:$L$106,A127&amp;" / "&amp;B127,'2018'!$B$24:$B$106,"Unconfirmed")+COUNTIFS('2019'!$L$24:$L$106,A127&amp;" / "&amp;B127,'2019'!$B$24:$B$106,"Unconfirmed")+COUNTIFS('2020'!$L$24:$L$106,A127&amp;" / "&amp;B127,'2020'!$B$24:$B$106,"Unconfirmed")+COUNTIFS('2021'!$L$24:$L$112,A127&amp;" / "&amp;B127,'2021'!$B$24:$B$112,"Unconfirmed")+COUNTIFS('2022'!$L$24:$L$112,A127&amp;" / "&amp;B127,'2022'!$B$24:$B$112,"Unconfirmed")+COUNTIFS('2023'!$L$24:$L$112,A127&amp;" / "&amp;B127,'2023'!$B$24:$B$112,"Unconfirmed")+COUNTIFS('2024'!$L$24:$L$112,A127&amp;" / "&amp;B127,'2024'!$B$24:$B$112,"Unconfirmed")+COUNTIFS('2025'!$L$24:$L$112,A127&amp;" / "&amp;B127,'2025'!$B$24:$B$112,"Unconfirmed")</x:f>
        <x:v>0</x:v>
      </x:c>
    </x:row>
    <x:row r="128" ht="22" customHeight="1">
      <x:c r="A128" s="2" t="str">
        <x:v>Josh</x:v>
      </x:c>
      <x:c r="B128" s="2" t="str">
        <x:v>Matt</x:v>
      </x:c>
      <x:c r="C128" s="2" t="n">
        <x:f>COUNTIFS('2015'!$L$24:$L$96,A128&amp;" / "&amp;B128)+COUNTIFS('2016'!$L$24:$L$96,A128&amp;" / "&amp;B128)+COUNTIFS('2017'!$L$24:$L$106,A128&amp;" / "&amp;B128)+COUNTIFS('2018'!$L$24:$L$106,A128&amp;" / "&amp;B128)+COUNTIFS('2019'!$L$24:$L$106,A128&amp;" / "&amp;B128)+COUNTIFS('2020'!$L$24:$L$106,A128&amp;" / "&amp;B128)+COUNTIFS('2021'!$L$24:$L$112,A128&amp;" / "&amp;B128)+COUNTIFS('2022'!$L$24:$L$112,A128&amp;" / "&amp;B128)+COUNTIFS('2023'!$L$24:$L$112,A128&amp;" / "&amp;B128)+COUNTIFS('2024'!$L$24:$L$112,A128&amp;" / "&amp;B128)+COUNTIFS('2025'!$L$24:$L$112,A128&amp;" / "&amp;B128)</x:f>
        <x:v>15</x:v>
      </x:c>
      <x:c r="D128" s="2" t="n">
        <x:f>COUNTIFS('2015'!$L$24:$L$96,A128&amp;" / "&amp;B128,'2015'!$I$24:$I$96,A128)+COUNTIFS('2016'!$L$24:$L$96,A128&amp;" / "&amp;B128,'2016'!$I$24:$I$96,A128)+COUNTIFS('2017'!$L$24:$L$106,A128&amp;" / "&amp;B128,'2017'!$I$24:$I$106,A128)+COUNTIFS('2018'!$L$24:$L$106,A128&amp;" / "&amp;B128,'2018'!$I$24:$I$106,A128)+COUNTIFS('2019'!$L$24:$L$106,A128&amp;" / "&amp;B128,'2019'!$I$24:$I$106,A128)+COUNTIFS('2020'!$L$24:$L$106,A128&amp;" / "&amp;B128,'2020'!$I$24:$I$106,A128)+COUNTIFS('2021'!$L$24:$L$112,A128&amp;" / "&amp;B128,'2021'!$I$24:$I$112,A128)+COUNTIFS('2022'!$L$24:$L$112,A128&amp;" / "&amp;B128,'2022'!$I$24:$I$112,A128)+COUNTIFS('2023'!$L$24:$L$112,A128&amp;" / "&amp;B128,'2023'!$I$24:$I$112,A128)+COUNTIFS('2024'!$L$24:$L$112,A128&amp;" / "&amp;B128,'2024'!$I$24:$I$112,A128)+COUNTIFS('2025'!$L$24:$L$112,A128&amp;" / "&amp;B128,'2025'!$I$24:$I$112,A128)</x:f>
        <x:v>9</x:v>
      </x:c>
      <x:c r="E128" s="2" t="n">
        <x:f>COUNTIFS('2015'!$L$24:$L$96,A128&amp;" / "&amp;B128,'2015'!$I$24:$I$96,B128)+COUNTIFS('2016'!$L$24:$L$96,A128&amp;" / "&amp;B128,'2016'!$I$24:$I$96,B128)+COUNTIFS('2017'!$L$24:$L$106,A128&amp;" / "&amp;B128,'2017'!$I$24:$I$106,B128)+COUNTIFS('2018'!$L$24:$L$106,A128&amp;" / "&amp;B128,'2018'!$I$24:$I$106,B128)+COUNTIFS('2019'!$L$24:$L$106,A128&amp;" / "&amp;B128,'2019'!$I$24:$I$106,B128)+COUNTIFS('2020'!$L$24:$L$106,A128&amp;" / "&amp;B128,'2020'!$I$24:$I$106,B128)+COUNTIFS('2021'!$L$24:$L$112,A128&amp;" / "&amp;B128,'2021'!$I$24:$I$112,B128)+COUNTIFS('2022'!$L$24:$L$112,A128&amp;" / "&amp;B128,'2022'!$I$24:$I$112,B128)+COUNTIFS('2023'!$L$24:$L$112,A128&amp;" / "&amp;B128,'2023'!$I$24:$I$112,B128)+COUNTIFS('2024'!$L$24:$L$112,A128&amp;" / "&amp;B128,'2024'!$I$24:$I$112,B128)+COUNTIFS('2025'!$L$24:$L$112,A128&amp;" / "&amp;B128,'2025'!$I$24:$I$112,B128)</x:f>
        <x:v>6</x:v>
      </x:c>
      <x:c r="F128" s="2" t="n">
        <x:f>COUNTIFS('2015'!$L$24:$L$96,A128&amp;" / "&amp;B128,'2015'!$K$24:$K$96,1)+COUNTIFS('2016'!$L$24:$L$96,A128&amp;" / "&amp;B128,'2016'!$K$24:$K$96,1)+COUNTIFS('2017'!$L$24:$L$106,A128&amp;" / "&amp;B128,'2017'!$K$24:$K$106,1)+COUNTIFS('2018'!$L$24:$L$106,A128&amp;" / "&amp;B128,'2018'!$K$24:$K$106,1)+COUNTIFS('2019'!$L$24:$L$106,A128&amp;" / "&amp;B128,'2019'!$K$24:$K$106,1)+COUNTIFS('2020'!$L$24:$L$106,A128&amp;" / "&amp;B128,'2020'!$K$24:$K$106,1)+COUNTIFS('2021'!$L$24:$L$112,A128&amp;" / "&amp;B128,'2021'!$K$24:$K$112,1)+COUNTIFS('2022'!$L$24:$L$112,A128&amp;" / "&amp;B128,'2022'!$K$24:$K$112,1)+COUNTIFS('2023'!$L$24:$L$112,A128&amp;" / "&amp;B128,'2023'!$K$24:$K$112,1)+COUNTIFS('2024'!$L$24:$L$112,A128&amp;" / "&amp;B128,'2024'!$K$24:$K$112,1)+COUNTIFS('2025'!$L$24:$L$112,A128&amp;" / "&amp;B128,'2025'!$K$24:$K$112,1)</x:f>
        <x:v>0</x:v>
      </x:c>
      <x:c r="G128" s="25" t="n">
        <x:f>SUMIFS('2015'!$E$24:$E$96,'2015'!$L$24:$L$96,A128&amp;" / "&amp;B128,'2015'!$C$24:$C$96,A128)+SUMIFS('2015'!$H$24:$H$96,'2015'!$L$24:$L$96,A128&amp;" / "&amp;B128,'2015'!$F$24:$F$96,A128)+SUMIFS('2016'!$E$24:$E$96,'2016'!$L$24:$L$96,A128&amp;" / "&amp;B128,'2016'!$C$24:$C$96,A128)+SUMIFS('2016'!$H$24:$H$96,'2016'!$L$24:$L$96,A128&amp;" / "&amp;B128,'2016'!$F$24:$F$96,A128)+SUMIFS('2017'!$E$24:$E$106,'2017'!$L$24:$L$106,A128&amp;" / "&amp;B128,'2017'!$C$24:$C$106,A128)+SUMIFS('2017'!$H$24:$H$106,'2017'!$L$24:$L$106,A128&amp;" / "&amp;B128,'2017'!$F$24:$F$106,A128)+SUMIFS('2018'!$E$24:$E$106,'2018'!$L$24:$L$106,A128&amp;" / "&amp;B128,'2018'!$C$24:$C$106,A128)+SUMIFS('2018'!$H$24:$H$106,'2018'!$L$24:$L$106,A128&amp;" / "&amp;B128,'2018'!$F$24:$F$106,A128)+SUMIFS('2019'!$E$24:$E$106,'2019'!$L$24:$L$106,A128&amp;" / "&amp;B128,'2019'!$C$24:$C$106,A128)+SUMIFS('2019'!$H$24:$H$106,'2019'!$L$24:$L$106,A128&amp;" / "&amp;B128,'2019'!$F$24:$F$106,A128)+SUMIFS('2020'!$E$24:$E$106,'2020'!$L$24:$L$106,A128&amp;" / "&amp;B128,'2020'!$C$24:$C$106,A128)+SUMIFS('2020'!$H$24:$H$106,'2020'!$L$24:$L$106,A128&amp;" / "&amp;B128,'2020'!$F$24:$F$106,A128)+SUMIFS('2021'!$E$24:$E$112,'2021'!$L$24:$L$112,A128&amp;" / "&amp;B128,'2021'!$C$24:$C$112,A128)+SUMIFS('2021'!$H$24:$H$112,'2021'!$L$24:$L$112,A128&amp;" / "&amp;B128,'2021'!$F$24:$F$112,A128)+SUMIFS('2022'!$E$24:$E$112,'2022'!$L$24:$L$112,A128&amp;" / "&amp;B128,'2022'!$C$24:$C$112,A128)+SUMIFS('2022'!$H$24:$H$112,'2022'!$L$24:$L$112,A128&amp;" / "&amp;B128,'2022'!$F$24:$F$112,A128)+SUMIFS('2023'!$E$24:$E$112,'2023'!$L$24:$L$112,A128&amp;" / "&amp;B128,'2023'!$C$24:$C$112,A128)+SUMIFS('2023'!$H$24:$H$112,'2023'!$L$24:$L$112,A128&amp;" / "&amp;B128,'2023'!$F$24:$F$112,A128)+SUMIFS('2024'!$E$24:$E$112,'2024'!$L$24:$L$112,A128&amp;" / "&amp;B128,'2024'!$C$24:$C$112,A128)+SUMIFS('2024'!$H$24:$H$112,'2024'!$L$24:$L$112,A128&amp;" / "&amp;B128,'2024'!$F$24:$F$112,A128)+SUMIFS('2025'!$E$24:$E$112,'2025'!$L$24:$L$112,A128&amp;" / "&amp;B128,'2025'!$C$24:$C$112,A128)+SUMIFS('2025'!$H$24:$H$112,'2025'!$L$24:$L$112,A128&amp;" / "&amp;B128,'2025'!$F$24:$F$112,A128)</x:f>
        <x:v>1807.85</x:v>
      </x:c>
      <x:c r="H128" s="25" t="n">
        <x:f>SUMIFS('2015'!$E$24:$E$96,'2015'!$L$24:$L$96,A128&amp;" / "&amp;B128,'2015'!$C$24:$C$96,B128)+SUMIFS('2015'!$H$24:$H$96,'2015'!$L$24:$L$96,A128&amp;" / "&amp;B128,'2015'!$F$24:$F$96,B128)+SUMIFS('2016'!$E$24:$E$96,'2016'!$L$24:$L$96,A128&amp;" / "&amp;B128,'2016'!$C$24:$C$96,B128)+SUMIFS('2016'!$H$24:$H$96,'2016'!$L$24:$L$96,A128&amp;" / "&amp;B128,'2016'!$F$24:$F$96,B128)+SUMIFS('2017'!$E$24:$E$106,'2017'!$L$24:$L$106,A128&amp;" / "&amp;B128,'2017'!$C$24:$C$106,B128)+SUMIFS('2017'!$H$24:$H$106,'2017'!$L$24:$L$106,A128&amp;" / "&amp;B128,'2017'!$F$24:$F$106,B128)+SUMIFS('2018'!$E$24:$E$106,'2018'!$L$24:$L$106,A128&amp;" / "&amp;B128,'2018'!$C$24:$C$106,B128)+SUMIFS('2018'!$H$24:$H$106,'2018'!$L$24:$L$106,A128&amp;" / "&amp;B128,'2018'!$F$24:$F$106,B128)+SUMIFS('2019'!$E$24:$E$106,'2019'!$L$24:$L$106,A128&amp;" / "&amp;B128,'2019'!$C$24:$C$106,B128)+SUMIFS('2019'!$H$24:$H$106,'2019'!$L$24:$L$106,A128&amp;" / "&amp;B128,'2019'!$F$24:$F$106,B128)+SUMIFS('2020'!$E$24:$E$106,'2020'!$L$24:$L$106,A128&amp;" / "&amp;B128,'2020'!$C$24:$C$106,B128)+SUMIFS('2020'!$H$24:$H$106,'2020'!$L$24:$L$106,A128&amp;" / "&amp;B128,'2020'!$F$24:$F$106,B128)+SUMIFS('2021'!$E$24:$E$112,'2021'!$L$24:$L$112,A128&amp;" / "&amp;B128,'2021'!$C$24:$C$112,B128)+SUMIFS('2021'!$H$24:$H$112,'2021'!$L$24:$L$112,A128&amp;" / "&amp;B128,'2021'!$F$24:$F$112,B128)+SUMIFS('2022'!$E$24:$E$112,'2022'!$L$24:$L$112,A128&amp;" / "&amp;B128,'2022'!$C$24:$C$112,B128)+SUMIFS('2022'!$H$24:$H$112,'2022'!$L$24:$L$112,A128&amp;" / "&amp;B128,'2022'!$F$24:$F$112,B128)+SUMIFS('2023'!$E$24:$E$112,'2023'!$L$24:$L$112,A128&amp;" / "&amp;B128,'2023'!$C$24:$C$112,B128)+SUMIFS('2023'!$H$24:$H$112,'2023'!$L$24:$L$112,A128&amp;" / "&amp;B128,'2023'!$F$24:$F$112,B128)+SUMIFS('2024'!$E$24:$E$112,'2024'!$L$24:$L$112,A128&amp;" / "&amp;B128,'2024'!$C$24:$C$112,B128)+SUMIFS('2024'!$H$24:$H$112,'2024'!$L$24:$L$112,A128&amp;" / "&amp;B128,'2024'!$F$24:$F$112,B128)+SUMIFS('2025'!$E$24:$E$112,'2025'!$L$24:$L$112,A128&amp;" / "&amp;B128,'2025'!$C$24:$C$112,B128)+SUMIFS('2025'!$H$24:$H$112,'2025'!$L$24:$L$112,A128&amp;" / "&amp;B128,'2025'!$F$24:$F$112,B128)</x:f>
        <x:v>1734.25</x:v>
      </x:c>
      <x:c r="I128" s="11" t="n">
        <x:f>IF(C128=0,0,(D128+0.5*F128)/C128)</x:f>
        <x:v>0.6</x:v>
      </x:c>
      <x:c r="J128" s="2" t="n">
        <x:f>COUNTIFS('2015'!$L$24:$L$96,A128&amp;" / "&amp;B128,'2015'!$B$24:$B$96,"Regular")+COUNTIFS('2016'!$L$24:$L$96,A128&amp;" / "&amp;B128,'2016'!$B$24:$B$96,"Regular")+COUNTIFS('2017'!$L$24:$L$106,A128&amp;" / "&amp;B128,'2017'!$B$24:$B$106,"Regular")+COUNTIFS('2018'!$L$24:$L$106,A128&amp;" / "&amp;B128,'2018'!$B$24:$B$106,"Regular")+COUNTIFS('2019'!$L$24:$L$106,A128&amp;" / "&amp;B128,'2019'!$B$24:$B$106,"Regular")+COUNTIFS('2020'!$L$24:$L$106,A128&amp;" / "&amp;B128,'2020'!$B$24:$B$106,"Regular")+COUNTIFS('2021'!$L$24:$L$112,A128&amp;" / "&amp;B128,'2021'!$B$24:$B$112,"Regular")+COUNTIFS('2022'!$L$24:$L$112,A128&amp;" / "&amp;B128,'2022'!$B$24:$B$112,"Regular")+COUNTIFS('2023'!$L$24:$L$112,A128&amp;" / "&amp;B128,'2023'!$B$24:$B$112,"Regular")+COUNTIFS('2024'!$L$24:$L$112,A128&amp;" / "&amp;B128,'2024'!$B$24:$B$112,"Regular")+COUNTIFS('2025'!$L$24:$L$112,A128&amp;" / "&amp;B128,'2025'!$B$24:$B$112,"Regular")</x:f>
        <x:v>12</x:v>
      </x:c>
      <x:c r="K128" s="2" t="n">
        <x:f>COUNTIFS('2015'!$L$24:$L$96,A128&amp;" / "&amp;B128,'2015'!$B$24:$B$96,"Playoffs")+COUNTIFS('2016'!$L$24:$L$96,A128&amp;" / "&amp;B128,'2016'!$B$24:$B$96,"Playoffs")+COUNTIFS('2017'!$L$24:$L$106,A128&amp;" / "&amp;B128,'2017'!$B$24:$B$106,"Playoffs")+COUNTIFS('2018'!$L$24:$L$106,A128&amp;" / "&amp;B128,'2018'!$B$24:$B$106,"Playoffs")+COUNTIFS('2019'!$L$24:$L$106,A128&amp;" / "&amp;B128,'2019'!$B$24:$B$106,"Playoffs")+COUNTIFS('2020'!$L$24:$L$106,A128&amp;" / "&amp;B128,'2020'!$B$24:$B$106,"Playoffs")+COUNTIFS('2021'!$L$24:$L$112,A128&amp;" / "&amp;B128,'2021'!$B$24:$B$112,"Playoffs")+COUNTIFS('2022'!$L$24:$L$112,A128&amp;" / "&amp;B128,'2022'!$B$24:$B$112,"Playoffs")+COUNTIFS('2023'!$L$24:$L$112,A128&amp;" / "&amp;B128,'2023'!$B$24:$B$112,"Playoffs")+COUNTIFS('2024'!$L$24:$L$112,A128&amp;" / "&amp;B128,'2024'!$B$24:$B$112,"Playoffs")+COUNTIFS('2025'!$L$24:$L$112,A128&amp;" / "&amp;B128,'2025'!$B$24:$B$112,"Playoffs")</x:f>
        <x:v>3</x:v>
      </x:c>
      <x:c r="L128" s="2" t="n">
        <x:f>COUNTIFS('2015'!$L$24:$L$96,A128&amp;" / "&amp;B128,'2015'!$B$24:$B$96,"Unconfirmed")+COUNTIFS('2016'!$L$24:$L$96,A128&amp;" / "&amp;B128,'2016'!$B$24:$B$96,"Unconfirmed")+COUNTIFS('2017'!$L$24:$L$106,A128&amp;" / "&amp;B128,'2017'!$B$24:$B$106,"Unconfirmed")+COUNTIFS('2018'!$L$24:$L$106,A128&amp;" / "&amp;B128,'2018'!$B$24:$B$106,"Unconfirmed")+COUNTIFS('2019'!$L$24:$L$106,A128&amp;" / "&amp;B128,'2019'!$B$24:$B$106,"Unconfirmed")+COUNTIFS('2020'!$L$24:$L$106,A128&amp;" / "&amp;B128,'2020'!$B$24:$B$106,"Unconfirmed")+COUNTIFS('2021'!$L$24:$L$112,A128&amp;" / "&amp;B128,'2021'!$B$24:$B$112,"Unconfirmed")+COUNTIFS('2022'!$L$24:$L$112,A128&amp;" / "&amp;B128,'2022'!$B$24:$B$112,"Unconfirmed")+COUNTIFS('2023'!$L$24:$L$112,A128&amp;" / "&amp;B128,'2023'!$B$24:$B$112,"Unconfirmed")+COUNTIFS('2024'!$L$24:$L$112,A128&amp;" / "&amp;B128,'2024'!$B$24:$B$112,"Unconfirmed")+COUNTIFS('2025'!$L$24:$L$112,A128&amp;" / "&amp;B128,'2025'!$B$24:$B$112,"Unconfirmed")</x:f>
        <x:v>0</x:v>
      </x:c>
    </x:row>
    <x:row r="129" ht="22" customHeight="1">
      <x:c r="A129" s="2" t="str">
        <x:v>Josh</x:v>
      </x:c>
      <x:c r="B129" s="2" t="str">
        <x:v>Michael</x:v>
      </x:c>
      <x:c r="C129" s="2" t="n">
        <x:f>COUNTIFS('2015'!$L$24:$L$96,A129&amp;" / "&amp;B129)+COUNTIFS('2016'!$L$24:$L$96,A129&amp;" / "&amp;B129)+COUNTIFS('2017'!$L$24:$L$106,A129&amp;" / "&amp;B129)+COUNTIFS('2018'!$L$24:$L$106,A129&amp;" / "&amp;B129)+COUNTIFS('2019'!$L$24:$L$106,A129&amp;" / "&amp;B129)+COUNTIFS('2020'!$L$24:$L$106,A129&amp;" / "&amp;B129)+COUNTIFS('2021'!$L$24:$L$112,A129&amp;" / "&amp;B129)+COUNTIFS('2022'!$L$24:$L$112,A129&amp;" / "&amp;B129)+COUNTIFS('2023'!$L$24:$L$112,A129&amp;" / "&amp;B129)+COUNTIFS('2024'!$L$24:$L$112,A129&amp;" / "&amp;B129)+COUNTIFS('2025'!$L$24:$L$112,A129&amp;" / "&amp;B129)</x:f>
        <x:v>3</x:v>
      </x:c>
      <x:c r="D129" s="2" t="n">
        <x:f>COUNTIFS('2015'!$L$24:$L$96,A129&amp;" / "&amp;B129,'2015'!$I$24:$I$96,A129)+COUNTIFS('2016'!$L$24:$L$96,A129&amp;" / "&amp;B129,'2016'!$I$24:$I$96,A129)+COUNTIFS('2017'!$L$24:$L$106,A129&amp;" / "&amp;B129,'2017'!$I$24:$I$106,A129)+COUNTIFS('2018'!$L$24:$L$106,A129&amp;" / "&amp;B129,'2018'!$I$24:$I$106,A129)+COUNTIFS('2019'!$L$24:$L$106,A129&amp;" / "&amp;B129,'2019'!$I$24:$I$106,A129)+COUNTIFS('2020'!$L$24:$L$106,A129&amp;" / "&amp;B129,'2020'!$I$24:$I$106,A129)+COUNTIFS('2021'!$L$24:$L$112,A129&amp;" / "&amp;B129,'2021'!$I$24:$I$112,A129)+COUNTIFS('2022'!$L$24:$L$112,A129&amp;" / "&amp;B129,'2022'!$I$24:$I$112,A129)+COUNTIFS('2023'!$L$24:$L$112,A129&amp;" / "&amp;B129,'2023'!$I$24:$I$112,A129)+COUNTIFS('2024'!$L$24:$L$112,A129&amp;" / "&amp;B129,'2024'!$I$24:$I$112,A129)+COUNTIFS('2025'!$L$24:$L$112,A129&amp;" / "&amp;B129,'2025'!$I$24:$I$112,A129)</x:f>
        <x:v>2</x:v>
      </x:c>
      <x:c r="E129" s="2" t="n">
        <x:f>COUNTIFS('2015'!$L$24:$L$96,A129&amp;" / "&amp;B129,'2015'!$I$24:$I$96,B129)+COUNTIFS('2016'!$L$24:$L$96,A129&amp;" / "&amp;B129,'2016'!$I$24:$I$96,B129)+COUNTIFS('2017'!$L$24:$L$106,A129&amp;" / "&amp;B129,'2017'!$I$24:$I$106,B129)+COUNTIFS('2018'!$L$24:$L$106,A129&amp;" / "&amp;B129,'2018'!$I$24:$I$106,B129)+COUNTIFS('2019'!$L$24:$L$106,A129&amp;" / "&amp;B129,'2019'!$I$24:$I$106,B129)+COUNTIFS('2020'!$L$24:$L$106,A129&amp;" / "&amp;B129,'2020'!$I$24:$I$106,B129)+COUNTIFS('2021'!$L$24:$L$112,A129&amp;" / "&amp;B129,'2021'!$I$24:$I$112,B129)+COUNTIFS('2022'!$L$24:$L$112,A129&amp;" / "&amp;B129,'2022'!$I$24:$I$112,B129)+COUNTIFS('2023'!$L$24:$L$112,A129&amp;" / "&amp;B129,'2023'!$I$24:$I$112,B129)+COUNTIFS('2024'!$L$24:$L$112,A129&amp;" / "&amp;B129,'2024'!$I$24:$I$112,B129)+COUNTIFS('2025'!$L$24:$L$112,A129&amp;" / "&amp;B129,'2025'!$I$24:$I$112,B129)</x:f>
        <x:v>1</x:v>
      </x:c>
      <x:c r="F129" s="2" t="n">
        <x:f>COUNTIFS('2015'!$L$24:$L$96,A129&amp;" / "&amp;B129,'2015'!$K$24:$K$96,1)+COUNTIFS('2016'!$L$24:$L$96,A129&amp;" / "&amp;B129,'2016'!$K$24:$K$96,1)+COUNTIFS('2017'!$L$24:$L$106,A129&amp;" / "&amp;B129,'2017'!$K$24:$K$106,1)+COUNTIFS('2018'!$L$24:$L$106,A129&amp;" / "&amp;B129,'2018'!$K$24:$K$106,1)+COUNTIFS('2019'!$L$24:$L$106,A129&amp;" / "&amp;B129,'2019'!$K$24:$K$106,1)+COUNTIFS('2020'!$L$24:$L$106,A129&amp;" / "&amp;B129,'2020'!$K$24:$K$106,1)+COUNTIFS('2021'!$L$24:$L$112,A129&amp;" / "&amp;B129,'2021'!$K$24:$K$112,1)+COUNTIFS('2022'!$L$24:$L$112,A129&amp;" / "&amp;B129,'2022'!$K$24:$K$112,1)+COUNTIFS('2023'!$L$24:$L$112,A129&amp;" / "&amp;B129,'2023'!$K$24:$K$112,1)+COUNTIFS('2024'!$L$24:$L$112,A129&amp;" / "&amp;B129,'2024'!$K$24:$K$112,1)+COUNTIFS('2025'!$L$24:$L$112,A129&amp;" / "&amp;B129,'2025'!$K$24:$K$112,1)</x:f>
        <x:v>0</x:v>
      </x:c>
      <x:c r="G129" s="25" t="n">
        <x:f>SUMIFS('2015'!$E$24:$E$96,'2015'!$L$24:$L$96,A129&amp;" / "&amp;B129,'2015'!$C$24:$C$96,A129)+SUMIFS('2015'!$H$24:$H$96,'2015'!$L$24:$L$96,A129&amp;" / "&amp;B129,'2015'!$F$24:$F$96,A129)+SUMIFS('2016'!$E$24:$E$96,'2016'!$L$24:$L$96,A129&amp;" / "&amp;B129,'2016'!$C$24:$C$96,A129)+SUMIFS('2016'!$H$24:$H$96,'2016'!$L$24:$L$96,A129&amp;" / "&amp;B129,'2016'!$F$24:$F$96,A129)+SUMIFS('2017'!$E$24:$E$106,'2017'!$L$24:$L$106,A129&amp;" / "&amp;B129,'2017'!$C$24:$C$106,A129)+SUMIFS('2017'!$H$24:$H$106,'2017'!$L$24:$L$106,A129&amp;" / "&amp;B129,'2017'!$F$24:$F$106,A129)+SUMIFS('2018'!$E$24:$E$106,'2018'!$L$24:$L$106,A129&amp;" / "&amp;B129,'2018'!$C$24:$C$106,A129)+SUMIFS('2018'!$H$24:$H$106,'2018'!$L$24:$L$106,A129&amp;" / "&amp;B129,'2018'!$F$24:$F$106,A129)+SUMIFS('2019'!$E$24:$E$106,'2019'!$L$24:$L$106,A129&amp;" / "&amp;B129,'2019'!$C$24:$C$106,A129)+SUMIFS('2019'!$H$24:$H$106,'2019'!$L$24:$L$106,A129&amp;" / "&amp;B129,'2019'!$F$24:$F$106,A129)+SUMIFS('2020'!$E$24:$E$106,'2020'!$L$24:$L$106,A129&amp;" / "&amp;B129,'2020'!$C$24:$C$106,A129)+SUMIFS('2020'!$H$24:$H$106,'2020'!$L$24:$L$106,A129&amp;" / "&amp;B129,'2020'!$F$24:$F$106,A129)+SUMIFS('2021'!$E$24:$E$112,'2021'!$L$24:$L$112,A129&amp;" / "&amp;B129,'2021'!$C$24:$C$112,A129)+SUMIFS('2021'!$H$24:$H$112,'2021'!$L$24:$L$112,A129&amp;" / "&amp;B129,'2021'!$F$24:$F$112,A129)+SUMIFS('2022'!$E$24:$E$112,'2022'!$L$24:$L$112,A129&amp;" / "&amp;B129,'2022'!$C$24:$C$112,A129)+SUMIFS('2022'!$H$24:$H$112,'2022'!$L$24:$L$112,A129&amp;" / "&amp;B129,'2022'!$F$24:$F$112,A129)+SUMIFS('2023'!$E$24:$E$112,'2023'!$L$24:$L$112,A129&amp;" / "&amp;B129,'2023'!$C$24:$C$112,A129)+SUMIFS('2023'!$H$24:$H$112,'2023'!$L$24:$L$112,A129&amp;" / "&amp;B129,'2023'!$F$24:$F$112,A129)+SUMIFS('2024'!$E$24:$E$112,'2024'!$L$24:$L$112,A129&amp;" / "&amp;B129,'2024'!$C$24:$C$112,A129)+SUMIFS('2024'!$H$24:$H$112,'2024'!$L$24:$L$112,A129&amp;" / "&amp;B129,'2024'!$F$24:$F$112,A129)+SUMIFS('2025'!$E$24:$E$112,'2025'!$L$24:$L$112,A129&amp;" / "&amp;B129,'2025'!$C$24:$C$112,A129)+SUMIFS('2025'!$H$24:$H$112,'2025'!$L$24:$L$112,A129&amp;" / "&amp;B129,'2025'!$F$24:$F$112,A129)</x:f>
        <x:v>361.1</x:v>
      </x:c>
      <x:c r="H129" s="25" t="n">
        <x:f>SUMIFS('2015'!$E$24:$E$96,'2015'!$L$24:$L$96,A129&amp;" / "&amp;B129,'2015'!$C$24:$C$96,B129)+SUMIFS('2015'!$H$24:$H$96,'2015'!$L$24:$L$96,A129&amp;" / "&amp;B129,'2015'!$F$24:$F$96,B129)+SUMIFS('2016'!$E$24:$E$96,'2016'!$L$24:$L$96,A129&amp;" / "&amp;B129,'2016'!$C$24:$C$96,B129)+SUMIFS('2016'!$H$24:$H$96,'2016'!$L$24:$L$96,A129&amp;" / "&amp;B129,'2016'!$F$24:$F$96,B129)+SUMIFS('2017'!$E$24:$E$106,'2017'!$L$24:$L$106,A129&amp;" / "&amp;B129,'2017'!$C$24:$C$106,B129)+SUMIFS('2017'!$H$24:$H$106,'2017'!$L$24:$L$106,A129&amp;" / "&amp;B129,'2017'!$F$24:$F$106,B129)+SUMIFS('2018'!$E$24:$E$106,'2018'!$L$24:$L$106,A129&amp;" / "&amp;B129,'2018'!$C$24:$C$106,B129)+SUMIFS('2018'!$H$24:$H$106,'2018'!$L$24:$L$106,A129&amp;" / "&amp;B129,'2018'!$F$24:$F$106,B129)+SUMIFS('2019'!$E$24:$E$106,'2019'!$L$24:$L$106,A129&amp;" / "&amp;B129,'2019'!$C$24:$C$106,B129)+SUMIFS('2019'!$H$24:$H$106,'2019'!$L$24:$L$106,A129&amp;" / "&amp;B129,'2019'!$F$24:$F$106,B129)+SUMIFS('2020'!$E$24:$E$106,'2020'!$L$24:$L$106,A129&amp;" / "&amp;B129,'2020'!$C$24:$C$106,B129)+SUMIFS('2020'!$H$24:$H$106,'2020'!$L$24:$L$106,A129&amp;" / "&amp;B129,'2020'!$F$24:$F$106,B129)+SUMIFS('2021'!$E$24:$E$112,'2021'!$L$24:$L$112,A129&amp;" / "&amp;B129,'2021'!$C$24:$C$112,B129)+SUMIFS('2021'!$H$24:$H$112,'2021'!$L$24:$L$112,A129&amp;" / "&amp;B129,'2021'!$F$24:$F$112,B129)+SUMIFS('2022'!$E$24:$E$112,'2022'!$L$24:$L$112,A129&amp;" / "&amp;B129,'2022'!$C$24:$C$112,B129)+SUMIFS('2022'!$H$24:$H$112,'2022'!$L$24:$L$112,A129&amp;" / "&amp;B129,'2022'!$F$24:$F$112,B129)+SUMIFS('2023'!$E$24:$E$112,'2023'!$L$24:$L$112,A129&amp;" / "&amp;B129,'2023'!$C$24:$C$112,B129)+SUMIFS('2023'!$H$24:$H$112,'2023'!$L$24:$L$112,A129&amp;" / "&amp;B129,'2023'!$F$24:$F$112,B129)+SUMIFS('2024'!$E$24:$E$112,'2024'!$L$24:$L$112,A129&amp;" / "&amp;B129,'2024'!$C$24:$C$112,B129)+SUMIFS('2024'!$H$24:$H$112,'2024'!$L$24:$L$112,A129&amp;" / "&amp;B129,'2024'!$F$24:$F$112,B129)+SUMIFS('2025'!$E$24:$E$112,'2025'!$L$24:$L$112,A129&amp;" / "&amp;B129,'2025'!$C$24:$C$112,B129)+SUMIFS('2025'!$H$24:$H$112,'2025'!$L$24:$L$112,A129&amp;" / "&amp;B129,'2025'!$F$24:$F$112,B129)</x:f>
        <x:v>338.6</x:v>
      </x:c>
      <x:c r="I129" s="11" t="n">
        <x:f>IF(C129=0,0,(D129+0.5*F129)/C129)</x:f>
        <x:v>0.6666666666666666</x:v>
      </x:c>
      <x:c r="J129" s="2" t="n">
        <x:f>COUNTIFS('2015'!$L$24:$L$96,A129&amp;" / "&amp;B129,'2015'!$B$24:$B$96,"Regular")+COUNTIFS('2016'!$L$24:$L$96,A129&amp;" / "&amp;B129,'2016'!$B$24:$B$96,"Regular")+COUNTIFS('2017'!$L$24:$L$106,A129&amp;" / "&amp;B129,'2017'!$B$24:$B$106,"Regular")+COUNTIFS('2018'!$L$24:$L$106,A129&amp;" / "&amp;B129,'2018'!$B$24:$B$106,"Regular")+COUNTIFS('2019'!$L$24:$L$106,A129&amp;" / "&amp;B129,'2019'!$B$24:$B$106,"Regular")+COUNTIFS('2020'!$L$24:$L$106,A129&amp;" / "&amp;B129,'2020'!$B$24:$B$106,"Regular")+COUNTIFS('2021'!$L$24:$L$112,A129&amp;" / "&amp;B129,'2021'!$B$24:$B$112,"Regular")+COUNTIFS('2022'!$L$24:$L$112,A129&amp;" / "&amp;B129,'2022'!$B$24:$B$112,"Regular")+COUNTIFS('2023'!$L$24:$L$112,A129&amp;" / "&amp;B129,'2023'!$B$24:$B$112,"Regular")+COUNTIFS('2024'!$L$24:$L$112,A129&amp;" / "&amp;B129,'2024'!$B$24:$B$112,"Regular")+COUNTIFS('2025'!$L$24:$L$112,A129&amp;" / "&amp;B129,'2025'!$B$24:$B$112,"Regular")</x:f>
        <x:v>3</x:v>
      </x:c>
      <x:c r="K129" s="2" t="n">
        <x:f>COUNTIFS('2015'!$L$24:$L$96,A129&amp;" / "&amp;B129,'2015'!$B$24:$B$96,"Playoffs")+COUNTIFS('2016'!$L$24:$L$96,A129&amp;" / "&amp;B129,'2016'!$B$24:$B$96,"Playoffs")+COUNTIFS('2017'!$L$24:$L$106,A129&amp;" / "&amp;B129,'2017'!$B$24:$B$106,"Playoffs")+COUNTIFS('2018'!$L$24:$L$106,A129&amp;" / "&amp;B129,'2018'!$B$24:$B$106,"Playoffs")+COUNTIFS('2019'!$L$24:$L$106,A129&amp;" / "&amp;B129,'2019'!$B$24:$B$106,"Playoffs")+COUNTIFS('2020'!$L$24:$L$106,A129&amp;" / "&amp;B129,'2020'!$B$24:$B$106,"Playoffs")+COUNTIFS('2021'!$L$24:$L$112,A129&amp;" / "&amp;B129,'2021'!$B$24:$B$112,"Playoffs")+COUNTIFS('2022'!$L$24:$L$112,A129&amp;" / "&amp;B129,'2022'!$B$24:$B$112,"Playoffs")+COUNTIFS('2023'!$L$24:$L$112,A129&amp;" / "&amp;B129,'2023'!$B$24:$B$112,"Playoffs")+COUNTIFS('2024'!$L$24:$L$112,A129&amp;" / "&amp;B129,'2024'!$B$24:$B$112,"Playoffs")+COUNTIFS('2025'!$L$24:$L$112,A129&amp;" / "&amp;B129,'2025'!$B$24:$B$112,"Playoffs")</x:f>
        <x:v>0</x:v>
      </x:c>
      <x:c r="L129" s="2" t="n">
        <x:f>COUNTIFS('2015'!$L$24:$L$96,A129&amp;" / "&amp;B129,'2015'!$B$24:$B$96,"Unconfirmed")+COUNTIFS('2016'!$L$24:$L$96,A129&amp;" / "&amp;B129,'2016'!$B$24:$B$96,"Unconfirmed")+COUNTIFS('2017'!$L$24:$L$106,A129&amp;" / "&amp;B129,'2017'!$B$24:$B$106,"Unconfirmed")+COUNTIFS('2018'!$L$24:$L$106,A129&amp;" / "&amp;B129,'2018'!$B$24:$B$106,"Unconfirmed")+COUNTIFS('2019'!$L$24:$L$106,A129&amp;" / "&amp;B129,'2019'!$B$24:$B$106,"Unconfirmed")+COUNTIFS('2020'!$L$24:$L$106,A129&amp;" / "&amp;B129,'2020'!$B$24:$B$106,"Unconfirmed")+COUNTIFS('2021'!$L$24:$L$112,A129&amp;" / "&amp;B129,'2021'!$B$24:$B$112,"Unconfirmed")+COUNTIFS('2022'!$L$24:$L$112,A129&amp;" / "&amp;B129,'2022'!$B$24:$B$112,"Unconfirmed")+COUNTIFS('2023'!$L$24:$L$112,A129&amp;" / "&amp;B129,'2023'!$B$24:$B$112,"Unconfirmed")+COUNTIFS('2024'!$L$24:$L$112,A129&amp;" / "&amp;B129,'2024'!$B$24:$B$112,"Unconfirmed")+COUNTIFS('2025'!$L$24:$L$112,A129&amp;" / "&amp;B129,'2025'!$B$24:$B$112,"Unconfirmed")</x:f>
        <x:v>0</x:v>
      </x:c>
    </x:row>
    <x:row r="130" ht="22" customHeight="1">
      <x:c r="A130" s="2" t="str">
        <x:v>Josh</x:v>
      </x:c>
      <x:c r="B130" s="2" t="str">
        <x:v>Mike</x:v>
      </x:c>
      <x:c r="C130" s="2" t="n">
        <x:f>COUNTIFS('2015'!$L$24:$L$96,A130&amp;" / "&amp;B130)+COUNTIFS('2016'!$L$24:$L$96,A130&amp;" / "&amp;B130)+COUNTIFS('2017'!$L$24:$L$106,A130&amp;" / "&amp;B130)+COUNTIFS('2018'!$L$24:$L$106,A130&amp;" / "&amp;B130)+COUNTIFS('2019'!$L$24:$L$106,A130&amp;" / "&amp;B130)+COUNTIFS('2020'!$L$24:$L$106,A130&amp;" / "&amp;B130)+COUNTIFS('2021'!$L$24:$L$112,A130&amp;" / "&amp;B130)+COUNTIFS('2022'!$L$24:$L$112,A130&amp;" / "&amp;B130)+COUNTIFS('2023'!$L$24:$L$112,A130&amp;" / "&amp;B130)+COUNTIFS('2024'!$L$24:$L$112,A130&amp;" / "&amp;B130)+COUNTIFS('2025'!$L$24:$L$112,A130&amp;" / "&amp;B130)</x:f>
        <x:v>14</x:v>
      </x:c>
      <x:c r="D130" s="2" t="n">
        <x:f>COUNTIFS('2015'!$L$24:$L$96,A130&amp;" / "&amp;B130,'2015'!$I$24:$I$96,A130)+COUNTIFS('2016'!$L$24:$L$96,A130&amp;" / "&amp;B130,'2016'!$I$24:$I$96,A130)+COUNTIFS('2017'!$L$24:$L$106,A130&amp;" / "&amp;B130,'2017'!$I$24:$I$106,A130)+COUNTIFS('2018'!$L$24:$L$106,A130&amp;" / "&amp;B130,'2018'!$I$24:$I$106,A130)+COUNTIFS('2019'!$L$24:$L$106,A130&amp;" / "&amp;B130,'2019'!$I$24:$I$106,A130)+COUNTIFS('2020'!$L$24:$L$106,A130&amp;" / "&amp;B130,'2020'!$I$24:$I$106,A130)+COUNTIFS('2021'!$L$24:$L$112,A130&amp;" / "&amp;B130,'2021'!$I$24:$I$112,A130)+COUNTIFS('2022'!$L$24:$L$112,A130&amp;" / "&amp;B130,'2022'!$I$24:$I$112,A130)+COUNTIFS('2023'!$L$24:$L$112,A130&amp;" / "&amp;B130,'2023'!$I$24:$I$112,A130)+COUNTIFS('2024'!$L$24:$L$112,A130&amp;" / "&amp;B130,'2024'!$I$24:$I$112,A130)+COUNTIFS('2025'!$L$24:$L$112,A130&amp;" / "&amp;B130,'2025'!$I$24:$I$112,A130)</x:f>
        <x:v>8</x:v>
      </x:c>
      <x:c r="E130" s="2" t="n">
        <x:f>COUNTIFS('2015'!$L$24:$L$96,A130&amp;" / "&amp;B130,'2015'!$I$24:$I$96,B130)+COUNTIFS('2016'!$L$24:$L$96,A130&amp;" / "&amp;B130,'2016'!$I$24:$I$96,B130)+COUNTIFS('2017'!$L$24:$L$106,A130&amp;" / "&amp;B130,'2017'!$I$24:$I$106,B130)+COUNTIFS('2018'!$L$24:$L$106,A130&amp;" / "&amp;B130,'2018'!$I$24:$I$106,B130)+COUNTIFS('2019'!$L$24:$L$106,A130&amp;" / "&amp;B130,'2019'!$I$24:$I$106,B130)+COUNTIFS('2020'!$L$24:$L$106,A130&amp;" / "&amp;B130,'2020'!$I$24:$I$106,B130)+COUNTIFS('2021'!$L$24:$L$112,A130&amp;" / "&amp;B130,'2021'!$I$24:$I$112,B130)+COUNTIFS('2022'!$L$24:$L$112,A130&amp;" / "&amp;B130,'2022'!$I$24:$I$112,B130)+COUNTIFS('2023'!$L$24:$L$112,A130&amp;" / "&amp;B130,'2023'!$I$24:$I$112,B130)+COUNTIFS('2024'!$L$24:$L$112,A130&amp;" / "&amp;B130,'2024'!$I$24:$I$112,B130)+COUNTIFS('2025'!$L$24:$L$112,A130&amp;" / "&amp;B130,'2025'!$I$24:$I$112,B130)</x:f>
        <x:v>6</x:v>
      </x:c>
      <x:c r="F130" s="2" t="n">
        <x:f>COUNTIFS('2015'!$L$24:$L$96,A130&amp;" / "&amp;B130,'2015'!$K$24:$K$96,1)+COUNTIFS('2016'!$L$24:$L$96,A130&amp;" / "&amp;B130,'2016'!$K$24:$K$96,1)+COUNTIFS('2017'!$L$24:$L$106,A130&amp;" / "&amp;B130,'2017'!$K$24:$K$106,1)+COUNTIFS('2018'!$L$24:$L$106,A130&amp;" / "&amp;B130,'2018'!$K$24:$K$106,1)+COUNTIFS('2019'!$L$24:$L$106,A130&amp;" / "&amp;B130,'2019'!$K$24:$K$106,1)+COUNTIFS('2020'!$L$24:$L$106,A130&amp;" / "&amp;B130,'2020'!$K$24:$K$106,1)+COUNTIFS('2021'!$L$24:$L$112,A130&amp;" / "&amp;B130,'2021'!$K$24:$K$112,1)+COUNTIFS('2022'!$L$24:$L$112,A130&amp;" / "&amp;B130,'2022'!$K$24:$K$112,1)+COUNTIFS('2023'!$L$24:$L$112,A130&amp;" / "&amp;B130,'2023'!$K$24:$K$112,1)+COUNTIFS('2024'!$L$24:$L$112,A130&amp;" / "&amp;B130,'2024'!$K$24:$K$112,1)+COUNTIFS('2025'!$L$24:$L$112,A130&amp;" / "&amp;B130,'2025'!$K$24:$K$112,1)</x:f>
        <x:v>0</x:v>
      </x:c>
      <x:c r="G130" s="25" t="n">
        <x:f>SUMIFS('2015'!$E$24:$E$96,'2015'!$L$24:$L$96,A130&amp;" / "&amp;B130,'2015'!$C$24:$C$96,A130)+SUMIFS('2015'!$H$24:$H$96,'2015'!$L$24:$L$96,A130&amp;" / "&amp;B130,'2015'!$F$24:$F$96,A130)+SUMIFS('2016'!$E$24:$E$96,'2016'!$L$24:$L$96,A130&amp;" / "&amp;B130,'2016'!$C$24:$C$96,A130)+SUMIFS('2016'!$H$24:$H$96,'2016'!$L$24:$L$96,A130&amp;" / "&amp;B130,'2016'!$F$24:$F$96,A130)+SUMIFS('2017'!$E$24:$E$106,'2017'!$L$24:$L$106,A130&amp;" / "&amp;B130,'2017'!$C$24:$C$106,A130)+SUMIFS('2017'!$H$24:$H$106,'2017'!$L$24:$L$106,A130&amp;" / "&amp;B130,'2017'!$F$24:$F$106,A130)+SUMIFS('2018'!$E$24:$E$106,'2018'!$L$24:$L$106,A130&amp;" / "&amp;B130,'2018'!$C$24:$C$106,A130)+SUMIFS('2018'!$H$24:$H$106,'2018'!$L$24:$L$106,A130&amp;" / "&amp;B130,'2018'!$F$24:$F$106,A130)+SUMIFS('2019'!$E$24:$E$106,'2019'!$L$24:$L$106,A130&amp;" / "&amp;B130,'2019'!$C$24:$C$106,A130)+SUMIFS('2019'!$H$24:$H$106,'2019'!$L$24:$L$106,A130&amp;" / "&amp;B130,'2019'!$F$24:$F$106,A130)+SUMIFS('2020'!$E$24:$E$106,'2020'!$L$24:$L$106,A130&amp;" / "&amp;B130,'2020'!$C$24:$C$106,A130)+SUMIFS('2020'!$H$24:$H$106,'2020'!$L$24:$L$106,A130&amp;" / "&amp;B130,'2020'!$F$24:$F$106,A130)+SUMIFS('2021'!$E$24:$E$112,'2021'!$L$24:$L$112,A130&amp;" / "&amp;B130,'2021'!$C$24:$C$112,A130)+SUMIFS('2021'!$H$24:$H$112,'2021'!$L$24:$L$112,A130&amp;" / "&amp;B130,'2021'!$F$24:$F$112,A130)+SUMIFS('2022'!$E$24:$E$112,'2022'!$L$24:$L$112,A130&amp;" / "&amp;B130,'2022'!$C$24:$C$112,A130)+SUMIFS('2022'!$H$24:$H$112,'2022'!$L$24:$L$112,A130&amp;" / "&amp;B130,'2022'!$F$24:$F$112,A130)+SUMIFS('2023'!$E$24:$E$112,'2023'!$L$24:$L$112,A130&amp;" / "&amp;B130,'2023'!$C$24:$C$112,A130)+SUMIFS('2023'!$H$24:$H$112,'2023'!$L$24:$L$112,A130&amp;" / "&amp;B130,'2023'!$F$24:$F$112,A130)+SUMIFS('2024'!$E$24:$E$112,'2024'!$L$24:$L$112,A130&amp;" / "&amp;B130,'2024'!$C$24:$C$112,A130)+SUMIFS('2024'!$H$24:$H$112,'2024'!$L$24:$L$112,A130&amp;" / "&amp;B130,'2024'!$F$24:$F$112,A130)+SUMIFS('2025'!$E$24:$E$112,'2025'!$L$24:$L$112,A130&amp;" / "&amp;B130,'2025'!$C$24:$C$112,A130)+SUMIFS('2025'!$H$24:$H$112,'2025'!$L$24:$L$112,A130&amp;" / "&amp;B130,'2025'!$F$24:$F$112,A130)</x:f>
        <x:v>1584.3999999999999</x:v>
      </x:c>
      <x:c r="H130" s="25" t="n">
        <x:f>SUMIFS('2015'!$E$24:$E$96,'2015'!$L$24:$L$96,A130&amp;" / "&amp;B130,'2015'!$C$24:$C$96,B130)+SUMIFS('2015'!$H$24:$H$96,'2015'!$L$24:$L$96,A130&amp;" / "&amp;B130,'2015'!$F$24:$F$96,B130)+SUMIFS('2016'!$E$24:$E$96,'2016'!$L$24:$L$96,A130&amp;" / "&amp;B130,'2016'!$C$24:$C$96,B130)+SUMIFS('2016'!$H$24:$H$96,'2016'!$L$24:$L$96,A130&amp;" / "&amp;B130,'2016'!$F$24:$F$96,B130)+SUMIFS('2017'!$E$24:$E$106,'2017'!$L$24:$L$106,A130&amp;" / "&amp;B130,'2017'!$C$24:$C$106,B130)+SUMIFS('2017'!$H$24:$H$106,'2017'!$L$24:$L$106,A130&amp;" / "&amp;B130,'2017'!$F$24:$F$106,B130)+SUMIFS('2018'!$E$24:$E$106,'2018'!$L$24:$L$106,A130&amp;" / "&amp;B130,'2018'!$C$24:$C$106,B130)+SUMIFS('2018'!$H$24:$H$106,'2018'!$L$24:$L$106,A130&amp;" / "&amp;B130,'2018'!$F$24:$F$106,B130)+SUMIFS('2019'!$E$24:$E$106,'2019'!$L$24:$L$106,A130&amp;" / "&amp;B130,'2019'!$C$24:$C$106,B130)+SUMIFS('2019'!$H$24:$H$106,'2019'!$L$24:$L$106,A130&amp;" / "&amp;B130,'2019'!$F$24:$F$106,B130)+SUMIFS('2020'!$E$24:$E$106,'2020'!$L$24:$L$106,A130&amp;" / "&amp;B130,'2020'!$C$24:$C$106,B130)+SUMIFS('2020'!$H$24:$H$106,'2020'!$L$24:$L$106,A130&amp;" / "&amp;B130,'2020'!$F$24:$F$106,B130)+SUMIFS('2021'!$E$24:$E$112,'2021'!$L$24:$L$112,A130&amp;" / "&amp;B130,'2021'!$C$24:$C$112,B130)+SUMIFS('2021'!$H$24:$H$112,'2021'!$L$24:$L$112,A130&amp;" / "&amp;B130,'2021'!$F$24:$F$112,B130)+SUMIFS('2022'!$E$24:$E$112,'2022'!$L$24:$L$112,A130&amp;" / "&amp;B130,'2022'!$C$24:$C$112,B130)+SUMIFS('2022'!$H$24:$H$112,'2022'!$L$24:$L$112,A130&amp;" / "&amp;B130,'2022'!$F$24:$F$112,B130)+SUMIFS('2023'!$E$24:$E$112,'2023'!$L$24:$L$112,A130&amp;" / "&amp;B130,'2023'!$C$24:$C$112,B130)+SUMIFS('2023'!$H$24:$H$112,'2023'!$L$24:$L$112,A130&amp;" / "&amp;B130,'2023'!$F$24:$F$112,B130)+SUMIFS('2024'!$E$24:$E$112,'2024'!$L$24:$L$112,A130&amp;" / "&amp;B130,'2024'!$C$24:$C$112,B130)+SUMIFS('2024'!$H$24:$H$112,'2024'!$L$24:$L$112,A130&amp;" / "&amp;B130,'2024'!$F$24:$F$112,B130)+SUMIFS('2025'!$E$24:$E$112,'2025'!$L$24:$L$112,A130&amp;" / "&amp;B130,'2025'!$C$24:$C$112,B130)+SUMIFS('2025'!$H$24:$H$112,'2025'!$L$24:$L$112,A130&amp;" / "&amp;B130,'2025'!$F$24:$F$112,B130)</x:f>
        <x:v>1532.2</x:v>
      </x:c>
      <x:c r="I130" s="11" t="n">
        <x:f>IF(C130=0,0,(D130+0.5*F130)/C130)</x:f>
        <x:v>0.5714285714285714</x:v>
      </x:c>
      <x:c r="J130" s="2" t="n">
        <x:f>COUNTIFS('2015'!$L$24:$L$96,A130&amp;" / "&amp;B130,'2015'!$B$24:$B$96,"Regular")+COUNTIFS('2016'!$L$24:$L$96,A130&amp;" / "&amp;B130,'2016'!$B$24:$B$96,"Regular")+COUNTIFS('2017'!$L$24:$L$106,A130&amp;" / "&amp;B130,'2017'!$B$24:$B$106,"Regular")+COUNTIFS('2018'!$L$24:$L$106,A130&amp;" / "&amp;B130,'2018'!$B$24:$B$106,"Regular")+COUNTIFS('2019'!$L$24:$L$106,A130&amp;" / "&amp;B130,'2019'!$B$24:$B$106,"Regular")+COUNTIFS('2020'!$L$24:$L$106,A130&amp;" / "&amp;B130,'2020'!$B$24:$B$106,"Regular")+COUNTIFS('2021'!$L$24:$L$112,A130&amp;" / "&amp;B130,'2021'!$B$24:$B$112,"Regular")+COUNTIFS('2022'!$L$24:$L$112,A130&amp;" / "&amp;B130,'2022'!$B$24:$B$112,"Regular")+COUNTIFS('2023'!$L$24:$L$112,A130&amp;" / "&amp;B130,'2023'!$B$24:$B$112,"Regular")+COUNTIFS('2024'!$L$24:$L$112,A130&amp;" / "&amp;B130,'2024'!$B$24:$B$112,"Regular")+COUNTIFS('2025'!$L$24:$L$112,A130&amp;" / "&amp;B130,'2025'!$B$24:$B$112,"Regular")</x:f>
        <x:v>13</x:v>
      </x:c>
      <x:c r="K130" s="2" t="n">
        <x:f>COUNTIFS('2015'!$L$24:$L$96,A130&amp;" / "&amp;B130,'2015'!$B$24:$B$96,"Playoffs")+COUNTIFS('2016'!$L$24:$L$96,A130&amp;" / "&amp;B130,'2016'!$B$24:$B$96,"Playoffs")+COUNTIFS('2017'!$L$24:$L$106,A130&amp;" / "&amp;B130,'2017'!$B$24:$B$106,"Playoffs")+COUNTIFS('2018'!$L$24:$L$106,A130&amp;" / "&amp;B130,'2018'!$B$24:$B$106,"Playoffs")+COUNTIFS('2019'!$L$24:$L$106,A130&amp;" / "&amp;B130,'2019'!$B$24:$B$106,"Playoffs")+COUNTIFS('2020'!$L$24:$L$106,A130&amp;" / "&amp;B130,'2020'!$B$24:$B$106,"Playoffs")+COUNTIFS('2021'!$L$24:$L$112,A130&amp;" / "&amp;B130,'2021'!$B$24:$B$112,"Playoffs")+COUNTIFS('2022'!$L$24:$L$112,A130&amp;" / "&amp;B130,'2022'!$B$24:$B$112,"Playoffs")+COUNTIFS('2023'!$L$24:$L$112,A130&amp;" / "&amp;B130,'2023'!$B$24:$B$112,"Playoffs")+COUNTIFS('2024'!$L$24:$L$112,A130&amp;" / "&amp;B130,'2024'!$B$24:$B$112,"Playoffs")+COUNTIFS('2025'!$L$24:$L$112,A130&amp;" / "&amp;B130,'2025'!$B$24:$B$112,"Playoffs")</x:f>
        <x:v>1</x:v>
      </x:c>
      <x:c r="L130" s="2" t="n">
        <x:f>COUNTIFS('2015'!$L$24:$L$96,A130&amp;" / "&amp;B130,'2015'!$B$24:$B$96,"Unconfirmed")+COUNTIFS('2016'!$L$24:$L$96,A130&amp;" / "&amp;B130,'2016'!$B$24:$B$96,"Unconfirmed")+COUNTIFS('2017'!$L$24:$L$106,A130&amp;" / "&amp;B130,'2017'!$B$24:$B$106,"Unconfirmed")+COUNTIFS('2018'!$L$24:$L$106,A130&amp;" / "&amp;B130,'2018'!$B$24:$B$106,"Unconfirmed")+COUNTIFS('2019'!$L$24:$L$106,A130&amp;" / "&amp;B130,'2019'!$B$24:$B$106,"Unconfirmed")+COUNTIFS('2020'!$L$24:$L$106,A130&amp;" / "&amp;B130,'2020'!$B$24:$B$106,"Unconfirmed")+COUNTIFS('2021'!$L$24:$L$112,A130&amp;" / "&amp;B130,'2021'!$B$24:$B$112,"Unconfirmed")+COUNTIFS('2022'!$L$24:$L$112,A130&amp;" / "&amp;B130,'2022'!$B$24:$B$112,"Unconfirmed")+COUNTIFS('2023'!$L$24:$L$112,A130&amp;" / "&amp;B130,'2023'!$B$24:$B$112,"Unconfirmed")+COUNTIFS('2024'!$L$24:$L$112,A130&amp;" / "&amp;B130,'2024'!$B$24:$B$112,"Unconfirmed")+COUNTIFS('2025'!$L$24:$L$112,A130&amp;" / "&amp;B130,'2025'!$B$24:$B$112,"Unconfirmed")</x:f>
        <x:v>0</x:v>
      </x:c>
    </x:row>
    <x:row r="131" ht="22" customHeight="1">
      <x:c r="A131" s="2" t="str">
        <x:v>Josh</x:v>
      </x:c>
      <x:c r="B131" s="2" t="str">
        <x:v>Nick</x:v>
      </x:c>
      <x:c r="C131" s="2" t="n">
        <x:f>COUNTIFS('2015'!$L$24:$L$96,A131&amp;" / "&amp;B131)+COUNTIFS('2016'!$L$24:$L$96,A131&amp;" / "&amp;B131)+COUNTIFS('2017'!$L$24:$L$106,A131&amp;" / "&amp;B131)+COUNTIFS('2018'!$L$24:$L$106,A131&amp;" / "&amp;B131)+COUNTIFS('2019'!$L$24:$L$106,A131&amp;" / "&amp;B131)+COUNTIFS('2020'!$L$24:$L$106,A131&amp;" / "&amp;B131)+COUNTIFS('2021'!$L$24:$L$112,A131&amp;" / "&amp;B131)+COUNTIFS('2022'!$L$24:$L$112,A131&amp;" / "&amp;B131)+COUNTIFS('2023'!$L$24:$L$112,A131&amp;" / "&amp;B131)+COUNTIFS('2024'!$L$24:$L$112,A131&amp;" / "&amp;B131)+COUNTIFS('2025'!$L$24:$L$112,A131&amp;" / "&amp;B131)</x:f>
        <x:v>9</x:v>
      </x:c>
      <x:c r="D131" s="2" t="n">
        <x:f>COUNTIFS('2015'!$L$24:$L$96,A131&amp;" / "&amp;B131,'2015'!$I$24:$I$96,A131)+COUNTIFS('2016'!$L$24:$L$96,A131&amp;" / "&amp;B131,'2016'!$I$24:$I$96,A131)+COUNTIFS('2017'!$L$24:$L$106,A131&amp;" / "&amp;B131,'2017'!$I$24:$I$106,A131)+COUNTIFS('2018'!$L$24:$L$106,A131&amp;" / "&amp;B131,'2018'!$I$24:$I$106,A131)+COUNTIFS('2019'!$L$24:$L$106,A131&amp;" / "&amp;B131,'2019'!$I$24:$I$106,A131)+COUNTIFS('2020'!$L$24:$L$106,A131&amp;" / "&amp;B131,'2020'!$I$24:$I$106,A131)+COUNTIFS('2021'!$L$24:$L$112,A131&amp;" / "&amp;B131,'2021'!$I$24:$I$112,A131)+COUNTIFS('2022'!$L$24:$L$112,A131&amp;" / "&amp;B131,'2022'!$I$24:$I$112,A131)+COUNTIFS('2023'!$L$24:$L$112,A131&amp;" / "&amp;B131,'2023'!$I$24:$I$112,A131)+COUNTIFS('2024'!$L$24:$L$112,A131&amp;" / "&amp;B131,'2024'!$I$24:$I$112,A131)+COUNTIFS('2025'!$L$24:$L$112,A131&amp;" / "&amp;B131,'2025'!$I$24:$I$112,A131)</x:f>
        <x:v>4</x:v>
      </x:c>
      <x:c r="E131" s="2" t="n">
        <x:f>COUNTIFS('2015'!$L$24:$L$96,A131&amp;" / "&amp;B131,'2015'!$I$24:$I$96,B131)+COUNTIFS('2016'!$L$24:$L$96,A131&amp;" / "&amp;B131,'2016'!$I$24:$I$96,B131)+COUNTIFS('2017'!$L$24:$L$106,A131&amp;" / "&amp;B131,'2017'!$I$24:$I$106,B131)+COUNTIFS('2018'!$L$24:$L$106,A131&amp;" / "&amp;B131,'2018'!$I$24:$I$106,B131)+COUNTIFS('2019'!$L$24:$L$106,A131&amp;" / "&amp;B131,'2019'!$I$24:$I$106,B131)+COUNTIFS('2020'!$L$24:$L$106,A131&amp;" / "&amp;B131,'2020'!$I$24:$I$106,B131)+COUNTIFS('2021'!$L$24:$L$112,A131&amp;" / "&amp;B131,'2021'!$I$24:$I$112,B131)+COUNTIFS('2022'!$L$24:$L$112,A131&amp;" / "&amp;B131,'2022'!$I$24:$I$112,B131)+COUNTIFS('2023'!$L$24:$L$112,A131&amp;" / "&amp;B131,'2023'!$I$24:$I$112,B131)+COUNTIFS('2024'!$L$24:$L$112,A131&amp;" / "&amp;B131,'2024'!$I$24:$I$112,B131)+COUNTIFS('2025'!$L$24:$L$112,A131&amp;" / "&amp;B131,'2025'!$I$24:$I$112,B131)</x:f>
        <x:v>5</x:v>
      </x:c>
      <x:c r="F131" s="2" t="n">
        <x:f>COUNTIFS('2015'!$L$24:$L$96,A131&amp;" / "&amp;B131,'2015'!$K$24:$K$96,1)+COUNTIFS('2016'!$L$24:$L$96,A131&amp;" / "&amp;B131,'2016'!$K$24:$K$96,1)+COUNTIFS('2017'!$L$24:$L$106,A131&amp;" / "&amp;B131,'2017'!$K$24:$K$106,1)+COUNTIFS('2018'!$L$24:$L$106,A131&amp;" / "&amp;B131,'2018'!$K$24:$K$106,1)+COUNTIFS('2019'!$L$24:$L$106,A131&amp;" / "&amp;B131,'2019'!$K$24:$K$106,1)+COUNTIFS('2020'!$L$24:$L$106,A131&amp;" / "&amp;B131,'2020'!$K$24:$K$106,1)+COUNTIFS('2021'!$L$24:$L$112,A131&amp;" / "&amp;B131,'2021'!$K$24:$K$112,1)+COUNTIFS('2022'!$L$24:$L$112,A131&amp;" / "&amp;B131,'2022'!$K$24:$K$112,1)+COUNTIFS('2023'!$L$24:$L$112,A131&amp;" / "&amp;B131,'2023'!$K$24:$K$112,1)+COUNTIFS('2024'!$L$24:$L$112,A131&amp;" / "&amp;B131,'2024'!$K$24:$K$112,1)+COUNTIFS('2025'!$L$24:$L$112,A131&amp;" / "&amp;B131,'2025'!$K$24:$K$112,1)</x:f>
        <x:v>0</x:v>
      </x:c>
      <x:c r="G131" s="25" t="n">
        <x:f>SUMIFS('2015'!$E$24:$E$96,'2015'!$L$24:$L$96,A131&amp;" / "&amp;B131,'2015'!$C$24:$C$96,A131)+SUMIFS('2015'!$H$24:$H$96,'2015'!$L$24:$L$96,A131&amp;" / "&amp;B131,'2015'!$F$24:$F$96,A131)+SUMIFS('2016'!$E$24:$E$96,'2016'!$L$24:$L$96,A131&amp;" / "&amp;B131,'2016'!$C$24:$C$96,A131)+SUMIFS('2016'!$H$24:$H$96,'2016'!$L$24:$L$96,A131&amp;" / "&amp;B131,'2016'!$F$24:$F$96,A131)+SUMIFS('2017'!$E$24:$E$106,'2017'!$L$24:$L$106,A131&amp;" / "&amp;B131,'2017'!$C$24:$C$106,A131)+SUMIFS('2017'!$H$24:$H$106,'2017'!$L$24:$L$106,A131&amp;" / "&amp;B131,'2017'!$F$24:$F$106,A131)+SUMIFS('2018'!$E$24:$E$106,'2018'!$L$24:$L$106,A131&amp;" / "&amp;B131,'2018'!$C$24:$C$106,A131)+SUMIFS('2018'!$H$24:$H$106,'2018'!$L$24:$L$106,A131&amp;" / "&amp;B131,'2018'!$F$24:$F$106,A131)+SUMIFS('2019'!$E$24:$E$106,'2019'!$L$24:$L$106,A131&amp;" / "&amp;B131,'2019'!$C$24:$C$106,A131)+SUMIFS('2019'!$H$24:$H$106,'2019'!$L$24:$L$106,A131&amp;" / "&amp;B131,'2019'!$F$24:$F$106,A131)+SUMIFS('2020'!$E$24:$E$106,'2020'!$L$24:$L$106,A131&amp;" / "&amp;B131,'2020'!$C$24:$C$106,A131)+SUMIFS('2020'!$H$24:$H$106,'2020'!$L$24:$L$106,A131&amp;" / "&amp;B131,'2020'!$F$24:$F$106,A131)+SUMIFS('2021'!$E$24:$E$112,'2021'!$L$24:$L$112,A131&amp;" / "&amp;B131,'2021'!$C$24:$C$112,A131)+SUMIFS('2021'!$H$24:$H$112,'2021'!$L$24:$L$112,A131&amp;" / "&amp;B131,'2021'!$F$24:$F$112,A131)+SUMIFS('2022'!$E$24:$E$112,'2022'!$L$24:$L$112,A131&amp;" / "&amp;B131,'2022'!$C$24:$C$112,A131)+SUMIFS('2022'!$H$24:$H$112,'2022'!$L$24:$L$112,A131&amp;" / "&amp;B131,'2022'!$F$24:$F$112,A131)+SUMIFS('2023'!$E$24:$E$112,'2023'!$L$24:$L$112,A131&amp;" / "&amp;B131,'2023'!$C$24:$C$112,A131)+SUMIFS('2023'!$H$24:$H$112,'2023'!$L$24:$L$112,A131&amp;" / "&amp;B131,'2023'!$F$24:$F$112,A131)+SUMIFS('2024'!$E$24:$E$112,'2024'!$L$24:$L$112,A131&amp;" / "&amp;B131,'2024'!$C$24:$C$112,A131)+SUMIFS('2024'!$H$24:$H$112,'2024'!$L$24:$L$112,A131&amp;" / "&amp;B131,'2024'!$F$24:$F$112,A131)+SUMIFS('2025'!$E$24:$E$112,'2025'!$L$24:$L$112,A131&amp;" / "&amp;B131,'2025'!$C$24:$C$112,A131)+SUMIFS('2025'!$H$24:$H$112,'2025'!$L$24:$L$112,A131&amp;" / "&amp;B131,'2025'!$F$24:$F$112,A131)</x:f>
        <x:v>1117.35</x:v>
      </x:c>
      <x:c r="H131" s="25" t="n">
        <x:f>SUMIFS('2015'!$E$24:$E$96,'2015'!$L$24:$L$96,A131&amp;" / "&amp;B131,'2015'!$C$24:$C$96,B131)+SUMIFS('2015'!$H$24:$H$96,'2015'!$L$24:$L$96,A131&amp;" / "&amp;B131,'2015'!$F$24:$F$96,B131)+SUMIFS('2016'!$E$24:$E$96,'2016'!$L$24:$L$96,A131&amp;" / "&amp;B131,'2016'!$C$24:$C$96,B131)+SUMIFS('2016'!$H$24:$H$96,'2016'!$L$24:$L$96,A131&amp;" / "&amp;B131,'2016'!$F$24:$F$96,B131)+SUMIFS('2017'!$E$24:$E$106,'2017'!$L$24:$L$106,A131&amp;" / "&amp;B131,'2017'!$C$24:$C$106,B131)+SUMIFS('2017'!$H$24:$H$106,'2017'!$L$24:$L$106,A131&amp;" / "&amp;B131,'2017'!$F$24:$F$106,B131)+SUMIFS('2018'!$E$24:$E$106,'2018'!$L$24:$L$106,A131&amp;" / "&amp;B131,'2018'!$C$24:$C$106,B131)+SUMIFS('2018'!$H$24:$H$106,'2018'!$L$24:$L$106,A131&amp;" / "&amp;B131,'2018'!$F$24:$F$106,B131)+SUMIFS('2019'!$E$24:$E$106,'2019'!$L$24:$L$106,A131&amp;" / "&amp;B131,'2019'!$C$24:$C$106,B131)+SUMIFS('2019'!$H$24:$H$106,'2019'!$L$24:$L$106,A131&amp;" / "&amp;B131,'2019'!$F$24:$F$106,B131)+SUMIFS('2020'!$E$24:$E$106,'2020'!$L$24:$L$106,A131&amp;" / "&amp;B131,'2020'!$C$24:$C$106,B131)+SUMIFS('2020'!$H$24:$H$106,'2020'!$L$24:$L$106,A131&amp;" / "&amp;B131,'2020'!$F$24:$F$106,B131)+SUMIFS('2021'!$E$24:$E$112,'2021'!$L$24:$L$112,A131&amp;" / "&amp;B131,'2021'!$C$24:$C$112,B131)+SUMIFS('2021'!$H$24:$H$112,'2021'!$L$24:$L$112,A131&amp;" / "&amp;B131,'2021'!$F$24:$F$112,B131)+SUMIFS('2022'!$E$24:$E$112,'2022'!$L$24:$L$112,A131&amp;" / "&amp;B131,'2022'!$C$24:$C$112,B131)+SUMIFS('2022'!$H$24:$H$112,'2022'!$L$24:$L$112,A131&amp;" / "&amp;B131,'2022'!$F$24:$F$112,B131)+SUMIFS('2023'!$E$24:$E$112,'2023'!$L$24:$L$112,A131&amp;" / "&amp;B131,'2023'!$C$24:$C$112,B131)+SUMIFS('2023'!$H$24:$H$112,'2023'!$L$24:$L$112,A131&amp;" / "&amp;B131,'2023'!$F$24:$F$112,B131)+SUMIFS('2024'!$E$24:$E$112,'2024'!$L$24:$L$112,A131&amp;" / "&amp;B131,'2024'!$C$24:$C$112,B131)+SUMIFS('2024'!$H$24:$H$112,'2024'!$L$24:$L$112,A131&amp;" / "&amp;B131,'2024'!$F$24:$F$112,B131)+SUMIFS('2025'!$E$24:$E$112,'2025'!$L$24:$L$112,A131&amp;" / "&amp;B131,'2025'!$C$24:$C$112,B131)+SUMIFS('2025'!$H$24:$H$112,'2025'!$L$24:$L$112,A131&amp;" / "&amp;B131,'2025'!$F$24:$F$112,B131)</x:f>
        <x:v>1145.15</x:v>
      </x:c>
      <x:c r="I131" s="11" t="n">
        <x:f>IF(C131=0,0,(D131+0.5*F131)/C131)</x:f>
        <x:v>0.4444444444444444</x:v>
      </x:c>
      <x:c r="J131" s="2" t="n">
        <x:f>COUNTIFS('2015'!$L$24:$L$96,A131&amp;" / "&amp;B131,'2015'!$B$24:$B$96,"Regular")+COUNTIFS('2016'!$L$24:$L$96,A131&amp;" / "&amp;B131,'2016'!$B$24:$B$96,"Regular")+COUNTIFS('2017'!$L$24:$L$106,A131&amp;" / "&amp;B131,'2017'!$B$24:$B$106,"Regular")+COUNTIFS('2018'!$L$24:$L$106,A131&amp;" / "&amp;B131,'2018'!$B$24:$B$106,"Regular")+COUNTIFS('2019'!$L$24:$L$106,A131&amp;" / "&amp;B131,'2019'!$B$24:$B$106,"Regular")+COUNTIFS('2020'!$L$24:$L$106,A131&amp;" / "&amp;B131,'2020'!$B$24:$B$106,"Regular")+COUNTIFS('2021'!$L$24:$L$112,A131&amp;" / "&amp;B131,'2021'!$B$24:$B$112,"Regular")+COUNTIFS('2022'!$L$24:$L$112,A131&amp;" / "&amp;B131,'2022'!$B$24:$B$112,"Regular")+COUNTIFS('2023'!$L$24:$L$112,A131&amp;" / "&amp;B131,'2023'!$B$24:$B$112,"Regular")+COUNTIFS('2024'!$L$24:$L$112,A131&amp;" / "&amp;B131,'2024'!$B$24:$B$112,"Regular")+COUNTIFS('2025'!$L$24:$L$112,A131&amp;" / "&amp;B131,'2025'!$B$24:$B$112,"Regular")</x:f>
        <x:v>8</x:v>
      </x:c>
      <x:c r="K131" s="2" t="n">
        <x:f>COUNTIFS('2015'!$L$24:$L$96,A131&amp;" / "&amp;B131,'2015'!$B$24:$B$96,"Playoffs")+COUNTIFS('2016'!$L$24:$L$96,A131&amp;" / "&amp;B131,'2016'!$B$24:$B$96,"Playoffs")+COUNTIFS('2017'!$L$24:$L$106,A131&amp;" / "&amp;B131,'2017'!$B$24:$B$106,"Playoffs")+COUNTIFS('2018'!$L$24:$L$106,A131&amp;" / "&amp;B131,'2018'!$B$24:$B$106,"Playoffs")+COUNTIFS('2019'!$L$24:$L$106,A131&amp;" / "&amp;B131,'2019'!$B$24:$B$106,"Playoffs")+COUNTIFS('2020'!$L$24:$L$106,A131&amp;" / "&amp;B131,'2020'!$B$24:$B$106,"Playoffs")+COUNTIFS('2021'!$L$24:$L$112,A131&amp;" / "&amp;B131,'2021'!$B$24:$B$112,"Playoffs")+COUNTIFS('2022'!$L$24:$L$112,A131&amp;" / "&amp;B131,'2022'!$B$24:$B$112,"Playoffs")+COUNTIFS('2023'!$L$24:$L$112,A131&amp;" / "&amp;B131,'2023'!$B$24:$B$112,"Playoffs")+COUNTIFS('2024'!$L$24:$L$112,A131&amp;" / "&amp;B131,'2024'!$B$24:$B$112,"Playoffs")+COUNTIFS('2025'!$L$24:$L$112,A131&amp;" / "&amp;B131,'2025'!$B$24:$B$112,"Playoffs")</x:f>
        <x:v>1</x:v>
      </x:c>
      <x:c r="L131" s="2" t="n">
        <x:f>COUNTIFS('2015'!$L$24:$L$96,A131&amp;" / "&amp;B131,'2015'!$B$24:$B$96,"Unconfirmed")+COUNTIFS('2016'!$L$24:$L$96,A131&amp;" / "&amp;B131,'2016'!$B$24:$B$96,"Unconfirmed")+COUNTIFS('2017'!$L$24:$L$106,A131&amp;" / "&amp;B131,'2017'!$B$24:$B$106,"Unconfirmed")+COUNTIFS('2018'!$L$24:$L$106,A131&amp;" / "&amp;B131,'2018'!$B$24:$B$106,"Unconfirmed")+COUNTIFS('2019'!$L$24:$L$106,A131&amp;" / "&amp;B131,'2019'!$B$24:$B$106,"Unconfirmed")+COUNTIFS('2020'!$L$24:$L$106,A131&amp;" / "&amp;B131,'2020'!$B$24:$B$106,"Unconfirmed")+COUNTIFS('2021'!$L$24:$L$112,A131&amp;" / "&amp;B131,'2021'!$B$24:$B$112,"Unconfirmed")+COUNTIFS('2022'!$L$24:$L$112,A131&amp;" / "&amp;B131,'2022'!$B$24:$B$112,"Unconfirmed")+COUNTIFS('2023'!$L$24:$L$112,A131&amp;" / "&amp;B131,'2023'!$B$24:$B$112,"Unconfirmed")+COUNTIFS('2024'!$L$24:$L$112,A131&amp;" / "&amp;B131,'2024'!$B$24:$B$112,"Unconfirmed")+COUNTIFS('2025'!$L$24:$L$112,A131&amp;" / "&amp;B131,'2025'!$B$24:$B$112,"Unconfirmed")</x:f>
        <x:v>0</x:v>
      </x:c>
    </x:row>
    <x:row r="132" ht="22" customHeight="1">
      <x:c r="A132" s="2" t="str">
        <x:v>Josh</x:v>
      </x:c>
      <x:c r="B132" s="2" t="str">
        <x:v>Paul</x:v>
      </x:c>
      <x:c r="C132" s="2" t="n">
        <x:f>COUNTIFS('2015'!$L$24:$L$96,A132&amp;" / "&amp;B132)+COUNTIFS('2016'!$L$24:$L$96,A132&amp;" / "&amp;B132)+COUNTIFS('2017'!$L$24:$L$106,A132&amp;" / "&amp;B132)+COUNTIFS('2018'!$L$24:$L$106,A132&amp;" / "&amp;B132)+COUNTIFS('2019'!$L$24:$L$106,A132&amp;" / "&amp;B132)+COUNTIFS('2020'!$L$24:$L$106,A132&amp;" / "&amp;B132)+COUNTIFS('2021'!$L$24:$L$112,A132&amp;" / "&amp;B132)+COUNTIFS('2022'!$L$24:$L$112,A132&amp;" / "&amp;B132)+COUNTIFS('2023'!$L$24:$L$112,A132&amp;" / "&amp;B132)+COUNTIFS('2024'!$L$24:$L$112,A132&amp;" / "&amp;B132)+COUNTIFS('2025'!$L$24:$L$112,A132&amp;" / "&amp;B132)</x:f>
        <x:v>10</x:v>
      </x:c>
      <x:c r="D132" s="2" t="n">
        <x:f>COUNTIFS('2015'!$L$24:$L$96,A132&amp;" / "&amp;B132,'2015'!$I$24:$I$96,A132)+COUNTIFS('2016'!$L$24:$L$96,A132&amp;" / "&amp;B132,'2016'!$I$24:$I$96,A132)+COUNTIFS('2017'!$L$24:$L$106,A132&amp;" / "&amp;B132,'2017'!$I$24:$I$106,A132)+COUNTIFS('2018'!$L$24:$L$106,A132&amp;" / "&amp;B132,'2018'!$I$24:$I$106,A132)+COUNTIFS('2019'!$L$24:$L$106,A132&amp;" / "&amp;B132,'2019'!$I$24:$I$106,A132)+COUNTIFS('2020'!$L$24:$L$106,A132&amp;" / "&amp;B132,'2020'!$I$24:$I$106,A132)+COUNTIFS('2021'!$L$24:$L$112,A132&amp;" / "&amp;B132,'2021'!$I$24:$I$112,A132)+COUNTIFS('2022'!$L$24:$L$112,A132&amp;" / "&amp;B132,'2022'!$I$24:$I$112,A132)+COUNTIFS('2023'!$L$24:$L$112,A132&amp;" / "&amp;B132,'2023'!$I$24:$I$112,A132)+COUNTIFS('2024'!$L$24:$L$112,A132&amp;" / "&amp;B132,'2024'!$I$24:$I$112,A132)+COUNTIFS('2025'!$L$24:$L$112,A132&amp;" / "&amp;B132,'2025'!$I$24:$I$112,A132)</x:f>
        <x:v>3</x:v>
      </x:c>
      <x:c r="E132" s="2" t="n">
        <x:f>COUNTIFS('2015'!$L$24:$L$96,A132&amp;" / "&amp;B132,'2015'!$I$24:$I$96,B132)+COUNTIFS('2016'!$L$24:$L$96,A132&amp;" / "&amp;B132,'2016'!$I$24:$I$96,B132)+COUNTIFS('2017'!$L$24:$L$106,A132&amp;" / "&amp;B132,'2017'!$I$24:$I$106,B132)+COUNTIFS('2018'!$L$24:$L$106,A132&amp;" / "&amp;B132,'2018'!$I$24:$I$106,B132)+COUNTIFS('2019'!$L$24:$L$106,A132&amp;" / "&amp;B132,'2019'!$I$24:$I$106,B132)+COUNTIFS('2020'!$L$24:$L$106,A132&amp;" / "&amp;B132,'2020'!$I$24:$I$106,B132)+COUNTIFS('2021'!$L$24:$L$112,A132&amp;" / "&amp;B132,'2021'!$I$24:$I$112,B132)+COUNTIFS('2022'!$L$24:$L$112,A132&amp;" / "&amp;B132,'2022'!$I$24:$I$112,B132)+COUNTIFS('2023'!$L$24:$L$112,A132&amp;" / "&amp;B132,'2023'!$I$24:$I$112,B132)+COUNTIFS('2024'!$L$24:$L$112,A132&amp;" / "&amp;B132,'2024'!$I$24:$I$112,B132)+COUNTIFS('2025'!$L$24:$L$112,A132&amp;" / "&amp;B132,'2025'!$I$24:$I$112,B132)</x:f>
        <x:v>7</x:v>
      </x:c>
      <x:c r="F132" s="2" t="n">
        <x:f>COUNTIFS('2015'!$L$24:$L$96,A132&amp;" / "&amp;B132,'2015'!$K$24:$K$96,1)+COUNTIFS('2016'!$L$24:$L$96,A132&amp;" / "&amp;B132,'2016'!$K$24:$K$96,1)+COUNTIFS('2017'!$L$24:$L$106,A132&amp;" / "&amp;B132,'2017'!$K$24:$K$106,1)+COUNTIFS('2018'!$L$24:$L$106,A132&amp;" / "&amp;B132,'2018'!$K$24:$K$106,1)+COUNTIFS('2019'!$L$24:$L$106,A132&amp;" / "&amp;B132,'2019'!$K$24:$K$106,1)+COUNTIFS('2020'!$L$24:$L$106,A132&amp;" / "&amp;B132,'2020'!$K$24:$K$106,1)+COUNTIFS('2021'!$L$24:$L$112,A132&amp;" / "&amp;B132,'2021'!$K$24:$K$112,1)+COUNTIFS('2022'!$L$24:$L$112,A132&amp;" / "&amp;B132,'2022'!$K$24:$K$112,1)+COUNTIFS('2023'!$L$24:$L$112,A132&amp;" / "&amp;B132,'2023'!$K$24:$K$112,1)+COUNTIFS('2024'!$L$24:$L$112,A132&amp;" / "&amp;B132,'2024'!$K$24:$K$112,1)+COUNTIFS('2025'!$L$24:$L$112,A132&amp;" / "&amp;B132,'2025'!$K$24:$K$112,1)</x:f>
        <x:v>0</x:v>
      </x:c>
      <x:c r="G132" s="25" t="n">
        <x:f>SUMIFS('2015'!$E$24:$E$96,'2015'!$L$24:$L$96,A132&amp;" / "&amp;B132,'2015'!$C$24:$C$96,A132)+SUMIFS('2015'!$H$24:$H$96,'2015'!$L$24:$L$96,A132&amp;" / "&amp;B132,'2015'!$F$24:$F$96,A132)+SUMIFS('2016'!$E$24:$E$96,'2016'!$L$24:$L$96,A132&amp;" / "&amp;B132,'2016'!$C$24:$C$96,A132)+SUMIFS('2016'!$H$24:$H$96,'2016'!$L$24:$L$96,A132&amp;" / "&amp;B132,'2016'!$F$24:$F$96,A132)+SUMIFS('2017'!$E$24:$E$106,'2017'!$L$24:$L$106,A132&amp;" / "&amp;B132,'2017'!$C$24:$C$106,A132)+SUMIFS('2017'!$H$24:$H$106,'2017'!$L$24:$L$106,A132&amp;" / "&amp;B132,'2017'!$F$24:$F$106,A132)+SUMIFS('2018'!$E$24:$E$106,'2018'!$L$24:$L$106,A132&amp;" / "&amp;B132,'2018'!$C$24:$C$106,A132)+SUMIFS('2018'!$H$24:$H$106,'2018'!$L$24:$L$106,A132&amp;" / "&amp;B132,'2018'!$F$24:$F$106,A132)+SUMIFS('2019'!$E$24:$E$106,'2019'!$L$24:$L$106,A132&amp;" / "&amp;B132,'2019'!$C$24:$C$106,A132)+SUMIFS('2019'!$H$24:$H$106,'2019'!$L$24:$L$106,A132&amp;" / "&amp;B132,'2019'!$F$24:$F$106,A132)+SUMIFS('2020'!$E$24:$E$106,'2020'!$L$24:$L$106,A132&amp;" / "&amp;B132,'2020'!$C$24:$C$106,A132)+SUMIFS('2020'!$H$24:$H$106,'2020'!$L$24:$L$106,A132&amp;" / "&amp;B132,'2020'!$F$24:$F$106,A132)+SUMIFS('2021'!$E$24:$E$112,'2021'!$L$24:$L$112,A132&amp;" / "&amp;B132,'2021'!$C$24:$C$112,A132)+SUMIFS('2021'!$H$24:$H$112,'2021'!$L$24:$L$112,A132&amp;" / "&amp;B132,'2021'!$F$24:$F$112,A132)+SUMIFS('2022'!$E$24:$E$112,'2022'!$L$24:$L$112,A132&amp;" / "&amp;B132,'2022'!$C$24:$C$112,A132)+SUMIFS('2022'!$H$24:$H$112,'2022'!$L$24:$L$112,A132&amp;" / "&amp;B132,'2022'!$F$24:$F$112,A132)+SUMIFS('2023'!$E$24:$E$112,'2023'!$L$24:$L$112,A132&amp;" / "&amp;B132,'2023'!$C$24:$C$112,A132)+SUMIFS('2023'!$H$24:$H$112,'2023'!$L$24:$L$112,A132&amp;" / "&amp;B132,'2023'!$F$24:$F$112,A132)+SUMIFS('2024'!$E$24:$E$112,'2024'!$L$24:$L$112,A132&amp;" / "&amp;B132,'2024'!$C$24:$C$112,A132)+SUMIFS('2024'!$H$24:$H$112,'2024'!$L$24:$L$112,A132&amp;" / "&amp;B132,'2024'!$F$24:$F$112,A132)+SUMIFS('2025'!$E$24:$E$112,'2025'!$L$24:$L$112,A132&amp;" / "&amp;B132,'2025'!$C$24:$C$112,A132)+SUMIFS('2025'!$H$24:$H$112,'2025'!$L$24:$L$112,A132&amp;" / "&amp;B132,'2025'!$F$24:$F$112,A132)</x:f>
        <x:v>1173.7</x:v>
      </x:c>
      <x:c r="H132" s="25" t="n">
        <x:f>SUMIFS('2015'!$E$24:$E$96,'2015'!$L$24:$L$96,A132&amp;" / "&amp;B132,'2015'!$C$24:$C$96,B132)+SUMIFS('2015'!$H$24:$H$96,'2015'!$L$24:$L$96,A132&amp;" / "&amp;B132,'2015'!$F$24:$F$96,B132)+SUMIFS('2016'!$E$24:$E$96,'2016'!$L$24:$L$96,A132&amp;" / "&amp;B132,'2016'!$C$24:$C$96,B132)+SUMIFS('2016'!$H$24:$H$96,'2016'!$L$24:$L$96,A132&amp;" / "&amp;B132,'2016'!$F$24:$F$96,B132)+SUMIFS('2017'!$E$24:$E$106,'2017'!$L$24:$L$106,A132&amp;" / "&amp;B132,'2017'!$C$24:$C$106,B132)+SUMIFS('2017'!$H$24:$H$106,'2017'!$L$24:$L$106,A132&amp;" / "&amp;B132,'2017'!$F$24:$F$106,B132)+SUMIFS('2018'!$E$24:$E$106,'2018'!$L$24:$L$106,A132&amp;" / "&amp;B132,'2018'!$C$24:$C$106,B132)+SUMIFS('2018'!$H$24:$H$106,'2018'!$L$24:$L$106,A132&amp;" / "&amp;B132,'2018'!$F$24:$F$106,B132)+SUMIFS('2019'!$E$24:$E$106,'2019'!$L$24:$L$106,A132&amp;" / "&amp;B132,'2019'!$C$24:$C$106,B132)+SUMIFS('2019'!$H$24:$H$106,'2019'!$L$24:$L$106,A132&amp;" / "&amp;B132,'2019'!$F$24:$F$106,B132)+SUMIFS('2020'!$E$24:$E$106,'2020'!$L$24:$L$106,A132&amp;" / "&amp;B132,'2020'!$C$24:$C$106,B132)+SUMIFS('2020'!$H$24:$H$106,'2020'!$L$24:$L$106,A132&amp;" / "&amp;B132,'2020'!$F$24:$F$106,B132)+SUMIFS('2021'!$E$24:$E$112,'2021'!$L$24:$L$112,A132&amp;" / "&amp;B132,'2021'!$C$24:$C$112,B132)+SUMIFS('2021'!$H$24:$H$112,'2021'!$L$24:$L$112,A132&amp;" / "&amp;B132,'2021'!$F$24:$F$112,B132)+SUMIFS('2022'!$E$24:$E$112,'2022'!$L$24:$L$112,A132&amp;" / "&amp;B132,'2022'!$C$24:$C$112,B132)+SUMIFS('2022'!$H$24:$H$112,'2022'!$L$24:$L$112,A132&amp;" / "&amp;B132,'2022'!$F$24:$F$112,B132)+SUMIFS('2023'!$E$24:$E$112,'2023'!$L$24:$L$112,A132&amp;" / "&amp;B132,'2023'!$C$24:$C$112,B132)+SUMIFS('2023'!$H$24:$H$112,'2023'!$L$24:$L$112,A132&amp;" / "&amp;B132,'2023'!$F$24:$F$112,B132)+SUMIFS('2024'!$E$24:$E$112,'2024'!$L$24:$L$112,A132&amp;" / "&amp;B132,'2024'!$C$24:$C$112,B132)+SUMIFS('2024'!$H$24:$H$112,'2024'!$L$24:$L$112,A132&amp;" / "&amp;B132,'2024'!$F$24:$F$112,B132)+SUMIFS('2025'!$E$24:$E$112,'2025'!$L$24:$L$112,A132&amp;" / "&amp;B132,'2025'!$C$24:$C$112,B132)+SUMIFS('2025'!$H$24:$H$112,'2025'!$L$24:$L$112,A132&amp;" / "&amp;B132,'2025'!$F$24:$F$112,B132)</x:f>
        <x:v>1259.9</x:v>
      </x:c>
      <x:c r="I132" s="11" t="n">
        <x:f>IF(C132=0,0,(D132+0.5*F132)/C132)</x:f>
        <x:v>0.3</x:v>
      </x:c>
      <x:c r="J132" s="2" t="n">
        <x:f>COUNTIFS('2015'!$L$24:$L$96,A132&amp;" / "&amp;B132,'2015'!$B$24:$B$96,"Regular")+COUNTIFS('2016'!$L$24:$L$96,A132&amp;" / "&amp;B132,'2016'!$B$24:$B$96,"Regular")+COUNTIFS('2017'!$L$24:$L$106,A132&amp;" / "&amp;B132,'2017'!$B$24:$B$106,"Regular")+COUNTIFS('2018'!$L$24:$L$106,A132&amp;" / "&amp;B132,'2018'!$B$24:$B$106,"Regular")+COUNTIFS('2019'!$L$24:$L$106,A132&amp;" / "&amp;B132,'2019'!$B$24:$B$106,"Regular")+COUNTIFS('2020'!$L$24:$L$106,A132&amp;" / "&amp;B132,'2020'!$B$24:$B$106,"Regular")+COUNTIFS('2021'!$L$24:$L$112,A132&amp;" / "&amp;B132,'2021'!$B$24:$B$112,"Regular")+COUNTIFS('2022'!$L$24:$L$112,A132&amp;" / "&amp;B132,'2022'!$B$24:$B$112,"Regular")+COUNTIFS('2023'!$L$24:$L$112,A132&amp;" / "&amp;B132,'2023'!$B$24:$B$112,"Regular")+COUNTIFS('2024'!$L$24:$L$112,A132&amp;" / "&amp;B132,'2024'!$B$24:$B$112,"Regular")+COUNTIFS('2025'!$L$24:$L$112,A132&amp;" / "&amp;B132,'2025'!$B$24:$B$112,"Regular")</x:f>
        <x:v>8</x:v>
      </x:c>
      <x:c r="K132" s="2" t="n">
        <x:f>COUNTIFS('2015'!$L$24:$L$96,A132&amp;" / "&amp;B132,'2015'!$B$24:$B$96,"Playoffs")+COUNTIFS('2016'!$L$24:$L$96,A132&amp;" / "&amp;B132,'2016'!$B$24:$B$96,"Playoffs")+COUNTIFS('2017'!$L$24:$L$106,A132&amp;" / "&amp;B132,'2017'!$B$24:$B$106,"Playoffs")+COUNTIFS('2018'!$L$24:$L$106,A132&amp;" / "&amp;B132,'2018'!$B$24:$B$106,"Playoffs")+COUNTIFS('2019'!$L$24:$L$106,A132&amp;" / "&amp;B132,'2019'!$B$24:$B$106,"Playoffs")+COUNTIFS('2020'!$L$24:$L$106,A132&amp;" / "&amp;B132,'2020'!$B$24:$B$106,"Playoffs")+COUNTIFS('2021'!$L$24:$L$112,A132&amp;" / "&amp;B132,'2021'!$B$24:$B$112,"Playoffs")+COUNTIFS('2022'!$L$24:$L$112,A132&amp;" / "&amp;B132,'2022'!$B$24:$B$112,"Playoffs")+COUNTIFS('2023'!$L$24:$L$112,A132&amp;" / "&amp;B132,'2023'!$B$24:$B$112,"Playoffs")+COUNTIFS('2024'!$L$24:$L$112,A132&amp;" / "&amp;B132,'2024'!$B$24:$B$112,"Playoffs")+COUNTIFS('2025'!$L$24:$L$112,A132&amp;" / "&amp;B132,'2025'!$B$24:$B$112,"Playoffs")</x:f>
        <x:v>2</x:v>
      </x:c>
      <x:c r="L132" s="2" t="n">
        <x:f>COUNTIFS('2015'!$L$24:$L$96,A132&amp;" / "&amp;B132,'2015'!$B$24:$B$96,"Unconfirmed")+COUNTIFS('2016'!$L$24:$L$96,A132&amp;" / "&amp;B132,'2016'!$B$24:$B$96,"Unconfirmed")+COUNTIFS('2017'!$L$24:$L$106,A132&amp;" / "&amp;B132,'2017'!$B$24:$B$106,"Unconfirmed")+COUNTIFS('2018'!$L$24:$L$106,A132&amp;" / "&amp;B132,'2018'!$B$24:$B$106,"Unconfirmed")+COUNTIFS('2019'!$L$24:$L$106,A132&amp;" / "&amp;B132,'2019'!$B$24:$B$106,"Unconfirmed")+COUNTIFS('2020'!$L$24:$L$106,A132&amp;" / "&amp;B132,'2020'!$B$24:$B$106,"Unconfirmed")+COUNTIFS('2021'!$L$24:$L$112,A132&amp;" / "&amp;B132,'2021'!$B$24:$B$112,"Unconfirmed")+COUNTIFS('2022'!$L$24:$L$112,A132&amp;" / "&amp;B132,'2022'!$B$24:$B$112,"Unconfirmed")+COUNTIFS('2023'!$L$24:$L$112,A132&amp;" / "&amp;B132,'2023'!$B$24:$B$112,"Unconfirmed")+COUNTIFS('2024'!$L$24:$L$112,A132&amp;" / "&amp;B132,'2024'!$B$24:$B$112,"Unconfirmed")+COUNTIFS('2025'!$L$24:$L$112,A132&amp;" / "&amp;B132,'2025'!$B$24:$B$112,"Unconfirmed")</x:f>
        <x:v>0</x:v>
      </x:c>
    </x:row>
    <x:row r="133" ht="22" customHeight="1">
      <x:c r="A133" s="2" t="str">
        <x:v>Josh</x:v>
      </x:c>
      <x:c r="B133" s="2" t="str">
        <x:v>Poker Dude</x:v>
      </x:c>
      <x:c r="C133" s="2" t="n">
        <x:f>COUNTIFS('2015'!$L$24:$L$96,A133&amp;" / "&amp;B133)+COUNTIFS('2016'!$L$24:$L$96,A133&amp;" / "&amp;B133)+COUNTIFS('2017'!$L$24:$L$106,A133&amp;" / "&amp;B133)+COUNTIFS('2018'!$L$24:$L$106,A133&amp;" / "&amp;B133)+COUNTIFS('2019'!$L$24:$L$106,A133&amp;" / "&amp;B133)+COUNTIFS('2020'!$L$24:$L$106,A133&amp;" / "&amp;B133)+COUNTIFS('2021'!$L$24:$L$112,A133&amp;" / "&amp;B133)+COUNTIFS('2022'!$L$24:$L$112,A133&amp;" / "&amp;B133)+COUNTIFS('2023'!$L$24:$L$112,A133&amp;" / "&amp;B133)+COUNTIFS('2024'!$L$24:$L$112,A133&amp;" / "&amp;B133)+COUNTIFS('2025'!$L$24:$L$112,A133&amp;" / "&amp;B133)</x:f>
        <x:v>4</x:v>
      </x:c>
      <x:c r="D133" s="2" t="n">
        <x:f>COUNTIFS('2015'!$L$24:$L$96,A133&amp;" / "&amp;B133,'2015'!$I$24:$I$96,A133)+COUNTIFS('2016'!$L$24:$L$96,A133&amp;" / "&amp;B133,'2016'!$I$24:$I$96,A133)+COUNTIFS('2017'!$L$24:$L$106,A133&amp;" / "&amp;B133,'2017'!$I$24:$I$106,A133)+COUNTIFS('2018'!$L$24:$L$106,A133&amp;" / "&amp;B133,'2018'!$I$24:$I$106,A133)+COUNTIFS('2019'!$L$24:$L$106,A133&amp;" / "&amp;B133,'2019'!$I$24:$I$106,A133)+COUNTIFS('2020'!$L$24:$L$106,A133&amp;" / "&amp;B133,'2020'!$I$24:$I$106,A133)+COUNTIFS('2021'!$L$24:$L$112,A133&amp;" / "&amp;B133,'2021'!$I$24:$I$112,A133)+COUNTIFS('2022'!$L$24:$L$112,A133&amp;" / "&amp;B133,'2022'!$I$24:$I$112,A133)+COUNTIFS('2023'!$L$24:$L$112,A133&amp;" / "&amp;B133,'2023'!$I$24:$I$112,A133)+COUNTIFS('2024'!$L$24:$L$112,A133&amp;" / "&amp;B133,'2024'!$I$24:$I$112,A133)+COUNTIFS('2025'!$L$24:$L$112,A133&amp;" / "&amp;B133,'2025'!$I$24:$I$112,A133)</x:f>
        <x:v>3</x:v>
      </x:c>
      <x:c r="E133" s="2" t="n">
        <x:f>COUNTIFS('2015'!$L$24:$L$96,A133&amp;" / "&amp;B133,'2015'!$I$24:$I$96,B133)+COUNTIFS('2016'!$L$24:$L$96,A133&amp;" / "&amp;B133,'2016'!$I$24:$I$96,B133)+COUNTIFS('2017'!$L$24:$L$106,A133&amp;" / "&amp;B133,'2017'!$I$24:$I$106,B133)+COUNTIFS('2018'!$L$24:$L$106,A133&amp;" / "&amp;B133,'2018'!$I$24:$I$106,B133)+COUNTIFS('2019'!$L$24:$L$106,A133&amp;" / "&amp;B133,'2019'!$I$24:$I$106,B133)+COUNTIFS('2020'!$L$24:$L$106,A133&amp;" / "&amp;B133,'2020'!$I$24:$I$106,B133)+COUNTIFS('2021'!$L$24:$L$112,A133&amp;" / "&amp;B133,'2021'!$I$24:$I$112,B133)+COUNTIFS('2022'!$L$24:$L$112,A133&amp;" / "&amp;B133,'2022'!$I$24:$I$112,B133)+COUNTIFS('2023'!$L$24:$L$112,A133&amp;" / "&amp;B133,'2023'!$I$24:$I$112,B133)+COUNTIFS('2024'!$L$24:$L$112,A133&amp;" / "&amp;B133,'2024'!$I$24:$I$112,B133)+COUNTIFS('2025'!$L$24:$L$112,A133&amp;" / "&amp;B133,'2025'!$I$24:$I$112,B133)</x:f>
        <x:v>1</x:v>
      </x:c>
      <x:c r="F133" s="2" t="n">
        <x:f>COUNTIFS('2015'!$L$24:$L$96,A133&amp;" / "&amp;B133,'2015'!$K$24:$K$96,1)+COUNTIFS('2016'!$L$24:$L$96,A133&amp;" / "&amp;B133,'2016'!$K$24:$K$96,1)+COUNTIFS('2017'!$L$24:$L$106,A133&amp;" / "&amp;B133,'2017'!$K$24:$K$106,1)+COUNTIFS('2018'!$L$24:$L$106,A133&amp;" / "&amp;B133,'2018'!$K$24:$K$106,1)+COUNTIFS('2019'!$L$24:$L$106,A133&amp;" / "&amp;B133,'2019'!$K$24:$K$106,1)+COUNTIFS('2020'!$L$24:$L$106,A133&amp;" / "&amp;B133,'2020'!$K$24:$K$106,1)+COUNTIFS('2021'!$L$24:$L$112,A133&amp;" / "&amp;B133,'2021'!$K$24:$K$112,1)+COUNTIFS('2022'!$L$24:$L$112,A133&amp;" / "&amp;B133,'2022'!$K$24:$K$112,1)+COUNTIFS('2023'!$L$24:$L$112,A133&amp;" / "&amp;B133,'2023'!$K$24:$K$112,1)+COUNTIFS('2024'!$L$24:$L$112,A133&amp;" / "&amp;B133,'2024'!$K$24:$K$112,1)+COUNTIFS('2025'!$L$24:$L$112,A133&amp;" / "&amp;B133,'2025'!$K$24:$K$112,1)</x:f>
        <x:v>0</x:v>
      </x:c>
      <x:c r="G133" s="25" t="n">
        <x:f>SUMIFS('2015'!$E$24:$E$96,'2015'!$L$24:$L$96,A133&amp;" / "&amp;B133,'2015'!$C$24:$C$96,A133)+SUMIFS('2015'!$H$24:$H$96,'2015'!$L$24:$L$96,A133&amp;" / "&amp;B133,'2015'!$F$24:$F$96,A133)+SUMIFS('2016'!$E$24:$E$96,'2016'!$L$24:$L$96,A133&amp;" / "&amp;B133,'2016'!$C$24:$C$96,A133)+SUMIFS('2016'!$H$24:$H$96,'2016'!$L$24:$L$96,A133&amp;" / "&amp;B133,'2016'!$F$24:$F$96,A133)+SUMIFS('2017'!$E$24:$E$106,'2017'!$L$24:$L$106,A133&amp;" / "&amp;B133,'2017'!$C$24:$C$106,A133)+SUMIFS('2017'!$H$24:$H$106,'2017'!$L$24:$L$106,A133&amp;" / "&amp;B133,'2017'!$F$24:$F$106,A133)+SUMIFS('2018'!$E$24:$E$106,'2018'!$L$24:$L$106,A133&amp;" / "&amp;B133,'2018'!$C$24:$C$106,A133)+SUMIFS('2018'!$H$24:$H$106,'2018'!$L$24:$L$106,A133&amp;" / "&amp;B133,'2018'!$F$24:$F$106,A133)+SUMIFS('2019'!$E$24:$E$106,'2019'!$L$24:$L$106,A133&amp;" / "&amp;B133,'2019'!$C$24:$C$106,A133)+SUMIFS('2019'!$H$24:$H$106,'2019'!$L$24:$L$106,A133&amp;" / "&amp;B133,'2019'!$F$24:$F$106,A133)+SUMIFS('2020'!$E$24:$E$106,'2020'!$L$24:$L$106,A133&amp;" / "&amp;B133,'2020'!$C$24:$C$106,A133)+SUMIFS('2020'!$H$24:$H$106,'2020'!$L$24:$L$106,A133&amp;" / "&amp;B133,'2020'!$F$24:$F$106,A133)+SUMIFS('2021'!$E$24:$E$112,'2021'!$L$24:$L$112,A133&amp;" / "&amp;B133,'2021'!$C$24:$C$112,A133)+SUMIFS('2021'!$H$24:$H$112,'2021'!$L$24:$L$112,A133&amp;" / "&amp;B133,'2021'!$F$24:$F$112,A133)+SUMIFS('2022'!$E$24:$E$112,'2022'!$L$24:$L$112,A133&amp;" / "&amp;B133,'2022'!$C$24:$C$112,A133)+SUMIFS('2022'!$H$24:$H$112,'2022'!$L$24:$L$112,A133&amp;" / "&amp;B133,'2022'!$F$24:$F$112,A133)+SUMIFS('2023'!$E$24:$E$112,'2023'!$L$24:$L$112,A133&amp;" / "&amp;B133,'2023'!$C$24:$C$112,A133)+SUMIFS('2023'!$H$24:$H$112,'2023'!$L$24:$L$112,A133&amp;" / "&amp;B133,'2023'!$F$24:$F$112,A133)+SUMIFS('2024'!$E$24:$E$112,'2024'!$L$24:$L$112,A133&amp;" / "&amp;B133,'2024'!$C$24:$C$112,A133)+SUMIFS('2024'!$H$24:$H$112,'2024'!$L$24:$L$112,A133&amp;" / "&amp;B133,'2024'!$F$24:$F$112,A133)+SUMIFS('2025'!$E$24:$E$112,'2025'!$L$24:$L$112,A133&amp;" / "&amp;B133,'2025'!$C$24:$C$112,A133)+SUMIFS('2025'!$H$24:$H$112,'2025'!$L$24:$L$112,A133&amp;" / "&amp;B133,'2025'!$F$24:$F$112,A133)</x:f>
        <x:v>538.05</x:v>
      </x:c>
      <x:c r="H133" s="25" t="n">
        <x:f>SUMIFS('2015'!$E$24:$E$96,'2015'!$L$24:$L$96,A133&amp;" / "&amp;B133,'2015'!$C$24:$C$96,B133)+SUMIFS('2015'!$H$24:$H$96,'2015'!$L$24:$L$96,A133&amp;" / "&amp;B133,'2015'!$F$24:$F$96,B133)+SUMIFS('2016'!$E$24:$E$96,'2016'!$L$24:$L$96,A133&amp;" / "&amp;B133,'2016'!$C$24:$C$96,B133)+SUMIFS('2016'!$H$24:$H$96,'2016'!$L$24:$L$96,A133&amp;" / "&amp;B133,'2016'!$F$24:$F$96,B133)+SUMIFS('2017'!$E$24:$E$106,'2017'!$L$24:$L$106,A133&amp;" / "&amp;B133,'2017'!$C$24:$C$106,B133)+SUMIFS('2017'!$H$24:$H$106,'2017'!$L$24:$L$106,A133&amp;" / "&amp;B133,'2017'!$F$24:$F$106,B133)+SUMIFS('2018'!$E$24:$E$106,'2018'!$L$24:$L$106,A133&amp;" / "&amp;B133,'2018'!$C$24:$C$106,B133)+SUMIFS('2018'!$H$24:$H$106,'2018'!$L$24:$L$106,A133&amp;" / "&amp;B133,'2018'!$F$24:$F$106,B133)+SUMIFS('2019'!$E$24:$E$106,'2019'!$L$24:$L$106,A133&amp;" / "&amp;B133,'2019'!$C$24:$C$106,B133)+SUMIFS('2019'!$H$24:$H$106,'2019'!$L$24:$L$106,A133&amp;" / "&amp;B133,'2019'!$F$24:$F$106,B133)+SUMIFS('2020'!$E$24:$E$106,'2020'!$L$24:$L$106,A133&amp;" / "&amp;B133,'2020'!$C$24:$C$106,B133)+SUMIFS('2020'!$H$24:$H$106,'2020'!$L$24:$L$106,A133&amp;" / "&amp;B133,'2020'!$F$24:$F$106,B133)+SUMIFS('2021'!$E$24:$E$112,'2021'!$L$24:$L$112,A133&amp;" / "&amp;B133,'2021'!$C$24:$C$112,B133)+SUMIFS('2021'!$H$24:$H$112,'2021'!$L$24:$L$112,A133&amp;" / "&amp;B133,'2021'!$F$24:$F$112,B133)+SUMIFS('2022'!$E$24:$E$112,'2022'!$L$24:$L$112,A133&amp;" / "&amp;B133,'2022'!$C$24:$C$112,B133)+SUMIFS('2022'!$H$24:$H$112,'2022'!$L$24:$L$112,A133&amp;" / "&amp;B133,'2022'!$F$24:$F$112,B133)+SUMIFS('2023'!$E$24:$E$112,'2023'!$L$24:$L$112,A133&amp;" / "&amp;B133,'2023'!$C$24:$C$112,B133)+SUMIFS('2023'!$H$24:$H$112,'2023'!$L$24:$L$112,A133&amp;" / "&amp;B133,'2023'!$F$24:$F$112,B133)+SUMIFS('2024'!$E$24:$E$112,'2024'!$L$24:$L$112,A133&amp;" / "&amp;B133,'2024'!$C$24:$C$112,B133)+SUMIFS('2024'!$H$24:$H$112,'2024'!$L$24:$L$112,A133&amp;" / "&amp;B133,'2024'!$F$24:$F$112,B133)+SUMIFS('2025'!$E$24:$E$112,'2025'!$L$24:$L$112,A133&amp;" / "&amp;B133,'2025'!$C$24:$C$112,B133)+SUMIFS('2025'!$H$24:$H$112,'2025'!$L$24:$L$112,A133&amp;" / "&amp;B133,'2025'!$F$24:$F$112,B133)</x:f>
        <x:v>511.3</x:v>
      </x:c>
      <x:c r="I133" s="11" t="n">
        <x:f>IF(C133=0,0,(D133+0.5*F133)/C133)</x:f>
        <x:v>0.75</x:v>
      </x:c>
      <x:c r="J133" s="2" t="n">
        <x:f>COUNTIFS('2015'!$L$24:$L$96,A133&amp;" / "&amp;B133,'2015'!$B$24:$B$96,"Regular")+COUNTIFS('2016'!$L$24:$L$96,A133&amp;" / "&amp;B133,'2016'!$B$24:$B$96,"Regular")+COUNTIFS('2017'!$L$24:$L$106,A133&amp;" / "&amp;B133,'2017'!$B$24:$B$106,"Regular")+COUNTIFS('2018'!$L$24:$L$106,A133&amp;" / "&amp;B133,'2018'!$B$24:$B$106,"Regular")+COUNTIFS('2019'!$L$24:$L$106,A133&amp;" / "&amp;B133,'2019'!$B$24:$B$106,"Regular")+COUNTIFS('2020'!$L$24:$L$106,A133&amp;" / "&amp;B133,'2020'!$B$24:$B$106,"Regular")+COUNTIFS('2021'!$L$24:$L$112,A133&amp;" / "&amp;B133,'2021'!$B$24:$B$112,"Regular")+COUNTIFS('2022'!$L$24:$L$112,A133&amp;" / "&amp;B133,'2022'!$B$24:$B$112,"Regular")+COUNTIFS('2023'!$L$24:$L$112,A133&amp;" / "&amp;B133,'2023'!$B$24:$B$112,"Regular")+COUNTIFS('2024'!$L$24:$L$112,A133&amp;" / "&amp;B133,'2024'!$B$24:$B$112,"Regular")+COUNTIFS('2025'!$L$24:$L$112,A133&amp;" / "&amp;B133,'2025'!$B$24:$B$112,"Regular")</x:f>
        <x:v>4</x:v>
      </x:c>
      <x:c r="K133" s="2" t="n">
        <x:f>COUNTIFS('2015'!$L$24:$L$96,A133&amp;" / "&amp;B133,'2015'!$B$24:$B$96,"Playoffs")+COUNTIFS('2016'!$L$24:$L$96,A133&amp;" / "&amp;B133,'2016'!$B$24:$B$96,"Playoffs")+COUNTIFS('2017'!$L$24:$L$106,A133&amp;" / "&amp;B133,'2017'!$B$24:$B$106,"Playoffs")+COUNTIFS('2018'!$L$24:$L$106,A133&amp;" / "&amp;B133,'2018'!$B$24:$B$106,"Playoffs")+COUNTIFS('2019'!$L$24:$L$106,A133&amp;" / "&amp;B133,'2019'!$B$24:$B$106,"Playoffs")+COUNTIFS('2020'!$L$24:$L$106,A133&amp;" / "&amp;B133,'2020'!$B$24:$B$106,"Playoffs")+COUNTIFS('2021'!$L$24:$L$112,A133&amp;" / "&amp;B133,'2021'!$B$24:$B$112,"Playoffs")+COUNTIFS('2022'!$L$24:$L$112,A133&amp;" / "&amp;B133,'2022'!$B$24:$B$112,"Playoffs")+COUNTIFS('2023'!$L$24:$L$112,A133&amp;" / "&amp;B133,'2023'!$B$24:$B$112,"Playoffs")+COUNTIFS('2024'!$L$24:$L$112,A133&amp;" / "&amp;B133,'2024'!$B$24:$B$112,"Playoffs")+COUNTIFS('2025'!$L$24:$L$112,A133&amp;" / "&amp;B133,'2025'!$B$24:$B$112,"Playoffs")</x:f>
        <x:v>0</x:v>
      </x:c>
      <x:c r="L133" s="2" t="n">
        <x:f>COUNTIFS('2015'!$L$24:$L$96,A133&amp;" / "&amp;B133,'2015'!$B$24:$B$96,"Unconfirmed")+COUNTIFS('2016'!$L$24:$L$96,A133&amp;" / "&amp;B133,'2016'!$B$24:$B$96,"Unconfirmed")+COUNTIFS('2017'!$L$24:$L$106,A133&amp;" / "&amp;B133,'2017'!$B$24:$B$106,"Unconfirmed")+COUNTIFS('2018'!$L$24:$L$106,A133&amp;" / "&amp;B133,'2018'!$B$24:$B$106,"Unconfirmed")+COUNTIFS('2019'!$L$24:$L$106,A133&amp;" / "&amp;B133,'2019'!$B$24:$B$106,"Unconfirmed")+COUNTIFS('2020'!$L$24:$L$106,A133&amp;" / "&amp;B133,'2020'!$B$24:$B$106,"Unconfirmed")+COUNTIFS('2021'!$L$24:$L$112,A133&amp;" / "&amp;B133,'2021'!$B$24:$B$112,"Unconfirmed")+COUNTIFS('2022'!$L$24:$L$112,A133&amp;" / "&amp;B133,'2022'!$B$24:$B$112,"Unconfirmed")+COUNTIFS('2023'!$L$24:$L$112,A133&amp;" / "&amp;B133,'2023'!$B$24:$B$112,"Unconfirmed")+COUNTIFS('2024'!$L$24:$L$112,A133&amp;" / "&amp;B133,'2024'!$B$24:$B$112,"Unconfirmed")+COUNTIFS('2025'!$L$24:$L$112,A133&amp;" / "&amp;B133,'2025'!$B$24:$B$112,"Unconfirmed")</x:f>
        <x:v>0</x:v>
      </x:c>
    </x:row>
    <x:row r="134" ht="22" customHeight="1">
      <x:c r="A134" s="2" t="str">
        <x:v>Josh</x:v>
      </x:c>
      <x:c r="B134" s="2" t="str">
        <x:v>Ryan</x:v>
      </x:c>
      <x:c r="C134" s="2" t="n">
        <x:f>COUNTIFS('2015'!$L$24:$L$96,A134&amp;" / "&amp;B134)+COUNTIFS('2016'!$L$24:$L$96,A134&amp;" / "&amp;B134)+COUNTIFS('2017'!$L$24:$L$106,A134&amp;" / "&amp;B134)+COUNTIFS('2018'!$L$24:$L$106,A134&amp;" / "&amp;B134)+COUNTIFS('2019'!$L$24:$L$106,A134&amp;" / "&amp;B134)+COUNTIFS('2020'!$L$24:$L$106,A134&amp;" / "&amp;B134)+COUNTIFS('2021'!$L$24:$L$112,A134&amp;" / "&amp;B134)+COUNTIFS('2022'!$L$24:$L$112,A134&amp;" / "&amp;B134)+COUNTIFS('2023'!$L$24:$L$112,A134&amp;" / "&amp;B134)+COUNTIFS('2024'!$L$24:$L$112,A134&amp;" / "&amp;B134)+COUNTIFS('2025'!$L$24:$L$112,A134&amp;" / "&amp;B134)</x:f>
        <x:v>1</x:v>
      </x:c>
      <x:c r="D134" s="2" t="n">
        <x:f>COUNTIFS('2015'!$L$24:$L$96,A134&amp;" / "&amp;B134,'2015'!$I$24:$I$96,A134)+COUNTIFS('2016'!$L$24:$L$96,A134&amp;" / "&amp;B134,'2016'!$I$24:$I$96,A134)+COUNTIFS('2017'!$L$24:$L$106,A134&amp;" / "&amp;B134,'2017'!$I$24:$I$106,A134)+COUNTIFS('2018'!$L$24:$L$106,A134&amp;" / "&amp;B134,'2018'!$I$24:$I$106,A134)+COUNTIFS('2019'!$L$24:$L$106,A134&amp;" / "&amp;B134,'2019'!$I$24:$I$106,A134)+COUNTIFS('2020'!$L$24:$L$106,A134&amp;" / "&amp;B134,'2020'!$I$24:$I$106,A134)+COUNTIFS('2021'!$L$24:$L$112,A134&amp;" / "&amp;B134,'2021'!$I$24:$I$112,A134)+COUNTIFS('2022'!$L$24:$L$112,A134&amp;" / "&amp;B134,'2022'!$I$24:$I$112,A134)+COUNTIFS('2023'!$L$24:$L$112,A134&amp;" / "&amp;B134,'2023'!$I$24:$I$112,A134)+COUNTIFS('2024'!$L$24:$L$112,A134&amp;" / "&amp;B134,'2024'!$I$24:$I$112,A134)+COUNTIFS('2025'!$L$24:$L$112,A134&amp;" / "&amp;B134,'2025'!$I$24:$I$112,A134)</x:f>
        <x:v>1</x:v>
      </x:c>
      <x:c r="E134" s="2" t="n">
        <x:f>COUNTIFS('2015'!$L$24:$L$96,A134&amp;" / "&amp;B134,'2015'!$I$24:$I$96,B134)+COUNTIFS('2016'!$L$24:$L$96,A134&amp;" / "&amp;B134,'2016'!$I$24:$I$96,B134)+COUNTIFS('2017'!$L$24:$L$106,A134&amp;" / "&amp;B134,'2017'!$I$24:$I$106,B134)+COUNTIFS('2018'!$L$24:$L$106,A134&amp;" / "&amp;B134,'2018'!$I$24:$I$106,B134)+COUNTIFS('2019'!$L$24:$L$106,A134&amp;" / "&amp;B134,'2019'!$I$24:$I$106,B134)+COUNTIFS('2020'!$L$24:$L$106,A134&amp;" / "&amp;B134,'2020'!$I$24:$I$106,B134)+COUNTIFS('2021'!$L$24:$L$112,A134&amp;" / "&amp;B134,'2021'!$I$24:$I$112,B134)+COUNTIFS('2022'!$L$24:$L$112,A134&amp;" / "&amp;B134,'2022'!$I$24:$I$112,B134)+COUNTIFS('2023'!$L$24:$L$112,A134&amp;" / "&amp;B134,'2023'!$I$24:$I$112,B134)+COUNTIFS('2024'!$L$24:$L$112,A134&amp;" / "&amp;B134,'2024'!$I$24:$I$112,B134)+COUNTIFS('2025'!$L$24:$L$112,A134&amp;" / "&amp;B134,'2025'!$I$24:$I$112,B134)</x:f>
        <x:v>0</x:v>
      </x:c>
      <x:c r="F134" s="2" t="n">
        <x:f>COUNTIFS('2015'!$L$24:$L$96,A134&amp;" / "&amp;B134,'2015'!$K$24:$K$96,1)+COUNTIFS('2016'!$L$24:$L$96,A134&amp;" / "&amp;B134,'2016'!$K$24:$K$96,1)+COUNTIFS('2017'!$L$24:$L$106,A134&amp;" / "&amp;B134,'2017'!$K$24:$K$106,1)+COUNTIFS('2018'!$L$24:$L$106,A134&amp;" / "&amp;B134,'2018'!$K$24:$K$106,1)+COUNTIFS('2019'!$L$24:$L$106,A134&amp;" / "&amp;B134,'2019'!$K$24:$K$106,1)+COUNTIFS('2020'!$L$24:$L$106,A134&amp;" / "&amp;B134,'2020'!$K$24:$K$106,1)+COUNTIFS('2021'!$L$24:$L$112,A134&amp;" / "&amp;B134,'2021'!$K$24:$K$112,1)+COUNTIFS('2022'!$L$24:$L$112,A134&amp;" / "&amp;B134,'2022'!$K$24:$K$112,1)+COUNTIFS('2023'!$L$24:$L$112,A134&amp;" / "&amp;B134,'2023'!$K$24:$K$112,1)+COUNTIFS('2024'!$L$24:$L$112,A134&amp;" / "&amp;B134,'2024'!$K$24:$K$112,1)+COUNTIFS('2025'!$L$24:$L$112,A134&amp;" / "&amp;B134,'2025'!$K$24:$K$112,1)</x:f>
        <x:v>0</x:v>
      </x:c>
      <x:c r="G134" s="25" t="n">
        <x:f>SUMIFS('2015'!$E$24:$E$96,'2015'!$L$24:$L$96,A134&amp;" / "&amp;B134,'2015'!$C$24:$C$96,A134)+SUMIFS('2015'!$H$24:$H$96,'2015'!$L$24:$L$96,A134&amp;" / "&amp;B134,'2015'!$F$24:$F$96,A134)+SUMIFS('2016'!$E$24:$E$96,'2016'!$L$24:$L$96,A134&amp;" / "&amp;B134,'2016'!$C$24:$C$96,A134)+SUMIFS('2016'!$H$24:$H$96,'2016'!$L$24:$L$96,A134&amp;" / "&amp;B134,'2016'!$F$24:$F$96,A134)+SUMIFS('2017'!$E$24:$E$106,'2017'!$L$24:$L$106,A134&amp;" / "&amp;B134,'2017'!$C$24:$C$106,A134)+SUMIFS('2017'!$H$24:$H$106,'2017'!$L$24:$L$106,A134&amp;" / "&amp;B134,'2017'!$F$24:$F$106,A134)+SUMIFS('2018'!$E$24:$E$106,'2018'!$L$24:$L$106,A134&amp;" / "&amp;B134,'2018'!$C$24:$C$106,A134)+SUMIFS('2018'!$H$24:$H$106,'2018'!$L$24:$L$106,A134&amp;" / "&amp;B134,'2018'!$F$24:$F$106,A134)+SUMIFS('2019'!$E$24:$E$106,'2019'!$L$24:$L$106,A134&amp;" / "&amp;B134,'2019'!$C$24:$C$106,A134)+SUMIFS('2019'!$H$24:$H$106,'2019'!$L$24:$L$106,A134&amp;" / "&amp;B134,'2019'!$F$24:$F$106,A134)+SUMIFS('2020'!$E$24:$E$106,'2020'!$L$24:$L$106,A134&amp;" / "&amp;B134,'2020'!$C$24:$C$106,A134)+SUMIFS('2020'!$H$24:$H$106,'2020'!$L$24:$L$106,A134&amp;" / "&amp;B134,'2020'!$F$24:$F$106,A134)+SUMIFS('2021'!$E$24:$E$112,'2021'!$L$24:$L$112,A134&amp;" / "&amp;B134,'2021'!$C$24:$C$112,A134)+SUMIFS('2021'!$H$24:$H$112,'2021'!$L$24:$L$112,A134&amp;" / "&amp;B134,'2021'!$F$24:$F$112,A134)+SUMIFS('2022'!$E$24:$E$112,'2022'!$L$24:$L$112,A134&amp;" / "&amp;B134,'2022'!$C$24:$C$112,A134)+SUMIFS('2022'!$H$24:$H$112,'2022'!$L$24:$L$112,A134&amp;" / "&amp;B134,'2022'!$F$24:$F$112,A134)+SUMIFS('2023'!$E$24:$E$112,'2023'!$L$24:$L$112,A134&amp;" / "&amp;B134,'2023'!$C$24:$C$112,A134)+SUMIFS('2023'!$H$24:$H$112,'2023'!$L$24:$L$112,A134&amp;" / "&amp;B134,'2023'!$F$24:$F$112,A134)+SUMIFS('2024'!$E$24:$E$112,'2024'!$L$24:$L$112,A134&amp;" / "&amp;B134,'2024'!$C$24:$C$112,A134)+SUMIFS('2024'!$H$24:$H$112,'2024'!$L$24:$L$112,A134&amp;" / "&amp;B134,'2024'!$F$24:$F$112,A134)+SUMIFS('2025'!$E$24:$E$112,'2025'!$L$24:$L$112,A134&amp;" / "&amp;B134,'2025'!$C$24:$C$112,A134)+SUMIFS('2025'!$H$24:$H$112,'2025'!$L$24:$L$112,A134&amp;" / "&amp;B134,'2025'!$F$24:$F$112,A134)</x:f>
        <x:v>117.25</x:v>
      </x:c>
      <x:c r="H134" s="25" t="n">
        <x:f>SUMIFS('2015'!$E$24:$E$96,'2015'!$L$24:$L$96,A134&amp;" / "&amp;B134,'2015'!$C$24:$C$96,B134)+SUMIFS('2015'!$H$24:$H$96,'2015'!$L$24:$L$96,A134&amp;" / "&amp;B134,'2015'!$F$24:$F$96,B134)+SUMIFS('2016'!$E$24:$E$96,'2016'!$L$24:$L$96,A134&amp;" / "&amp;B134,'2016'!$C$24:$C$96,B134)+SUMIFS('2016'!$H$24:$H$96,'2016'!$L$24:$L$96,A134&amp;" / "&amp;B134,'2016'!$F$24:$F$96,B134)+SUMIFS('2017'!$E$24:$E$106,'2017'!$L$24:$L$106,A134&amp;" / "&amp;B134,'2017'!$C$24:$C$106,B134)+SUMIFS('2017'!$H$24:$H$106,'2017'!$L$24:$L$106,A134&amp;" / "&amp;B134,'2017'!$F$24:$F$106,B134)+SUMIFS('2018'!$E$24:$E$106,'2018'!$L$24:$L$106,A134&amp;" / "&amp;B134,'2018'!$C$24:$C$106,B134)+SUMIFS('2018'!$H$24:$H$106,'2018'!$L$24:$L$106,A134&amp;" / "&amp;B134,'2018'!$F$24:$F$106,B134)+SUMIFS('2019'!$E$24:$E$106,'2019'!$L$24:$L$106,A134&amp;" / "&amp;B134,'2019'!$C$24:$C$106,B134)+SUMIFS('2019'!$H$24:$H$106,'2019'!$L$24:$L$106,A134&amp;" / "&amp;B134,'2019'!$F$24:$F$106,B134)+SUMIFS('2020'!$E$24:$E$106,'2020'!$L$24:$L$106,A134&amp;" / "&amp;B134,'2020'!$C$24:$C$106,B134)+SUMIFS('2020'!$H$24:$H$106,'2020'!$L$24:$L$106,A134&amp;" / "&amp;B134,'2020'!$F$24:$F$106,B134)+SUMIFS('2021'!$E$24:$E$112,'2021'!$L$24:$L$112,A134&amp;" / "&amp;B134,'2021'!$C$24:$C$112,B134)+SUMIFS('2021'!$H$24:$H$112,'2021'!$L$24:$L$112,A134&amp;" / "&amp;B134,'2021'!$F$24:$F$112,B134)+SUMIFS('2022'!$E$24:$E$112,'2022'!$L$24:$L$112,A134&amp;" / "&amp;B134,'2022'!$C$24:$C$112,B134)+SUMIFS('2022'!$H$24:$H$112,'2022'!$L$24:$L$112,A134&amp;" / "&amp;B134,'2022'!$F$24:$F$112,B134)+SUMIFS('2023'!$E$24:$E$112,'2023'!$L$24:$L$112,A134&amp;" / "&amp;B134,'2023'!$C$24:$C$112,B134)+SUMIFS('2023'!$H$24:$H$112,'2023'!$L$24:$L$112,A134&amp;" / "&amp;B134,'2023'!$F$24:$F$112,B134)+SUMIFS('2024'!$E$24:$E$112,'2024'!$L$24:$L$112,A134&amp;" / "&amp;B134,'2024'!$C$24:$C$112,B134)+SUMIFS('2024'!$H$24:$H$112,'2024'!$L$24:$L$112,A134&amp;" / "&amp;B134,'2024'!$F$24:$F$112,B134)+SUMIFS('2025'!$E$24:$E$112,'2025'!$L$24:$L$112,A134&amp;" / "&amp;B134,'2025'!$C$24:$C$112,B134)+SUMIFS('2025'!$H$24:$H$112,'2025'!$L$24:$L$112,A134&amp;" / "&amp;B134,'2025'!$F$24:$F$112,B134)</x:f>
        <x:v>86.85</x:v>
      </x:c>
      <x:c r="I134" s="11" t="n">
        <x:f>IF(C134=0,0,(D134+0.5*F134)/C134)</x:f>
        <x:v>1</x:v>
      </x:c>
      <x:c r="J134" s="2" t="n">
        <x:f>COUNTIFS('2015'!$L$24:$L$96,A134&amp;" / "&amp;B134,'2015'!$B$24:$B$96,"Regular")+COUNTIFS('2016'!$L$24:$L$96,A134&amp;" / "&amp;B134,'2016'!$B$24:$B$96,"Regular")+COUNTIFS('2017'!$L$24:$L$106,A134&amp;" / "&amp;B134,'2017'!$B$24:$B$106,"Regular")+COUNTIFS('2018'!$L$24:$L$106,A134&amp;" / "&amp;B134,'2018'!$B$24:$B$106,"Regular")+COUNTIFS('2019'!$L$24:$L$106,A134&amp;" / "&amp;B134,'2019'!$B$24:$B$106,"Regular")+COUNTIFS('2020'!$L$24:$L$106,A134&amp;" / "&amp;B134,'2020'!$B$24:$B$106,"Regular")+COUNTIFS('2021'!$L$24:$L$112,A134&amp;" / "&amp;B134,'2021'!$B$24:$B$112,"Regular")+COUNTIFS('2022'!$L$24:$L$112,A134&amp;" / "&amp;B134,'2022'!$B$24:$B$112,"Regular")+COUNTIFS('2023'!$L$24:$L$112,A134&amp;" / "&amp;B134,'2023'!$B$24:$B$112,"Regular")+COUNTIFS('2024'!$L$24:$L$112,A134&amp;" / "&amp;B134,'2024'!$B$24:$B$112,"Regular")+COUNTIFS('2025'!$L$24:$L$112,A134&amp;" / "&amp;B134,'2025'!$B$24:$B$112,"Regular")</x:f>
        <x:v>1</x:v>
      </x:c>
      <x:c r="K134" s="2" t="n">
        <x:f>COUNTIFS('2015'!$L$24:$L$96,A134&amp;" / "&amp;B134,'2015'!$B$24:$B$96,"Playoffs")+COUNTIFS('2016'!$L$24:$L$96,A134&amp;" / "&amp;B134,'2016'!$B$24:$B$96,"Playoffs")+COUNTIFS('2017'!$L$24:$L$106,A134&amp;" / "&amp;B134,'2017'!$B$24:$B$106,"Playoffs")+COUNTIFS('2018'!$L$24:$L$106,A134&amp;" / "&amp;B134,'2018'!$B$24:$B$106,"Playoffs")+COUNTIFS('2019'!$L$24:$L$106,A134&amp;" / "&amp;B134,'2019'!$B$24:$B$106,"Playoffs")+COUNTIFS('2020'!$L$24:$L$106,A134&amp;" / "&amp;B134,'2020'!$B$24:$B$106,"Playoffs")+COUNTIFS('2021'!$L$24:$L$112,A134&amp;" / "&amp;B134,'2021'!$B$24:$B$112,"Playoffs")+COUNTIFS('2022'!$L$24:$L$112,A134&amp;" / "&amp;B134,'2022'!$B$24:$B$112,"Playoffs")+COUNTIFS('2023'!$L$24:$L$112,A134&amp;" / "&amp;B134,'2023'!$B$24:$B$112,"Playoffs")+COUNTIFS('2024'!$L$24:$L$112,A134&amp;" / "&amp;B134,'2024'!$B$24:$B$112,"Playoffs")+COUNTIFS('2025'!$L$24:$L$112,A134&amp;" / "&amp;B134,'2025'!$B$24:$B$112,"Playoffs")</x:f>
        <x:v>0</x:v>
      </x:c>
      <x:c r="L134" s="2" t="n">
        <x:f>COUNTIFS('2015'!$L$24:$L$96,A134&amp;" / "&amp;B134,'2015'!$B$24:$B$96,"Unconfirmed")+COUNTIFS('2016'!$L$24:$L$96,A134&amp;" / "&amp;B134,'2016'!$B$24:$B$96,"Unconfirmed")+COUNTIFS('2017'!$L$24:$L$106,A134&amp;" / "&amp;B134,'2017'!$B$24:$B$106,"Unconfirmed")+COUNTIFS('2018'!$L$24:$L$106,A134&amp;" / "&amp;B134,'2018'!$B$24:$B$106,"Unconfirmed")+COUNTIFS('2019'!$L$24:$L$106,A134&amp;" / "&amp;B134,'2019'!$B$24:$B$106,"Unconfirmed")+COUNTIFS('2020'!$L$24:$L$106,A134&amp;" / "&amp;B134,'2020'!$B$24:$B$106,"Unconfirmed")+COUNTIFS('2021'!$L$24:$L$112,A134&amp;" / "&amp;B134,'2021'!$B$24:$B$112,"Unconfirmed")+COUNTIFS('2022'!$L$24:$L$112,A134&amp;" / "&amp;B134,'2022'!$B$24:$B$112,"Unconfirmed")+COUNTIFS('2023'!$L$24:$L$112,A134&amp;" / "&amp;B134,'2023'!$B$24:$B$112,"Unconfirmed")+COUNTIFS('2024'!$L$24:$L$112,A134&amp;" / "&amp;B134,'2024'!$B$24:$B$112,"Unconfirmed")+COUNTIFS('2025'!$L$24:$L$112,A134&amp;" / "&amp;B134,'2025'!$B$24:$B$112,"Unconfirmed")</x:f>
        <x:v>0</x:v>
      </x:c>
    </x:row>
    <x:row r="135" ht="22" customHeight="1">
      <x:c r="A135" s="2" t="str">
        <x:v>Josh</x:v>
      </x:c>
      <x:c r="B135" s="2" t="str">
        <x:v>Taylor</x:v>
      </x:c>
      <x:c r="C135" s="2" t="n">
        <x:f>COUNTIFS('2015'!$L$24:$L$96,A135&amp;" / "&amp;B135)+COUNTIFS('2016'!$L$24:$L$96,A135&amp;" / "&amp;B135)+COUNTIFS('2017'!$L$24:$L$106,A135&amp;" / "&amp;B135)+COUNTIFS('2018'!$L$24:$L$106,A135&amp;" / "&amp;B135)+COUNTIFS('2019'!$L$24:$L$106,A135&amp;" / "&amp;B135)+COUNTIFS('2020'!$L$24:$L$106,A135&amp;" / "&amp;B135)+COUNTIFS('2021'!$L$24:$L$112,A135&amp;" / "&amp;B135)+COUNTIFS('2022'!$L$24:$L$112,A135&amp;" / "&amp;B135)+COUNTIFS('2023'!$L$24:$L$112,A135&amp;" / "&amp;B135)+COUNTIFS('2024'!$L$24:$L$112,A135&amp;" / "&amp;B135)+COUNTIFS('2025'!$L$24:$L$112,A135&amp;" / "&amp;B135)</x:f>
        <x:v>5</x:v>
      </x:c>
      <x:c r="D135" s="2" t="n">
        <x:f>COUNTIFS('2015'!$L$24:$L$96,A135&amp;" / "&amp;B135,'2015'!$I$24:$I$96,A135)+COUNTIFS('2016'!$L$24:$L$96,A135&amp;" / "&amp;B135,'2016'!$I$24:$I$96,A135)+COUNTIFS('2017'!$L$24:$L$106,A135&amp;" / "&amp;B135,'2017'!$I$24:$I$106,A135)+COUNTIFS('2018'!$L$24:$L$106,A135&amp;" / "&amp;B135,'2018'!$I$24:$I$106,A135)+COUNTIFS('2019'!$L$24:$L$106,A135&amp;" / "&amp;B135,'2019'!$I$24:$I$106,A135)+COUNTIFS('2020'!$L$24:$L$106,A135&amp;" / "&amp;B135,'2020'!$I$24:$I$106,A135)+COUNTIFS('2021'!$L$24:$L$112,A135&amp;" / "&amp;B135,'2021'!$I$24:$I$112,A135)+COUNTIFS('2022'!$L$24:$L$112,A135&amp;" / "&amp;B135,'2022'!$I$24:$I$112,A135)+COUNTIFS('2023'!$L$24:$L$112,A135&amp;" / "&amp;B135,'2023'!$I$24:$I$112,A135)+COUNTIFS('2024'!$L$24:$L$112,A135&amp;" / "&amp;B135,'2024'!$I$24:$I$112,A135)+COUNTIFS('2025'!$L$24:$L$112,A135&amp;" / "&amp;B135,'2025'!$I$24:$I$112,A135)</x:f>
        <x:v>2</x:v>
      </x:c>
      <x:c r="E135" s="2" t="n">
        <x:f>COUNTIFS('2015'!$L$24:$L$96,A135&amp;" / "&amp;B135,'2015'!$I$24:$I$96,B135)+COUNTIFS('2016'!$L$24:$L$96,A135&amp;" / "&amp;B135,'2016'!$I$24:$I$96,B135)+COUNTIFS('2017'!$L$24:$L$106,A135&amp;" / "&amp;B135,'2017'!$I$24:$I$106,B135)+COUNTIFS('2018'!$L$24:$L$106,A135&amp;" / "&amp;B135,'2018'!$I$24:$I$106,B135)+COUNTIFS('2019'!$L$24:$L$106,A135&amp;" / "&amp;B135,'2019'!$I$24:$I$106,B135)+COUNTIFS('2020'!$L$24:$L$106,A135&amp;" / "&amp;B135,'2020'!$I$24:$I$106,B135)+COUNTIFS('2021'!$L$24:$L$112,A135&amp;" / "&amp;B135,'2021'!$I$24:$I$112,B135)+COUNTIFS('2022'!$L$24:$L$112,A135&amp;" / "&amp;B135,'2022'!$I$24:$I$112,B135)+COUNTIFS('2023'!$L$24:$L$112,A135&amp;" / "&amp;B135,'2023'!$I$24:$I$112,B135)+COUNTIFS('2024'!$L$24:$L$112,A135&amp;" / "&amp;B135,'2024'!$I$24:$I$112,B135)+COUNTIFS('2025'!$L$24:$L$112,A135&amp;" / "&amp;B135,'2025'!$I$24:$I$112,B135)</x:f>
        <x:v>3</x:v>
      </x:c>
      <x:c r="F135" s="2" t="n">
        <x:f>COUNTIFS('2015'!$L$24:$L$96,A135&amp;" / "&amp;B135,'2015'!$K$24:$K$96,1)+COUNTIFS('2016'!$L$24:$L$96,A135&amp;" / "&amp;B135,'2016'!$K$24:$K$96,1)+COUNTIFS('2017'!$L$24:$L$106,A135&amp;" / "&amp;B135,'2017'!$K$24:$K$106,1)+COUNTIFS('2018'!$L$24:$L$106,A135&amp;" / "&amp;B135,'2018'!$K$24:$K$106,1)+COUNTIFS('2019'!$L$24:$L$106,A135&amp;" / "&amp;B135,'2019'!$K$24:$K$106,1)+COUNTIFS('2020'!$L$24:$L$106,A135&amp;" / "&amp;B135,'2020'!$K$24:$K$106,1)+COUNTIFS('2021'!$L$24:$L$112,A135&amp;" / "&amp;B135,'2021'!$K$24:$K$112,1)+COUNTIFS('2022'!$L$24:$L$112,A135&amp;" / "&amp;B135,'2022'!$K$24:$K$112,1)+COUNTIFS('2023'!$L$24:$L$112,A135&amp;" / "&amp;B135,'2023'!$K$24:$K$112,1)+COUNTIFS('2024'!$L$24:$L$112,A135&amp;" / "&amp;B135,'2024'!$K$24:$K$112,1)+COUNTIFS('2025'!$L$24:$L$112,A135&amp;" / "&amp;B135,'2025'!$K$24:$K$112,1)</x:f>
        <x:v>0</x:v>
      </x:c>
      <x:c r="G135" s="25" t="n">
        <x:f>SUMIFS('2015'!$E$24:$E$96,'2015'!$L$24:$L$96,A135&amp;" / "&amp;B135,'2015'!$C$24:$C$96,A135)+SUMIFS('2015'!$H$24:$H$96,'2015'!$L$24:$L$96,A135&amp;" / "&amp;B135,'2015'!$F$24:$F$96,A135)+SUMIFS('2016'!$E$24:$E$96,'2016'!$L$24:$L$96,A135&amp;" / "&amp;B135,'2016'!$C$24:$C$96,A135)+SUMIFS('2016'!$H$24:$H$96,'2016'!$L$24:$L$96,A135&amp;" / "&amp;B135,'2016'!$F$24:$F$96,A135)+SUMIFS('2017'!$E$24:$E$106,'2017'!$L$24:$L$106,A135&amp;" / "&amp;B135,'2017'!$C$24:$C$106,A135)+SUMIFS('2017'!$H$24:$H$106,'2017'!$L$24:$L$106,A135&amp;" / "&amp;B135,'2017'!$F$24:$F$106,A135)+SUMIFS('2018'!$E$24:$E$106,'2018'!$L$24:$L$106,A135&amp;" / "&amp;B135,'2018'!$C$24:$C$106,A135)+SUMIFS('2018'!$H$24:$H$106,'2018'!$L$24:$L$106,A135&amp;" / "&amp;B135,'2018'!$F$24:$F$106,A135)+SUMIFS('2019'!$E$24:$E$106,'2019'!$L$24:$L$106,A135&amp;" / "&amp;B135,'2019'!$C$24:$C$106,A135)+SUMIFS('2019'!$H$24:$H$106,'2019'!$L$24:$L$106,A135&amp;" / "&amp;B135,'2019'!$F$24:$F$106,A135)+SUMIFS('2020'!$E$24:$E$106,'2020'!$L$24:$L$106,A135&amp;" / "&amp;B135,'2020'!$C$24:$C$106,A135)+SUMIFS('2020'!$H$24:$H$106,'2020'!$L$24:$L$106,A135&amp;" / "&amp;B135,'2020'!$F$24:$F$106,A135)+SUMIFS('2021'!$E$24:$E$112,'2021'!$L$24:$L$112,A135&amp;" / "&amp;B135,'2021'!$C$24:$C$112,A135)+SUMIFS('2021'!$H$24:$H$112,'2021'!$L$24:$L$112,A135&amp;" / "&amp;B135,'2021'!$F$24:$F$112,A135)+SUMIFS('2022'!$E$24:$E$112,'2022'!$L$24:$L$112,A135&amp;" / "&amp;B135,'2022'!$C$24:$C$112,A135)+SUMIFS('2022'!$H$24:$H$112,'2022'!$L$24:$L$112,A135&amp;" / "&amp;B135,'2022'!$F$24:$F$112,A135)+SUMIFS('2023'!$E$24:$E$112,'2023'!$L$24:$L$112,A135&amp;" / "&amp;B135,'2023'!$C$24:$C$112,A135)+SUMIFS('2023'!$H$24:$H$112,'2023'!$L$24:$L$112,A135&amp;" / "&amp;B135,'2023'!$F$24:$F$112,A135)+SUMIFS('2024'!$E$24:$E$112,'2024'!$L$24:$L$112,A135&amp;" / "&amp;B135,'2024'!$C$24:$C$112,A135)+SUMIFS('2024'!$H$24:$H$112,'2024'!$L$24:$L$112,A135&amp;" / "&amp;B135,'2024'!$F$24:$F$112,A135)+SUMIFS('2025'!$E$24:$E$112,'2025'!$L$24:$L$112,A135&amp;" / "&amp;B135,'2025'!$C$24:$C$112,A135)+SUMIFS('2025'!$H$24:$H$112,'2025'!$L$24:$L$112,A135&amp;" / "&amp;B135,'2025'!$F$24:$F$112,A135)</x:f>
        <x:v>589</x:v>
      </x:c>
      <x:c r="H135" s="25" t="n">
        <x:f>SUMIFS('2015'!$E$24:$E$96,'2015'!$L$24:$L$96,A135&amp;" / "&amp;B135,'2015'!$C$24:$C$96,B135)+SUMIFS('2015'!$H$24:$H$96,'2015'!$L$24:$L$96,A135&amp;" / "&amp;B135,'2015'!$F$24:$F$96,B135)+SUMIFS('2016'!$E$24:$E$96,'2016'!$L$24:$L$96,A135&amp;" / "&amp;B135,'2016'!$C$24:$C$96,B135)+SUMIFS('2016'!$H$24:$H$96,'2016'!$L$24:$L$96,A135&amp;" / "&amp;B135,'2016'!$F$24:$F$96,B135)+SUMIFS('2017'!$E$24:$E$106,'2017'!$L$24:$L$106,A135&amp;" / "&amp;B135,'2017'!$C$24:$C$106,B135)+SUMIFS('2017'!$H$24:$H$106,'2017'!$L$24:$L$106,A135&amp;" / "&amp;B135,'2017'!$F$24:$F$106,B135)+SUMIFS('2018'!$E$24:$E$106,'2018'!$L$24:$L$106,A135&amp;" / "&amp;B135,'2018'!$C$24:$C$106,B135)+SUMIFS('2018'!$H$24:$H$106,'2018'!$L$24:$L$106,A135&amp;" / "&amp;B135,'2018'!$F$24:$F$106,B135)+SUMIFS('2019'!$E$24:$E$106,'2019'!$L$24:$L$106,A135&amp;" / "&amp;B135,'2019'!$C$24:$C$106,B135)+SUMIFS('2019'!$H$24:$H$106,'2019'!$L$24:$L$106,A135&amp;" / "&amp;B135,'2019'!$F$24:$F$106,B135)+SUMIFS('2020'!$E$24:$E$106,'2020'!$L$24:$L$106,A135&amp;" / "&amp;B135,'2020'!$C$24:$C$106,B135)+SUMIFS('2020'!$H$24:$H$106,'2020'!$L$24:$L$106,A135&amp;" / "&amp;B135,'2020'!$F$24:$F$106,B135)+SUMIFS('2021'!$E$24:$E$112,'2021'!$L$24:$L$112,A135&amp;" / "&amp;B135,'2021'!$C$24:$C$112,B135)+SUMIFS('2021'!$H$24:$H$112,'2021'!$L$24:$L$112,A135&amp;" / "&amp;B135,'2021'!$F$24:$F$112,B135)+SUMIFS('2022'!$E$24:$E$112,'2022'!$L$24:$L$112,A135&amp;" / "&amp;B135,'2022'!$C$24:$C$112,B135)+SUMIFS('2022'!$H$24:$H$112,'2022'!$L$24:$L$112,A135&amp;" / "&amp;B135,'2022'!$F$24:$F$112,B135)+SUMIFS('2023'!$E$24:$E$112,'2023'!$L$24:$L$112,A135&amp;" / "&amp;B135,'2023'!$C$24:$C$112,B135)+SUMIFS('2023'!$H$24:$H$112,'2023'!$L$24:$L$112,A135&amp;" / "&amp;B135,'2023'!$F$24:$F$112,B135)+SUMIFS('2024'!$E$24:$E$112,'2024'!$L$24:$L$112,A135&amp;" / "&amp;B135,'2024'!$C$24:$C$112,B135)+SUMIFS('2024'!$H$24:$H$112,'2024'!$L$24:$L$112,A135&amp;" / "&amp;B135,'2024'!$F$24:$F$112,B135)+SUMIFS('2025'!$E$24:$E$112,'2025'!$L$24:$L$112,A135&amp;" / "&amp;B135,'2025'!$C$24:$C$112,B135)+SUMIFS('2025'!$H$24:$H$112,'2025'!$L$24:$L$112,A135&amp;" / "&amp;B135,'2025'!$F$24:$F$112,B135)</x:f>
        <x:v>658</x:v>
      </x:c>
      <x:c r="I135" s="11" t="n">
        <x:f>IF(C135=0,0,(D135+0.5*F135)/C135)</x:f>
        <x:v>0.4</x:v>
      </x:c>
      <x:c r="J135" s="2" t="n">
        <x:f>COUNTIFS('2015'!$L$24:$L$96,A135&amp;" / "&amp;B135,'2015'!$B$24:$B$96,"Regular")+COUNTIFS('2016'!$L$24:$L$96,A135&amp;" / "&amp;B135,'2016'!$B$24:$B$96,"Regular")+COUNTIFS('2017'!$L$24:$L$106,A135&amp;" / "&amp;B135,'2017'!$B$24:$B$106,"Regular")+COUNTIFS('2018'!$L$24:$L$106,A135&amp;" / "&amp;B135,'2018'!$B$24:$B$106,"Regular")+COUNTIFS('2019'!$L$24:$L$106,A135&amp;" / "&amp;B135,'2019'!$B$24:$B$106,"Regular")+COUNTIFS('2020'!$L$24:$L$106,A135&amp;" / "&amp;B135,'2020'!$B$24:$B$106,"Regular")+COUNTIFS('2021'!$L$24:$L$112,A135&amp;" / "&amp;B135,'2021'!$B$24:$B$112,"Regular")+COUNTIFS('2022'!$L$24:$L$112,A135&amp;" / "&amp;B135,'2022'!$B$24:$B$112,"Regular")+COUNTIFS('2023'!$L$24:$L$112,A135&amp;" / "&amp;B135,'2023'!$B$24:$B$112,"Regular")+COUNTIFS('2024'!$L$24:$L$112,A135&amp;" / "&amp;B135,'2024'!$B$24:$B$112,"Regular")+COUNTIFS('2025'!$L$24:$L$112,A135&amp;" / "&amp;B135,'2025'!$B$24:$B$112,"Regular")</x:f>
        <x:v>4</x:v>
      </x:c>
      <x:c r="K135" s="2" t="n">
        <x:f>COUNTIFS('2015'!$L$24:$L$96,A135&amp;" / "&amp;B135,'2015'!$B$24:$B$96,"Playoffs")+COUNTIFS('2016'!$L$24:$L$96,A135&amp;" / "&amp;B135,'2016'!$B$24:$B$96,"Playoffs")+COUNTIFS('2017'!$L$24:$L$106,A135&amp;" / "&amp;B135,'2017'!$B$24:$B$106,"Playoffs")+COUNTIFS('2018'!$L$24:$L$106,A135&amp;" / "&amp;B135,'2018'!$B$24:$B$106,"Playoffs")+COUNTIFS('2019'!$L$24:$L$106,A135&amp;" / "&amp;B135,'2019'!$B$24:$B$106,"Playoffs")+COUNTIFS('2020'!$L$24:$L$106,A135&amp;" / "&amp;B135,'2020'!$B$24:$B$106,"Playoffs")+COUNTIFS('2021'!$L$24:$L$112,A135&amp;" / "&amp;B135,'2021'!$B$24:$B$112,"Playoffs")+COUNTIFS('2022'!$L$24:$L$112,A135&amp;" / "&amp;B135,'2022'!$B$24:$B$112,"Playoffs")+COUNTIFS('2023'!$L$24:$L$112,A135&amp;" / "&amp;B135,'2023'!$B$24:$B$112,"Playoffs")+COUNTIFS('2024'!$L$24:$L$112,A135&amp;" / "&amp;B135,'2024'!$B$24:$B$112,"Playoffs")+COUNTIFS('2025'!$L$24:$L$112,A135&amp;" / "&amp;B135,'2025'!$B$24:$B$112,"Playoffs")</x:f>
        <x:v>1</x:v>
      </x:c>
      <x:c r="L135" s="2" t="n">
        <x:f>COUNTIFS('2015'!$L$24:$L$96,A135&amp;" / "&amp;B135,'2015'!$B$24:$B$96,"Unconfirmed")+COUNTIFS('2016'!$L$24:$L$96,A135&amp;" / "&amp;B135,'2016'!$B$24:$B$96,"Unconfirmed")+COUNTIFS('2017'!$L$24:$L$106,A135&amp;" / "&amp;B135,'2017'!$B$24:$B$106,"Unconfirmed")+COUNTIFS('2018'!$L$24:$L$106,A135&amp;" / "&amp;B135,'2018'!$B$24:$B$106,"Unconfirmed")+COUNTIFS('2019'!$L$24:$L$106,A135&amp;" / "&amp;B135,'2019'!$B$24:$B$106,"Unconfirmed")+COUNTIFS('2020'!$L$24:$L$106,A135&amp;" / "&amp;B135,'2020'!$B$24:$B$106,"Unconfirmed")+COUNTIFS('2021'!$L$24:$L$112,A135&amp;" / "&amp;B135,'2021'!$B$24:$B$112,"Unconfirmed")+COUNTIFS('2022'!$L$24:$L$112,A135&amp;" / "&amp;B135,'2022'!$B$24:$B$112,"Unconfirmed")+COUNTIFS('2023'!$L$24:$L$112,A135&amp;" / "&amp;B135,'2023'!$B$24:$B$112,"Unconfirmed")+COUNTIFS('2024'!$L$24:$L$112,A135&amp;" / "&amp;B135,'2024'!$B$24:$B$112,"Unconfirmed")+COUNTIFS('2025'!$L$24:$L$112,A135&amp;" / "&amp;B135,'2025'!$B$24:$B$112,"Unconfirmed")</x:f>
        <x:v>0</x:v>
      </x:c>
    </x:row>
    <x:row r="136" ht="22" customHeight="1">
      <x:c r="A136" s="2" t="str">
        <x:v>Josh</x:v>
      </x:c>
      <x:c r="B136" s="2" t="str">
        <x:v>Troy</x:v>
      </x:c>
      <x:c r="C136" s="2" t="n">
        <x:f>COUNTIFS('2015'!$L$24:$L$96,A136&amp;" / "&amp;B136)+COUNTIFS('2016'!$L$24:$L$96,A136&amp;" / "&amp;B136)+COUNTIFS('2017'!$L$24:$L$106,A136&amp;" / "&amp;B136)+COUNTIFS('2018'!$L$24:$L$106,A136&amp;" / "&amp;B136)+COUNTIFS('2019'!$L$24:$L$106,A136&amp;" / "&amp;B136)+COUNTIFS('2020'!$L$24:$L$106,A136&amp;" / "&amp;B136)+COUNTIFS('2021'!$L$24:$L$112,A136&amp;" / "&amp;B136)+COUNTIFS('2022'!$L$24:$L$112,A136&amp;" / "&amp;B136)+COUNTIFS('2023'!$L$24:$L$112,A136&amp;" / "&amp;B136)+COUNTIFS('2024'!$L$24:$L$112,A136&amp;" / "&amp;B136)+COUNTIFS('2025'!$L$24:$L$112,A136&amp;" / "&amp;B136)</x:f>
        <x:v>1</x:v>
      </x:c>
      <x:c r="D136" s="2" t="n">
        <x:f>COUNTIFS('2015'!$L$24:$L$96,A136&amp;" / "&amp;B136,'2015'!$I$24:$I$96,A136)+COUNTIFS('2016'!$L$24:$L$96,A136&amp;" / "&amp;B136,'2016'!$I$24:$I$96,A136)+COUNTIFS('2017'!$L$24:$L$106,A136&amp;" / "&amp;B136,'2017'!$I$24:$I$106,A136)+COUNTIFS('2018'!$L$24:$L$106,A136&amp;" / "&amp;B136,'2018'!$I$24:$I$106,A136)+COUNTIFS('2019'!$L$24:$L$106,A136&amp;" / "&amp;B136,'2019'!$I$24:$I$106,A136)+COUNTIFS('2020'!$L$24:$L$106,A136&amp;" / "&amp;B136,'2020'!$I$24:$I$106,A136)+COUNTIFS('2021'!$L$24:$L$112,A136&amp;" / "&amp;B136,'2021'!$I$24:$I$112,A136)+COUNTIFS('2022'!$L$24:$L$112,A136&amp;" / "&amp;B136,'2022'!$I$24:$I$112,A136)+COUNTIFS('2023'!$L$24:$L$112,A136&amp;" / "&amp;B136,'2023'!$I$24:$I$112,A136)+COUNTIFS('2024'!$L$24:$L$112,A136&amp;" / "&amp;B136,'2024'!$I$24:$I$112,A136)+COUNTIFS('2025'!$L$24:$L$112,A136&amp;" / "&amp;B136,'2025'!$I$24:$I$112,A136)</x:f>
        <x:v>1</x:v>
      </x:c>
      <x:c r="E136" s="2" t="n">
        <x:f>COUNTIFS('2015'!$L$24:$L$96,A136&amp;" / "&amp;B136,'2015'!$I$24:$I$96,B136)+COUNTIFS('2016'!$L$24:$L$96,A136&amp;" / "&amp;B136,'2016'!$I$24:$I$96,B136)+COUNTIFS('2017'!$L$24:$L$106,A136&amp;" / "&amp;B136,'2017'!$I$24:$I$106,B136)+COUNTIFS('2018'!$L$24:$L$106,A136&amp;" / "&amp;B136,'2018'!$I$24:$I$106,B136)+COUNTIFS('2019'!$L$24:$L$106,A136&amp;" / "&amp;B136,'2019'!$I$24:$I$106,B136)+COUNTIFS('2020'!$L$24:$L$106,A136&amp;" / "&amp;B136,'2020'!$I$24:$I$106,B136)+COUNTIFS('2021'!$L$24:$L$112,A136&amp;" / "&amp;B136,'2021'!$I$24:$I$112,B136)+COUNTIFS('2022'!$L$24:$L$112,A136&amp;" / "&amp;B136,'2022'!$I$24:$I$112,B136)+COUNTIFS('2023'!$L$24:$L$112,A136&amp;" / "&amp;B136,'2023'!$I$24:$I$112,B136)+COUNTIFS('2024'!$L$24:$L$112,A136&amp;" / "&amp;B136,'2024'!$I$24:$I$112,B136)+COUNTIFS('2025'!$L$24:$L$112,A136&amp;" / "&amp;B136,'2025'!$I$24:$I$112,B136)</x:f>
        <x:v>0</x:v>
      </x:c>
      <x:c r="F136" s="2" t="n">
        <x:f>COUNTIFS('2015'!$L$24:$L$96,A136&amp;" / "&amp;B136,'2015'!$K$24:$K$96,1)+COUNTIFS('2016'!$L$24:$L$96,A136&amp;" / "&amp;B136,'2016'!$K$24:$K$96,1)+COUNTIFS('2017'!$L$24:$L$106,A136&amp;" / "&amp;B136,'2017'!$K$24:$K$106,1)+COUNTIFS('2018'!$L$24:$L$106,A136&amp;" / "&amp;B136,'2018'!$K$24:$K$106,1)+COUNTIFS('2019'!$L$24:$L$106,A136&amp;" / "&amp;B136,'2019'!$K$24:$K$106,1)+COUNTIFS('2020'!$L$24:$L$106,A136&amp;" / "&amp;B136,'2020'!$K$24:$K$106,1)+COUNTIFS('2021'!$L$24:$L$112,A136&amp;" / "&amp;B136,'2021'!$K$24:$K$112,1)+COUNTIFS('2022'!$L$24:$L$112,A136&amp;" / "&amp;B136,'2022'!$K$24:$K$112,1)+COUNTIFS('2023'!$L$24:$L$112,A136&amp;" / "&amp;B136,'2023'!$K$24:$K$112,1)+COUNTIFS('2024'!$L$24:$L$112,A136&amp;" / "&amp;B136,'2024'!$K$24:$K$112,1)+COUNTIFS('2025'!$L$24:$L$112,A136&amp;" / "&amp;B136,'2025'!$K$24:$K$112,1)</x:f>
        <x:v>0</x:v>
      </x:c>
      <x:c r="G136" s="25" t="n">
        <x:f>SUMIFS('2015'!$E$24:$E$96,'2015'!$L$24:$L$96,A136&amp;" / "&amp;B136,'2015'!$C$24:$C$96,A136)+SUMIFS('2015'!$H$24:$H$96,'2015'!$L$24:$L$96,A136&amp;" / "&amp;B136,'2015'!$F$24:$F$96,A136)+SUMIFS('2016'!$E$24:$E$96,'2016'!$L$24:$L$96,A136&amp;" / "&amp;B136,'2016'!$C$24:$C$96,A136)+SUMIFS('2016'!$H$24:$H$96,'2016'!$L$24:$L$96,A136&amp;" / "&amp;B136,'2016'!$F$24:$F$96,A136)+SUMIFS('2017'!$E$24:$E$106,'2017'!$L$24:$L$106,A136&amp;" / "&amp;B136,'2017'!$C$24:$C$106,A136)+SUMIFS('2017'!$H$24:$H$106,'2017'!$L$24:$L$106,A136&amp;" / "&amp;B136,'2017'!$F$24:$F$106,A136)+SUMIFS('2018'!$E$24:$E$106,'2018'!$L$24:$L$106,A136&amp;" / "&amp;B136,'2018'!$C$24:$C$106,A136)+SUMIFS('2018'!$H$24:$H$106,'2018'!$L$24:$L$106,A136&amp;" / "&amp;B136,'2018'!$F$24:$F$106,A136)+SUMIFS('2019'!$E$24:$E$106,'2019'!$L$24:$L$106,A136&amp;" / "&amp;B136,'2019'!$C$24:$C$106,A136)+SUMIFS('2019'!$H$24:$H$106,'2019'!$L$24:$L$106,A136&amp;" / "&amp;B136,'2019'!$F$24:$F$106,A136)+SUMIFS('2020'!$E$24:$E$106,'2020'!$L$24:$L$106,A136&amp;" / "&amp;B136,'2020'!$C$24:$C$106,A136)+SUMIFS('2020'!$H$24:$H$106,'2020'!$L$24:$L$106,A136&amp;" / "&amp;B136,'2020'!$F$24:$F$106,A136)+SUMIFS('2021'!$E$24:$E$112,'2021'!$L$24:$L$112,A136&amp;" / "&amp;B136,'2021'!$C$24:$C$112,A136)+SUMIFS('2021'!$H$24:$H$112,'2021'!$L$24:$L$112,A136&amp;" / "&amp;B136,'2021'!$F$24:$F$112,A136)+SUMIFS('2022'!$E$24:$E$112,'2022'!$L$24:$L$112,A136&amp;" / "&amp;B136,'2022'!$C$24:$C$112,A136)+SUMIFS('2022'!$H$24:$H$112,'2022'!$L$24:$L$112,A136&amp;" / "&amp;B136,'2022'!$F$24:$F$112,A136)+SUMIFS('2023'!$E$24:$E$112,'2023'!$L$24:$L$112,A136&amp;" / "&amp;B136,'2023'!$C$24:$C$112,A136)+SUMIFS('2023'!$H$24:$H$112,'2023'!$L$24:$L$112,A136&amp;" / "&amp;B136,'2023'!$F$24:$F$112,A136)+SUMIFS('2024'!$E$24:$E$112,'2024'!$L$24:$L$112,A136&amp;" / "&amp;B136,'2024'!$C$24:$C$112,A136)+SUMIFS('2024'!$H$24:$H$112,'2024'!$L$24:$L$112,A136&amp;" / "&amp;B136,'2024'!$F$24:$F$112,A136)+SUMIFS('2025'!$E$24:$E$112,'2025'!$L$24:$L$112,A136&amp;" / "&amp;B136,'2025'!$C$24:$C$112,A136)+SUMIFS('2025'!$H$24:$H$112,'2025'!$L$24:$L$112,A136&amp;" / "&amp;B136,'2025'!$F$24:$F$112,A136)</x:f>
        <x:v>130</x:v>
      </x:c>
      <x:c r="H136" s="25" t="n">
        <x:f>SUMIFS('2015'!$E$24:$E$96,'2015'!$L$24:$L$96,A136&amp;" / "&amp;B136,'2015'!$C$24:$C$96,B136)+SUMIFS('2015'!$H$24:$H$96,'2015'!$L$24:$L$96,A136&amp;" / "&amp;B136,'2015'!$F$24:$F$96,B136)+SUMIFS('2016'!$E$24:$E$96,'2016'!$L$24:$L$96,A136&amp;" / "&amp;B136,'2016'!$C$24:$C$96,B136)+SUMIFS('2016'!$H$24:$H$96,'2016'!$L$24:$L$96,A136&amp;" / "&amp;B136,'2016'!$F$24:$F$96,B136)+SUMIFS('2017'!$E$24:$E$106,'2017'!$L$24:$L$106,A136&amp;" / "&amp;B136,'2017'!$C$24:$C$106,B136)+SUMIFS('2017'!$H$24:$H$106,'2017'!$L$24:$L$106,A136&amp;" / "&amp;B136,'2017'!$F$24:$F$106,B136)+SUMIFS('2018'!$E$24:$E$106,'2018'!$L$24:$L$106,A136&amp;" / "&amp;B136,'2018'!$C$24:$C$106,B136)+SUMIFS('2018'!$H$24:$H$106,'2018'!$L$24:$L$106,A136&amp;" / "&amp;B136,'2018'!$F$24:$F$106,B136)+SUMIFS('2019'!$E$24:$E$106,'2019'!$L$24:$L$106,A136&amp;" / "&amp;B136,'2019'!$C$24:$C$106,B136)+SUMIFS('2019'!$H$24:$H$106,'2019'!$L$24:$L$106,A136&amp;" / "&amp;B136,'2019'!$F$24:$F$106,B136)+SUMIFS('2020'!$E$24:$E$106,'2020'!$L$24:$L$106,A136&amp;" / "&amp;B136,'2020'!$C$24:$C$106,B136)+SUMIFS('2020'!$H$24:$H$106,'2020'!$L$24:$L$106,A136&amp;" / "&amp;B136,'2020'!$F$24:$F$106,B136)+SUMIFS('2021'!$E$24:$E$112,'2021'!$L$24:$L$112,A136&amp;" / "&amp;B136,'2021'!$C$24:$C$112,B136)+SUMIFS('2021'!$H$24:$H$112,'2021'!$L$24:$L$112,A136&amp;" / "&amp;B136,'2021'!$F$24:$F$112,B136)+SUMIFS('2022'!$E$24:$E$112,'2022'!$L$24:$L$112,A136&amp;" / "&amp;B136,'2022'!$C$24:$C$112,B136)+SUMIFS('2022'!$H$24:$H$112,'2022'!$L$24:$L$112,A136&amp;" / "&amp;B136,'2022'!$F$24:$F$112,B136)+SUMIFS('2023'!$E$24:$E$112,'2023'!$L$24:$L$112,A136&amp;" / "&amp;B136,'2023'!$C$24:$C$112,B136)+SUMIFS('2023'!$H$24:$H$112,'2023'!$L$24:$L$112,A136&amp;" / "&amp;B136,'2023'!$F$24:$F$112,B136)+SUMIFS('2024'!$E$24:$E$112,'2024'!$L$24:$L$112,A136&amp;" / "&amp;B136,'2024'!$C$24:$C$112,B136)+SUMIFS('2024'!$H$24:$H$112,'2024'!$L$24:$L$112,A136&amp;" / "&amp;B136,'2024'!$F$24:$F$112,B136)+SUMIFS('2025'!$E$24:$E$112,'2025'!$L$24:$L$112,A136&amp;" / "&amp;B136,'2025'!$C$24:$C$112,B136)+SUMIFS('2025'!$H$24:$H$112,'2025'!$L$24:$L$112,A136&amp;" / "&amp;B136,'2025'!$F$24:$F$112,B136)</x:f>
        <x:v>69</x:v>
      </x:c>
      <x:c r="I136" s="11" t="n">
        <x:f>IF(C136=0,0,(D136+0.5*F136)/C136)</x:f>
        <x:v>1</x:v>
      </x:c>
      <x:c r="J136" s="2" t="n">
        <x:f>COUNTIFS('2015'!$L$24:$L$96,A136&amp;" / "&amp;B136,'2015'!$B$24:$B$96,"Regular")+COUNTIFS('2016'!$L$24:$L$96,A136&amp;" / "&amp;B136,'2016'!$B$24:$B$96,"Regular")+COUNTIFS('2017'!$L$24:$L$106,A136&amp;" / "&amp;B136,'2017'!$B$24:$B$106,"Regular")+COUNTIFS('2018'!$L$24:$L$106,A136&amp;" / "&amp;B136,'2018'!$B$24:$B$106,"Regular")+COUNTIFS('2019'!$L$24:$L$106,A136&amp;" / "&amp;B136,'2019'!$B$24:$B$106,"Regular")+COUNTIFS('2020'!$L$24:$L$106,A136&amp;" / "&amp;B136,'2020'!$B$24:$B$106,"Regular")+COUNTIFS('2021'!$L$24:$L$112,A136&amp;" / "&amp;B136,'2021'!$B$24:$B$112,"Regular")+COUNTIFS('2022'!$L$24:$L$112,A136&amp;" / "&amp;B136,'2022'!$B$24:$B$112,"Regular")+COUNTIFS('2023'!$L$24:$L$112,A136&amp;" / "&amp;B136,'2023'!$B$24:$B$112,"Regular")+COUNTIFS('2024'!$L$24:$L$112,A136&amp;" / "&amp;B136,'2024'!$B$24:$B$112,"Regular")+COUNTIFS('2025'!$L$24:$L$112,A136&amp;" / "&amp;B136,'2025'!$B$24:$B$112,"Regular")</x:f>
        <x:v>1</x:v>
      </x:c>
      <x:c r="K136" s="2" t="n">
        <x:f>COUNTIFS('2015'!$L$24:$L$96,A136&amp;" / "&amp;B136,'2015'!$B$24:$B$96,"Playoffs")+COUNTIFS('2016'!$L$24:$L$96,A136&amp;" / "&amp;B136,'2016'!$B$24:$B$96,"Playoffs")+COUNTIFS('2017'!$L$24:$L$106,A136&amp;" / "&amp;B136,'2017'!$B$24:$B$106,"Playoffs")+COUNTIFS('2018'!$L$24:$L$106,A136&amp;" / "&amp;B136,'2018'!$B$24:$B$106,"Playoffs")+COUNTIFS('2019'!$L$24:$L$106,A136&amp;" / "&amp;B136,'2019'!$B$24:$B$106,"Playoffs")+COUNTIFS('2020'!$L$24:$L$106,A136&amp;" / "&amp;B136,'2020'!$B$24:$B$106,"Playoffs")+COUNTIFS('2021'!$L$24:$L$112,A136&amp;" / "&amp;B136,'2021'!$B$24:$B$112,"Playoffs")+COUNTIFS('2022'!$L$24:$L$112,A136&amp;" / "&amp;B136,'2022'!$B$24:$B$112,"Playoffs")+COUNTIFS('2023'!$L$24:$L$112,A136&amp;" / "&amp;B136,'2023'!$B$24:$B$112,"Playoffs")+COUNTIFS('2024'!$L$24:$L$112,A136&amp;" / "&amp;B136,'2024'!$B$24:$B$112,"Playoffs")+COUNTIFS('2025'!$L$24:$L$112,A136&amp;" / "&amp;B136,'2025'!$B$24:$B$112,"Playoffs")</x:f>
        <x:v>0</x:v>
      </x:c>
      <x:c r="L136" s="2" t="n">
        <x:f>COUNTIFS('2015'!$L$24:$L$96,A136&amp;" / "&amp;B136,'2015'!$B$24:$B$96,"Unconfirmed")+COUNTIFS('2016'!$L$24:$L$96,A136&amp;" / "&amp;B136,'2016'!$B$24:$B$96,"Unconfirmed")+COUNTIFS('2017'!$L$24:$L$106,A136&amp;" / "&amp;B136,'2017'!$B$24:$B$106,"Unconfirmed")+COUNTIFS('2018'!$L$24:$L$106,A136&amp;" / "&amp;B136,'2018'!$B$24:$B$106,"Unconfirmed")+COUNTIFS('2019'!$L$24:$L$106,A136&amp;" / "&amp;B136,'2019'!$B$24:$B$106,"Unconfirmed")+COUNTIFS('2020'!$L$24:$L$106,A136&amp;" / "&amp;B136,'2020'!$B$24:$B$106,"Unconfirmed")+COUNTIFS('2021'!$L$24:$L$112,A136&amp;" / "&amp;B136,'2021'!$B$24:$B$112,"Unconfirmed")+COUNTIFS('2022'!$L$24:$L$112,A136&amp;" / "&amp;B136,'2022'!$B$24:$B$112,"Unconfirmed")+COUNTIFS('2023'!$L$24:$L$112,A136&amp;" / "&amp;B136,'2023'!$B$24:$B$112,"Unconfirmed")+COUNTIFS('2024'!$L$24:$L$112,A136&amp;" / "&amp;B136,'2024'!$B$24:$B$112,"Unconfirmed")+COUNTIFS('2025'!$L$24:$L$112,A136&amp;" / "&amp;B136,'2025'!$B$24:$B$112,"Unconfirmed")</x:f>
        <x:v>0</x:v>
      </x:c>
    </x:row>
    <x:row r="137" ht="22" customHeight="1">
      <x:c r="A137" s="2" t="str">
        <x:v>Mark</x:v>
      </x:c>
      <x:c r="B137" s="2" t="str">
        <x:v>Matt</x:v>
      </x:c>
      <x:c r="C137" s="2" t="n">
        <x:f>COUNTIFS('2015'!$L$24:$L$96,A137&amp;" / "&amp;B137)+COUNTIFS('2016'!$L$24:$L$96,A137&amp;" / "&amp;B137)+COUNTIFS('2017'!$L$24:$L$106,A137&amp;" / "&amp;B137)+COUNTIFS('2018'!$L$24:$L$106,A137&amp;" / "&amp;B137)+COUNTIFS('2019'!$L$24:$L$106,A137&amp;" / "&amp;B137)+COUNTIFS('2020'!$L$24:$L$106,A137&amp;" / "&amp;B137)+COUNTIFS('2021'!$L$24:$L$112,A137&amp;" / "&amp;B137)+COUNTIFS('2022'!$L$24:$L$112,A137&amp;" / "&amp;B137)+COUNTIFS('2023'!$L$24:$L$112,A137&amp;" / "&amp;B137)+COUNTIFS('2024'!$L$24:$L$112,A137&amp;" / "&amp;B137)+COUNTIFS('2025'!$L$24:$L$112,A137&amp;" / "&amp;B137)</x:f>
        <x:v>15</x:v>
      </x:c>
      <x:c r="D137" s="2" t="n">
        <x:f>COUNTIFS('2015'!$L$24:$L$96,A137&amp;" / "&amp;B137,'2015'!$I$24:$I$96,A137)+COUNTIFS('2016'!$L$24:$L$96,A137&amp;" / "&amp;B137,'2016'!$I$24:$I$96,A137)+COUNTIFS('2017'!$L$24:$L$106,A137&amp;" / "&amp;B137,'2017'!$I$24:$I$106,A137)+COUNTIFS('2018'!$L$24:$L$106,A137&amp;" / "&amp;B137,'2018'!$I$24:$I$106,A137)+COUNTIFS('2019'!$L$24:$L$106,A137&amp;" / "&amp;B137,'2019'!$I$24:$I$106,A137)+COUNTIFS('2020'!$L$24:$L$106,A137&amp;" / "&amp;B137,'2020'!$I$24:$I$106,A137)+COUNTIFS('2021'!$L$24:$L$112,A137&amp;" / "&amp;B137,'2021'!$I$24:$I$112,A137)+COUNTIFS('2022'!$L$24:$L$112,A137&amp;" / "&amp;B137,'2022'!$I$24:$I$112,A137)+COUNTIFS('2023'!$L$24:$L$112,A137&amp;" / "&amp;B137,'2023'!$I$24:$I$112,A137)+COUNTIFS('2024'!$L$24:$L$112,A137&amp;" / "&amp;B137,'2024'!$I$24:$I$112,A137)+COUNTIFS('2025'!$L$24:$L$112,A137&amp;" / "&amp;B137,'2025'!$I$24:$I$112,A137)</x:f>
        <x:v>8</x:v>
      </x:c>
      <x:c r="E137" s="2" t="n">
        <x:f>COUNTIFS('2015'!$L$24:$L$96,A137&amp;" / "&amp;B137,'2015'!$I$24:$I$96,B137)+COUNTIFS('2016'!$L$24:$L$96,A137&amp;" / "&amp;B137,'2016'!$I$24:$I$96,B137)+COUNTIFS('2017'!$L$24:$L$106,A137&amp;" / "&amp;B137,'2017'!$I$24:$I$106,B137)+COUNTIFS('2018'!$L$24:$L$106,A137&amp;" / "&amp;B137,'2018'!$I$24:$I$106,B137)+COUNTIFS('2019'!$L$24:$L$106,A137&amp;" / "&amp;B137,'2019'!$I$24:$I$106,B137)+COUNTIFS('2020'!$L$24:$L$106,A137&amp;" / "&amp;B137,'2020'!$I$24:$I$106,B137)+COUNTIFS('2021'!$L$24:$L$112,A137&amp;" / "&amp;B137,'2021'!$I$24:$I$112,B137)+COUNTIFS('2022'!$L$24:$L$112,A137&amp;" / "&amp;B137,'2022'!$I$24:$I$112,B137)+COUNTIFS('2023'!$L$24:$L$112,A137&amp;" / "&amp;B137,'2023'!$I$24:$I$112,B137)+COUNTIFS('2024'!$L$24:$L$112,A137&amp;" / "&amp;B137,'2024'!$I$24:$I$112,B137)+COUNTIFS('2025'!$L$24:$L$112,A137&amp;" / "&amp;B137,'2025'!$I$24:$I$112,B137)</x:f>
        <x:v>6</x:v>
      </x:c>
      <x:c r="F137" s="2" t="n">
        <x:f>COUNTIFS('2015'!$L$24:$L$96,A137&amp;" / "&amp;B137,'2015'!$K$24:$K$96,1)+COUNTIFS('2016'!$L$24:$L$96,A137&amp;" / "&amp;B137,'2016'!$K$24:$K$96,1)+COUNTIFS('2017'!$L$24:$L$106,A137&amp;" / "&amp;B137,'2017'!$K$24:$K$106,1)+COUNTIFS('2018'!$L$24:$L$106,A137&amp;" / "&amp;B137,'2018'!$K$24:$K$106,1)+COUNTIFS('2019'!$L$24:$L$106,A137&amp;" / "&amp;B137,'2019'!$K$24:$K$106,1)+COUNTIFS('2020'!$L$24:$L$106,A137&amp;" / "&amp;B137,'2020'!$K$24:$K$106,1)+COUNTIFS('2021'!$L$24:$L$112,A137&amp;" / "&amp;B137,'2021'!$K$24:$K$112,1)+COUNTIFS('2022'!$L$24:$L$112,A137&amp;" / "&amp;B137,'2022'!$K$24:$K$112,1)+COUNTIFS('2023'!$L$24:$L$112,A137&amp;" / "&amp;B137,'2023'!$K$24:$K$112,1)+COUNTIFS('2024'!$L$24:$L$112,A137&amp;" / "&amp;B137,'2024'!$K$24:$K$112,1)+COUNTIFS('2025'!$L$24:$L$112,A137&amp;" / "&amp;B137,'2025'!$K$24:$K$112,1)</x:f>
        <x:v>1</x:v>
      </x:c>
      <x:c r="G137" s="25" t="n">
        <x:f>SUMIFS('2015'!$E$24:$E$96,'2015'!$L$24:$L$96,A137&amp;" / "&amp;B137,'2015'!$C$24:$C$96,A137)+SUMIFS('2015'!$H$24:$H$96,'2015'!$L$24:$L$96,A137&amp;" / "&amp;B137,'2015'!$F$24:$F$96,A137)+SUMIFS('2016'!$E$24:$E$96,'2016'!$L$24:$L$96,A137&amp;" / "&amp;B137,'2016'!$C$24:$C$96,A137)+SUMIFS('2016'!$H$24:$H$96,'2016'!$L$24:$L$96,A137&amp;" / "&amp;B137,'2016'!$F$24:$F$96,A137)+SUMIFS('2017'!$E$24:$E$106,'2017'!$L$24:$L$106,A137&amp;" / "&amp;B137,'2017'!$C$24:$C$106,A137)+SUMIFS('2017'!$H$24:$H$106,'2017'!$L$24:$L$106,A137&amp;" / "&amp;B137,'2017'!$F$24:$F$106,A137)+SUMIFS('2018'!$E$24:$E$106,'2018'!$L$24:$L$106,A137&amp;" / "&amp;B137,'2018'!$C$24:$C$106,A137)+SUMIFS('2018'!$H$24:$H$106,'2018'!$L$24:$L$106,A137&amp;" / "&amp;B137,'2018'!$F$24:$F$106,A137)+SUMIFS('2019'!$E$24:$E$106,'2019'!$L$24:$L$106,A137&amp;" / "&amp;B137,'2019'!$C$24:$C$106,A137)+SUMIFS('2019'!$H$24:$H$106,'2019'!$L$24:$L$106,A137&amp;" / "&amp;B137,'2019'!$F$24:$F$106,A137)+SUMIFS('2020'!$E$24:$E$106,'2020'!$L$24:$L$106,A137&amp;" / "&amp;B137,'2020'!$C$24:$C$106,A137)+SUMIFS('2020'!$H$24:$H$106,'2020'!$L$24:$L$106,A137&amp;" / "&amp;B137,'2020'!$F$24:$F$106,A137)+SUMIFS('2021'!$E$24:$E$112,'2021'!$L$24:$L$112,A137&amp;" / "&amp;B137,'2021'!$C$24:$C$112,A137)+SUMIFS('2021'!$H$24:$H$112,'2021'!$L$24:$L$112,A137&amp;" / "&amp;B137,'2021'!$F$24:$F$112,A137)+SUMIFS('2022'!$E$24:$E$112,'2022'!$L$24:$L$112,A137&amp;" / "&amp;B137,'2022'!$C$24:$C$112,A137)+SUMIFS('2022'!$H$24:$H$112,'2022'!$L$24:$L$112,A137&amp;" / "&amp;B137,'2022'!$F$24:$F$112,A137)+SUMIFS('2023'!$E$24:$E$112,'2023'!$L$24:$L$112,A137&amp;" / "&amp;B137,'2023'!$C$24:$C$112,A137)+SUMIFS('2023'!$H$24:$H$112,'2023'!$L$24:$L$112,A137&amp;" / "&amp;B137,'2023'!$F$24:$F$112,A137)+SUMIFS('2024'!$E$24:$E$112,'2024'!$L$24:$L$112,A137&amp;" / "&amp;B137,'2024'!$C$24:$C$112,A137)+SUMIFS('2024'!$H$24:$H$112,'2024'!$L$24:$L$112,A137&amp;" / "&amp;B137,'2024'!$F$24:$F$112,A137)+SUMIFS('2025'!$E$24:$E$112,'2025'!$L$24:$L$112,A137&amp;" / "&amp;B137,'2025'!$C$24:$C$112,A137)+SUMIFS('2025'!$H$24:$H$112,'2025'!$L$24:$L$112,A137&amp;" / "&amp;B137,'2025'!$F$24:$F$112,A137)</x:f>
        <x:v>1710.25</x:v>
      </x:c>
      <x:c r="H137" s="25" t="n">
        <x:f>SUMIFS('2015'!$E$24:$E$96,'2015'!$L$24:$L$96,A137&amp;" / "&amp;B137,'2015'!$C$24:$C$96,B137)+SUMIFS('2015'!$H$24:$H$96,'2015'!$L$24:$L$96,A137&amp;" / "&amp;B137,'2015'!$F$24:$F$96,B137)+SUMIFS('2016'!$E$24:$E$96,'2016'!$L$24:$L$96,A137&amp;" / "&amp;B137,'2016'!$C$24:$C$96,B137)+SUMIFS('2016'!$H$24:$H$96,'2016'!$L$24:$L$96,A137&amp;" / "&amp;B137,'2016'!$F$24:$F$96,B137)+SUMIFS('2017'!$E$24:$E$106,'2017'!$L$24:$L$106,A137&amp;" / "&amp;B137,'2017'!$C$24:$C$106,B137)+SUMIFS('2017'!$H$24:$H$106,'2017'!$L$24:$L$106,A137&amp;" / "&amp;B137,'2017'!$F$24:$F$106,B137)+SUMIFS('2018'!$E$24:$E$106,'2018'!$L$24:$L$106,A137&amp;" / "&amp;B137,'2018'!$C$24:$C$106,B137)+SUMIFS('2018'!$H$24:$H$106,'2018'!$L$24:$L$106,A137&amp;" / "&amp;B137,'2018'!$F$24:$F$106,B137)+SUMIFS('2019'!$E$24:$E$106,'2019'!$L$24:$L$106,A137&amp;" / "&amp;B137,'2019'!$C$24:$C$106,B137)+SUMIFS('2019'!$H$24:$H$106,'2019'!$L$24:$L$106,A137&amp;" / "&amp;B137,'2019'!$F$24:$F$106,B137)+SUMIFS('2020'!$E$24:$E$106,'2020'!$L$24:$L$106,A137&amp;" / "&amp;B137,'2020'!$C$24:$C$106,B137)+SUMIFS('2020'!$H$24:$H$106,'2020'!$L$24:$L$106,A137&amp;" / "&amp;B137,'2020'!$F$24:$F$106,B137)+SUMIFS('2021'!$E$24:$E$112,'2021'!$L$24:$L$112,A137&amp;" / "&amp;B137,'2021'!$C$24:$C$112,B137)+SUMIFS('2021'!$H$24:$H$112,'2021'!$L$24:$L$112,A137&amp;" / "&amp;B137,'2021'!$F$24:$F$112,B137)+SUMIFS('2022'!$E$24:$E$112,'2022'!$L$24:$L$112,A137&amp;" / "&amp;B137,'2022'!$C$24:$C$112,B137)+SUMIFS('2022'!$H$24:$H$112,'2022'!$L$24:$L$112,A137&amp;" / "&amp;B137,'2022'!$F$24:$F$112,B137)+SUMIFS('2023'!$E$24:$E$112,'2023'!$L$24:$L$112,A137&amp;" / "&amp;B137,'2023'!$C$24:$C$112,B137)+SUMIFS('2023'!$H$24:$H$112,'2023'!$L$24:$L$112,A137&amp;" / "&amp;B137,'2023'!$F$24:$F$112,B137)+SUMIFS('2024'!$E$24:$E$112,'2024'!$L$24:$L$112,A137&amp;" / "&amp;B137,'2024'!$C$24:$C$112,B137)+SUMIFS('2024'!$H$24:$H$112,'2024'!$L$24:$L$112,A137&amp;" / "&amp;B137,'2024'!$F$24:$F$112,B137)+SUMIFS('2025'!$E$24:$E$112,'2025'!$L$24:$L$112,A137&amp;" / "&amp;B137,'2025'!$C$24:$C$112,B137)+SUMIFS('2025'!$H$24:$H$112,'2025'!$L$24:$L$112,A137&amp;" / "&amp;B137,'2025'!$F$24:$F$112,B137)</x:f>
        <x:v>1630.1000000000001</x:v>
      </x:c>
      <x:c r="I137" s="11" t="n">
        <x:f>IF(C137=0,0,(D137+0.5*F137)/C137)</x:f>
        <x:v>0.5666666666666667</x:v>
      </x:c>
      <x:c r="J137" s="2" t="n">
        <x:f>COUNTIFS('2015'!$L$24:$L$96,A137&amp;" / "&amp;B137,'2015'!$B$24:$B$96,"Regular")+COUNTIFS('2016'!$L$24:$L$96,A137&amp;" / "&amp;B137,'2016'!$B$24:$B$96,"Regular")+COUNTIFS('2017'!$L$24:$L$106,A137&amp;" / "&amp;B137,'2017'!$B$24:$B$106,"Regular")+COUNTIFS('2018'!$L$24:$L$106,A137&amp;" / "&amp;B137,'2018'!$B$24:$B$106,"Regular")+COUNTIFS('2019'!$L$24:$L$106,A137&amp;" / "&amp;B137,'2019'!$B$24:$B$106,"Regular")+COUNTIFS('2020'!$L$24:$L$106,A137&amp;" / "&amp;B137,'2020'!$B$24:$B$106,"Regular")+COUNTIFS('2021'!$L$24:$L$112,A137&amp;" / "&amp;B137,'2021'!$B$24:$B$112,"Regular")+COUNTIFS('2022'!$L$24:$L$112,A137&amp;" / "&amp;B137,'2022'!$B$24:$B$112,"Regular")+COUNTIFS('2023'!$L$24:$L$112,A137&amp;" / "&amp;B137,'2023'!$B$24:$B$112,"Regular")+COUNTIFS('2024'!$L$24:$L$112,A137&amp;" / "&amp;B137,'2024'!$B$24:$B$112,"Regular")+COUNTIFS('2025'!$L$24:$L$112,A137&amp;" / "&amp;B137,'2025'!$B$24:$B$112,"Regular")</x:f>
        <x:v>14</x:v>
      </x:c>
      <x:c r="K137" s="2" t="n">
        <x:f>COUNTIFS('2015'!$L$24:$L$96,A137&amp;" / "&amp;B137,'2015'!$B$24:$B$96,"Playoffs")+COUNTIFS('2016'!$L$24:$L$96,A137&amp;" / "&amp;B137,'2016'!$B$24:$B$96,"Playoffs")+COUNTIFS('2017'!$L$24:$L$106,A137&amp;" / "&amp;B137,'2017'!$B$24:$B$106,"Playoffs")+COUNTIFS('2018'!$L$24:$L$106,A137&amp;" / "&amp;B137,'2018'!$B$24:$B$106,"Playoffs")+COUNTIFS('2019'!$L$24:$L$106,A137&amp;" / "&amp;B137,'2019'!$B$24:$B$106,"Playoffs")+COUNTIFS('2020'!$L$24:$L$106,A137&amp;" / "&amp;B137,'2020'!$B$24:$B$106,"Playoffs")+COUNTIFS('2021'!$L$24:$L$112,A137&amp;" / "&amp;B137,'2021'!$B$24:$B$112,"Playoffs")+COUNTIFS('2022'!$L$24:$L$112,A137&amp;" / "&amp;B137,'2022'!$B$24:$B$112,"Playoffs")+COUNTIFS('2023'!$L$24:$L$112,A137&amp;" / "&amp;B137,'2023'!$B$24:$B$112,"Playoffs")+COUNTIFS('2024'!$L$24:$L$112,A137&amp;" / "&amp;B137,'2024'!$B$24:$B$112,"Playoffs")+COUNTIFS('2025'!$L$24:$L$112,A137&amp;" / "&amp;B137,'2025'!$B$24:$B$112,"Playoffs")</x:f>
        <x:v>1</x:v>
      </x:c>
      <x:c r="L137" s="2" t="n">
        <x:f>COUNTIFS('2015'!$L$24:$L$96,A137&amp;" / "&amp;B137,'2015'!$B$24:$B$96,"Unconfirmed")+COUNTIFS('2016'!$L$24:$L$96,A137&amp;" / "&amp;B137,'2016'!$B$24:$B$96,"Unconfirmed")+COUNTIFS('2017'!$L$24:$L$106,A137&amp;" / "&amp;B137,'2017'!$B$24:$B$106,"Unconfirmed")+COUNTIFS('2018'!$L$24:$L$106,A137&amp;" / "&amp;B137,'2018'!$B$24:$B$106,"Unconfirmed")+COUNTIFS('2019'!$L$24:$L$106,A137&amp;" / "&amp;B137,'2019'!$B$24:$B$106,"Unconfirmed")+COUNTIFS('2020'!$L$24:$L$106,A137&amp;" / "&amp;B137,'2020'!$B$24:$B$106,"Unconfirmed")+COUNTIFS('2021'!$L$24:$L$112,A137&amp;" / "&amp;B137,'2021'!$B$24:$B$112,"Unconfirmed")+COUNTIFS('2022'!$L$24:$L$112,A137&amp;" / "&amp;B137,'2022'!$B$24:$B$112,"Unconfirmed")+COUNTIFS('2023'!$L$24:$L$112,A137&amp;" / "&amp;B137,'2023'!$B$24:$B$112,"Unconfirmed")+COUNTIFS('2024'!$L$24:$L$112,A137&amp;" / "&amp;B137,'2024'!$B$24:$B$112,"Unconfirmed")+COUNTIFS('2025'!$L$24:$L$112,A137&amp;" / "&amp;B137,'2025'!$B$24:$B$112,"Unconfirmed")</x:f>
        <x:v>0</x:v>
      </x:c>
    </x:row>
    <x:row r="138" ht="22" customHeight="1">
      <x:c r="A138" s="2" t="str">
        <x:v>Mark</x:v>
      </x:c>
      <x:c r="B138" s="2" t="str">
        <x:v>Michael</x:v>
      </x:c>
      <x:c r="C138" s="2" t="n">
        <x:f>COUNTIFS('2015'!$L$24:$L$96,A138&amp;" / "&amp;B138)+COUNTIFS('2016'!$L$24:$L$96,A138&amp;" / "&amp;B138)+COUNTIFS('2017'!$L$24:$L$106,A138&amp;" / "&amp;B138)+COUNTIFS('2018'!$L$24:$L$106,A138&amp;" / "&amp;B138)+COUNTIFS('2019'!$L$24:$L$106,A138&amp;" / "&amp;B138)+COUNTIFS('2020'!$L$24:$L$106,A138&amp;" / "&amp;B138)+COUNTIFS('2021'!$L$24:$L$112,A138&amp;" / "&amp;B138)+COUNTIFS('2022'!$L$24:$L$112,A138&amp;" / "&amp;B138)+COUNTIFS('2023'!$L$24:$L$112,A138&amp;" / "&amp;B138)+COUNTIFS('2024'!$L$24:$L$112,A138&amp;" / "&amp;B138)+COUNTIFS('2025'!$L$24:$L$112,A138&amp;" / "&amp;B138)</x:f>
        <x:v>4</x:v>
      </x:c>
      <x:c r="D138" s="2" t="n">
        <x:f>COUNTIFS('2015'!$L$24:$L$96,A138&amp;" / "&amp;B138,'2015'!$I$24:$I$96,A138)+COUNTIFS('2016'!$L$24:$L$96,A138&amp;" / "&amp;B138,'2016'!$I$24:$I$96,A138)+COUNTIFS('2017'!$L$24:$L$106,A138&amp;" / "&amp;B138,'2017'!$I$24:$I$106,A138)+COUNTIFS('2018'!$L$24:$L$106,A138&amp;" / "&amp;B138,'2018'!$I$24:$I$106,A138)+COUNTIFS('2019'!$L$24:$L$106,A138&amp;" / "&amp;B138,'2019'!$I$24:$I$106,A138)+COUNTIFS('2020'!$L$24:$L$106,A138&amp;" / "&amp;B138,'2020'!$I$24:$I$106,A138)+COUNTIFS('2021'!$L$24:$L$112,A138&amp;" / "&amp;B138,'2021'!$I$24:$I$112,A138)+COUNTIFS('2022'!$L$24:$L$112,A138&amp;" / "&amp;B138,'2022'!$I$24:$I$112,A138)+COUNTIFS('2023'!$L$24:$L$112,A138&amp;" / "&amp;B138,'2023'!$I$24:$I$112,A138)+COUNTIFS('2024'!$L$24:$L$112,A138&amp;" / "&amp;B138,'2024'!$I$24:$I$112,A138)+COUNTIFS('2025'!$L$24:$L$112,A138&amp;" / "&amp;B138,'2025'!$I$24:$I$112,A138)</x:f>
        <x:v>3</x:v>
      </x:c>
      <x:c r="E138" s="2" t="n">
        <x:f>COUNTIFS('2015'!$L$24:$L$96,A138&amp;" / "&amp;B138,'2015'!$I$24:$I$96,B138)+COUNTIFS('2016'!$L$24:$L$96,A138&amp;" / "&amp;B138,'2016'!$I$24:$I$96,B138)+COUNTIFS('2017'!$L$24:$L$106,A138&amp;" / "&amp;B138,'2017'!$I$24:$I$106,B138)+COUNTIFS('2018'!$L$24:$L$106,A138&amp;" / "&amp;B138,'2018'!$I$24:$I$106,B138)+COUNTIFS('2019'!$L$24:$L$106,A138&amp;" / "&amp;B138,'2019'!$I$24:$I$106,B138)+COUNTIFS('2020'!$L$24:$L$106,A138&amp;" / "&amp;B138,'2020'!$I$24:$I$106,B138)+COUNTIFS('2021'!$L$24:$L$112,A138&amp;" / "&amp;B138,'2021'!$I$24:$I$112,B138)+COUNTIFS('2022'!$L$24:$L$112,A138&amp;" / "&amp;B138,'2022'!$I$24:$I$112,B138)+COUNTIFS('2023'!$L$24:$L$112,A138&amp;" / "&amp;B138,'2023'!$I$24:$I$112,B138)+COUNTIFS('2024'!$L$24:$L$112,A138&amp;" / "&amp;B138,'2024'!$I$24:$I$112,B138)+COUNTIFS('2025'!$L$24:$L$112,A138&amp;" / "&amp;B138,'2025'!$I$24:$I$112,B138)</x:f>
        <x:v>1</x:v>
      </x:c>
      <x:c r="F138" s="2" t="n">
        <x:f>COUNTIFS('2015'!$L$24:$L$96,A138&amp;" / "&amp;B138,'2015'!$K$24:$K$96,1)+COUNTIFS('2016'!$L$24:$L$96,A138&amp;" / "&amp;B138,'2016'!$K$24:$K$96,1)+COUNTIFS('2017'!$L$24:$L$106,A138&amp;" / "&amp;B138,'2017'!$K$24:$K$106,1)+COUNTIFS('2018'!$L$24:$L$106,A138&amp;" / "&amp;B138,'2018'!$K$24:$K$106,1)+COUNTIFS('2019'!$L$24:$L$106,A138&amp;" / "&amp;B138,'2019'!$K$24:$K$106,1)+COUNTIFS('2020'!$L$24:$L$106,A138&amp;" / "&amp;B138,'2020'!$K$24:$K$106,1)+COUNTIFS('2021'!$L$24:$L$112,A138&amp;" / "&amp;B138,'2021'!$K$24:$K$112,1)+COUNTIFS('2022'!$L$24:$L$112,A138&amp;" / "&amp;B138,'2022'!$K$24:$K$112,1)+COUNTIFS('2023'!$L$24:$L$112,A138&amp;" / "&amp;B138,'2023'!$K$24:$K$112,1)+COUNTIFS('2024'!$L$24:$L$112,A138&amp;" / "&amp;B138,'2024'!$K$24:$K$112,1)+COUNTIFS('2025'!$L$24:$L$112,A138&amp;" / "&amp;B138,'2025'!$K$24:$K$112,1)</x:f>
        <x:v>0</x:v>
      </x:c>
      <x:c r="G138" s="25" t="n">
        <x:f>SUMIFS('2015'!$E$24:$E$96,'2015'!$L$24:$L$96,A138&amp;" / "&amp;B138,'2015'!$C$24:$C$96,A138)+SUMIFS('2015'!$H$24:$H$96,'2015'!$L$24:$L$96,A138&amp;" / "&amp;B138,'2015'!$F$24:$F$96,A138)+SUMIFS('2016'!$E$24:$E$96,'2016'!$L$24:$L$96,A138&amp;" / "&amp;B138,'2016'!$C$24:$C$96,A138)+SUMIFS('2016'!$H$24:$H$96,'2016'!$L$24:$L$96,A138&amp;" / "&amp;B138,'2016'!$F$24:$F$96,A138)+SUMIFS('2017'!$E$24:$E$106,'2017'!$L$24:$L$106,A138&amp;" / "&amp;B138,'2017'!$C$24:$C$106,A138)+SUMIFS('2017'!$H$24:$H$106,'2017'!$L$24:$L$106,A138&amp;" / "&amp;B138,'2017'!$F$24:$F$106,A138)+SUMIFS('2018'!$E$24:$E$106,'2018'!$L$24:$L$106,A138&amp;" / "&amp;B138,'2018'!$C$24:$C$106,A138)+SUMIFS('2018'!$H$24:$H$106,'2018'!$L$24:$L$106,A138&amp;" / "&amp;B138,'2018'!$F$24:$F$106,A138)+SUMIFS('2019'!$E$24:$E$106,'2019'!$L$24:$L$106,A138&amp;" / "&amp;B138,'2019'!$C$24:$C$106,A138)+SUMIFS('2019'!$H$24:$H$106,'2019'!$L$24:$L$106,A138&amp;" / "&amp;B138,'2019'!$F$24:$F$106,A138)+SUMIFS('2020'!$E$24:$E$106,'2020'!$L$24:$L$106,A138&amp;" / "&amp;B138,'2020'!$C$24:$C$106,A138)+SUMIFS('2020'!$H$24:$H$106,'2020'!$L$24:$L$106,A138&amp;" / "&amp;B138,'2020'!$F$24:$F$106,A138)+SUMIFS('2021'!$E$24:$E$112,'2021'!$L$24:$L$112,A138&amp;" / "&amp;B138,'2021'!$C$24:$C$112,A138)+SUMIFS('2021'!$H$24:$H$112,'2021'!$L$24:$L$112,A138&amp;" / "&amp;B138,'2021'!$F$24:$F$112,A138)+SUMIFS('2022'!$E$24:$E$112,'2022'!$L$24:$L$112,A138&amp;" / "&amp;B138,'2022'!$C$24:$C$112,A138)+SUMIFS('2022'!$H$24:$H$112,'2022'!$L$24:$L$112,A138&amp;" / "&amp;B138,'2022'!$F$24:$F$112,A138)+SUMIFS('2023'!$E$24:$E$112,'2023'!$L$24:$L$112,A138&amp;" / "&amp;B138,'2023'!$C$24:$C$112,A138)+SUMIFS('2023'!$H$24:$H$112,'2023'!$L$24:$L$112,A138&amp;" / "&amp;B138,'2023'!$F$24:$F$112,A138)+SUMIFS('2024'!$E$24:$E$112,'2024'!$L$24:$L$112,A138&amp;" / "&amp;B138,'2024'!$C$24:$C$112,A138)+SUMIFS('2024'!$H$24:$H$112,'2024'!$L$24:$L$112,A138&amp;" / "&amp;B138,'2024'!$F$24:$F$112,A138)+SUMIFS('2025'!$E$24:$E$112,'2025'!$L$24:$L$112,A138&amp;" / "&amp;B138,'2025'!$C$24:$C$112,A138)+SUMIFS('2025'!$H$24:$H$112,'2025'!$L$24:$L$112,A138&amp;" / "&amp;B138,'2025'!$F$24:$F$112,A138)</x:f>
        <x:v>556.9</x:v>
      </x:c>
      <x:c r="H138" s="25" t="n">
        <x:f>SUMIFS('2015'!$E$24:$E$96,'2015'!$L$24:$L$96,A138&amp;" / "&amp;B138,'2015'!$C$24:$C$96,B138)+SUMIFS('2015'!$H$24:$H$96,'2015'!$L$24:$L$96,A138&amp;" / "&amp;B138,'2015'!$F$24:$F$96,B138)+SUMIFS('2016'!$E$24:$E$96,'2016'!$L$24:$L$96,A138&amp;" / "&amp;B138,'2016'!$C$24:$C$96,B138)+SUMIFS('2016'!$H$24:$H$96,'2016'!$L$24:$L$96,A138&amp;" / "&amp;B138,'2016'!$F$24:$F$96,B138)+SUMIFS('2017'!$E$24:$E$106,'2017'!$L$24:$L$106,A138&amp;" / "&amp;B138,'2017'!$C$24:$C$106,B138)+SUMIFS('2017'!$H$24:$H$106,'2017'!$L$24:$L$106,A138&amp;" / "&amp;B138,'2017'!$F$24:$F$106,B138)+SUMIFS('2018'!$E$24:$E$106,'2018'!$L$24:$L$106,A138&amp;" / "&amp;B138,'2018'!$C$24:$C$106,B138)+SUMIFS('2018'!$H$24:$H$106,'2018'!$L$24:$L$106,A138&amp;" / "&amp;B138,'2018'!$F$24:$F$106,B138)+SUMIFS('2019'!$E$24:$E$106,'2019'!$L$24:$L$106,A138&amp;" / "&amp;B138,'2019'!$C$24:$C$106,B138)+SUMIFS('2019'!$H$24:$H$106,'2019'!$L$24:$L$106,A138&amp;" / "&amp;B138,'2019'!$F$24:$F$106,B138)+SUMIFS('2020'!$E$24:$E$106,'2020'!$L$24:$L$106,A138&amp;" / "&amp;B138,'2020'!$C$24:$C$106,B138)+SUMIFS('2020'!$H$24:$H$106,'2020'!$L$24:$L$106,A138&amp;" / "&amp;B138,'2020'!$F$24:$F$106,B138)+SUMIFS('2021'!$E$24:$E$112,'2021'!$L$24:$L$112,A138&amp;" / "&amp;B138,'2021'!$C$24:$C$112,B138)+SUMIFS('2021'!$H$24:$H$112,'2021'!$L$24:$L$112,A138&amp;" / "&amp;B138,'2021'!$F$24:$F$112,B138)+SUMIFS('2022'!$E$24:$E$112,'2022'!$L$24:$L$112,A138&amp;" / "&amp;B138,'2022'!$C$24:$C$112,B138)+SUMIFS('2022'!$H$24:$H$112,'2022'!$L$24:$L$112,A138&amp;" / "&amp;B138,'2022'!$F$24:$F$112,B138)+SUMIFS('2023'!$E$24:$E$112,'2023'!$L$24:$L$112,A138&amp;" / "&amp;B138,'2023'!$C$24:$C$112,B138)+SUMIFS('2023'!$H$24:$H$112,'2023'!$L$24:$L$112,A138&amp;" / "&amp;B138,'2023'!$F$24:$F$112,B138)+SUMIFS('2024'!$E$24:$E$112,'2024'!$L$24:$L$112,A138&amp;" / "&amp;B138,'2024'!$C$24:$C$112,B138)+SUMIFS('2024'!$H$24:$H$112,'2024'!$L$24:$L$112,A138&amp;" / "&amp;B138,'2024'!$F$24:$F$112,B138)+SUMIFS('2025'!$E$24:$E$112,'2025'!$L$24:$L$112,A138&amp;" / "&amp;B138,'2025'!$C$24:$C$112,B138)+SUMIFS('2025'!$H$24:$H$112,'2025'!$L$24:$L$112,A138&amp;" / "&amp;B138,'2025'!$F$24:$F$112,B138)</x:f>
        <x:v>367.6</x:v>
      </x:c>
      <x:c r="I138" s="11" t="n">
        <x:f>IF(C138=0,0,(D138+0.5*F138)/C138)</x:f>
        <x:v>0.75</x:v>
      </x:c>
      <x:c r="J138" s="2" t="n">
        <x:f>COUNTIFS('2015'!$L$24:$L$96,A138&amp;" / "&amp;B138,'2015'!$B$24:$B$96,"Regular")+COUNTIFS('2016'!$L$24:$L$96,A138&amp;" / "&amp;B138,'2016'!$B$24:$B$96,"Regular")+COUNTIFS('2017'!$L$24:$L$106,A138&amp;" / "&amp;B138,'2017'!$B$24:$B$106,"Regular")+COUNTIFS('2018'!$L$24:$L$106,A138&amp;" / "&amp;B138,'2018'!$B$24:$B$106,"Regular")+COUNTIFS('2019'!$L$24:$L$106,A138&amp;" / "&amp;B138,'2019'!$B$24:$B$106,"Regular")+COUNTIFS('2020'!$L$24:$L$106,A138&amp;" / "&amp;B138,'2020'!$B$24:$B$106,"Regular")+COUNTIFS('2021'!$L$24:$L$112,A138&amp;" / "&amp;B138,'2021'!$B$24:$B$112,"Regular")+COUNTIFS('2022'!$L$24:$L$112,A138&amp;" / "&amp;B138,'2022'!$B$24:$B$112,"Regular")+COUNTIFS('2023'!$L$24:$L$112,A138&amp;" / "&amp;B138,'2023'!$B$24:$B$112,"Regular")+COUNTIFS('2024'!$L$24:$L$112,A138&amp;" / "&amp;B138,'2024'!$B$24:$B$112,"Regular")+COUNTIFS('2025'!$L$24:$L$112,A138&amp;" / "&amp;B138,'2025'!$B$24:$B$112,"Regular")</x:f>
        <x:v>4</x:v>
      </x:c>
      <x:c r="K138" s="2" t="n">
        <x:f>COUNTIFS('2015'!$L$24:$L$96,A138&amp;" / "&amp;B138,'2015'!$B$24:$B$96,"Playoffs")+COUNTIFS('2016'!$L$24:$L$96,A138&amp;" / "&amp;B138,'2016'!$B$24:$B$96,"Playoffs")+COUNTIFS('2017'!$L$24:$L$106,A138&amp;" / "&amp;B138,'2017'!$B$24:$B$106,"Playoffs")+COUNTIFS('2018'!$L$24:$L$106,A138&amp;" / "&amp;B138,'2018'!$B$24:$B$106,"Playoffs")+COUNTIFS('2019'!$L$24:$L$106,A138&amp;" / "&amp;B138,'2019'!$B$24:$B$106,"Playoffs")+COUNTIFS('2020'!$L$24:$L$106,A138&amp;" / "&amp;B138,'2020'!$B$24:$B$106,"Playoffs")+COUNTIFS('2021'!$L$24:$L$112,A138&amp;" / "&amp;B138,'2021'!$B$24:$B$112,"Playoffs")+COUNTIFS('2022'!$L$24:$L$112,A138&amp;" / "&amp;B138,'2022'!$B$24:$B$112,"Playoffs")+COUNTIFS('2023'!$L$24:$L$112,A138&amp;" / "&amp;B138,'2023'!$B$24:$B$112,"Playoffs")+COUNTIFS('2024'!$L$24:$L$112,A138&amp;" / "&amp;B138,'2024'!$B$24:$B$112,"Playoffs")+COUNTIFS('2025'!$L$24:$L$112,A138&amp;" / "&amp;B138,'2025'!$B$24:$B$112,"Playoffs")</x:f>
        <x:v>0</x:v>
      </x:c>
      <x:c r="L138" s="2" t="n">
        <x:f>COUNTIFS('2015'!$L$24:$L$96,A138&amp;" / "&amp;B138,'2015'!$B$24:$B$96,"Unconfirmed")+COUNTIFS('2016'!$L$24:$L$96,A138&amp;" / "&amp;B138,'2016'!$B$24:$B$96,"Unconfirmed")+COUNTIFS('2017'!$L$24:$L$106,A138&amp;" / "&amp;B138,'2017'!$B$24:$B$106,"Unconfirmed")+COUNTIFS('2018'!$L$24:$L$106,A138&amp;" / "&amp;B138,'2018'!$B$24:$B$106,"Unconfirmed")+COUNTIFS('2019'!$L$24:$L$106,A138&amp;" / "&amp;B138,'2019'!$B$24:$B$106,"Unconfirmed")+COUNTIFS('2020'!$L$24:$L$106,A138&amp;" / "&amp;B138,'2020'!$B$24:$B$106,"Unconfirmed")+COUNTIFS('2021'!$L$24:$L$112,A138&amp;" / "&amp;B138,'2021'!$B$24:$B$112,"Unconfirmed")+COUNTIFS('2022'!$L$24:$L$112,A138&amp;" / "&amp;B138,'2022'!$B$24:$B$112,"Unconfirmed")+COUNTIFS('2023'!$L$24:$L$112,A138&amp;" / "&amp;B138,'2023'!$B$24:$B$112,"Unconfirmed")+COUNTIFS('2024'!$L$24:$L$112,A138&amp;" / "&amp;B138,'2024'!$B$24:$B$112,"Unconfirmed")+COUNTIFS('2025'!$L$24:$L$112,A138&amp;" / "&amp;B138,'2025'!$B$24:$B$112,"Unconfirmed")</x:f>
        <x:v>0</x:v>
      </x:c>
    </x:row>
    <x:row r="139" ht="22" customHeight="1">
      <x:c r="A139" s="2" t="str">
        <x:v>Mark</x:v>
      </x:c>
      <x:c r="B139" s="2" t="str">
        <x:v>Mike</x:v>
      </x:c>
      <x:c r="C139" s="2" t="n">
        <x:f>COUNTIFS('2015'!$L$24:$L$96,A139&amp;" / "&amp;B139)+COUNTIFS('2016'!$L$24:$L$96,A139&amp;" / "&amp;B139)+COUNTIFS('2017'!$L$24:$L$106,A139&amp;" / "&amp;B139)+COUNTIFS('2018'!$L$24:$L$106,A139&amp;" / "&amp;B139)+COUNTIFS('2019'!$L$24:$L$106,A139&amp;" / "&amp;B139)+COUNTIFS('2020'!$L$24:$L$106,A139&amp;" / "&amp;B139)+COUNTIFS('2021'!$L$24:$L$112,A139&amp;" / "&amp;B139)+COUNTIFS('2022'!$L$24:$L$112,A139&amp;" / "&amp;B139)+COUNTIFS('2023'!$L$24:$L$112,A139&amp;" / "&amp;B139)+COUNTIFS('2024'!$L$24:$L$112,A139&amp;" / "&amp;B139)+COUNTIFS('2025'!$L$24:$L$112,A139&amp;" / "&amp;B139)</x:f>
        <x:v>11</x:v>
      </x:c>
      <x:c r="D139" s="2" t="n">
        <x:f>COUNTIFS('2015'!$L$24:$L$96,A139&amp;" / "&amp;B139,'2015'!$I$24:$I$96,A139)+COUNTIFS('2016'!$L$24:$L$96,A139&amp;" / "&amp;B139,'2016'!$I$24:$I$96,A139)+COUNTIFS('2017'!$L$24:$L$106,A139&amp;" / "&amp;B139,'2017'!$I$24:$I$106,A139)+COUNTIFS('2018'!$L$24:$L$106,A139&amp;" / "&amp;B139,'2018'!$I$24:$I$106,A139)+COUNTIFS('2019'!$L$24:$L$106,A139&amp;" / "&amp;B139,'2019'!$I$24:$I$106,A139)+COUNTIFS('2020'!$L$24:$L$106,A139&amp;" / "&amp;B139,'2020'!$I$24:$I$106,A139)+COUNTIFS('2021'!$L$24:$L$112,A139&amp;" / "&amp;B139,'2021'!$I$24:$I$112,A139)+COUNTIFS('2022'!$L$24:$L$112,A139&amp;" / "&amp;B139,'2022'!$I$24:$I$112,A139)+COUNTIFS('2023'!$L$24:$L$112,A139&amp;" / "&amp;B139,'2023'!$I$24:$I$112,A139)+COUNTIFS('2024'!$L$24:$L$112,A139&amp;" / "&amp;B139,'2024'!$I$24:$I$112,A139)+COUNTIFS('2025'!$L$24:$L$112,A139&amp;" / "&amp;B139,'2025'!$I$24:$I$112,A139)</x:f>
        <x:v>6</x:v>
      </x:c>
      <x:c r="E139" s="2" t="n">
        <x:f>COUNTIFS('2015'!$L$24:$L$96,A139&amp;" / "&amp;B139,'2015'!$I$24:$I$96,B139)+COUNTIFS('2016'!$L$24:$L$96,A139&amp;" / "&amp;B139,'2016'!$I$24:$I$96,B139)+COUNTIFS('2017'!$L$24:$L$106,A139&amp;" / "&amp;B139,'2017'!$I$24:$I$106,B139)+COUNTIFS('2018'!$L$24:$L$106,A139&amp;" / "&amp;B139,'2018'!$I$24:$I$106,B139)+COUNTIFS('2019'!$L$24:$L$106,A139&amp;" / "&amp;B139,'2019'!$I$24:$I$106,B139)+COUNTIFS('2020'!$L$24:$L$106,A139&amp;" / "&amp;B139,'2020'!$I$24:$I$106,B139)+COUNTIFS('2021'!$L$24:$L$112,A139&amp;" / "&amp;B139,'2021'!$I$24:$I$112,B139)+COUNTIFS('2022'!$L$24:$L$112,A139&amp;" / "&amp;B139,'2022'!$I$24:$I$112,B139)+COUNTIFS('2023'!$L$24:$L$112,A139&amp;" / "&amp;B139,'2023'!$I$24:$I$112,B139)+COUNTIFS('2024'!$L$24:$L$112,A139&amp;" / "&amp;B139,'2024'!$I$24:$I$112,B139)+COUNTIFS('2025'!$L$24:$L$112,A139&amp;" / "&amp;B139,'2025'!$I$24:$I$112,B139)</x:f>
        <x:v>5</x:v>
      </x:c>
      <x:c r="F139" s="2" t="n">
        <x:f>COUNTIFS('2015'!$L$24:$L$96,A139&amp;" / "&amp;B139,'2015'!$K$24:$K$96,1)+COUNTIFS('2016'!$L$24:$L$96,A139&amp;" / "&amp;B139,'2016'!$K$24:$K$96,1)+COUNTIFS('2017'!$L$24:$L$106,A139&amp;" / "&amp;B139,'2017'!$K$24:$K$106,1)+COUNTIFS('2018'!$L$24:$L$106,A139&amp;" / "&amp;B139,'2018'!$K$24:$K$106,1)+COUNTIFS('2019'!$L$24:$L$106,A139&amp;" / "&amp;B139,'2019'!$K$24:$K$106,1)+COUNTIFS('2020'!$L$24:$L$106,A139&amp;" / "&amp;B139,'2020'!$K$24:$K$106,1)+COUNTIFS('2021'!$L$24:$L$112,A139&amp;" / "&amp;B139,'2021'!$K$24:$K$112,1)+COUNTIFS('2022'!$L$24:$L$112,A139&amp;" / "&amp;B139,'2022'!$K$24:$K$112,1)+COUNTIFS('2023'!$L$24:$L$112,A139&amp;" / "&amp;B139,'2023'!$K$24:$K$112,1)+COUNTIFS('2024'!$L$24:$L$112,A139&amp;" / "&amp;B139,'2024'!$K$24:$K$112,1)+COUNTIFS('2025'!$L$24:$L$112,A139&amp;" / "&amp;B139,'2025'!$K$24:$K$112,1)</x:f>
        <x:v>0</x:v>
      </x:c>
      <x:c r="G139" s="25" t="n">
        <x:f>SUMIFS('2015'!$E$24:$E$96,'2015'!$L$24:$L$96,A139&amp;" / "&amp;B139,'2015'!$C$24:$C$96,A139)+SUMIFS('2015'!$H$24:$H$96,'2015'!$L$24:$L$96,A139&amp;" / "&amp;B139,'2015'!$F$24:$F$96,A139)+SUMIFS('2016'!$E$24:$E$96,'2016'!$L$24:$L$96,A139&amp;" / "&amp;B139,'2016'!$C$24:$C$96,A139)+SUMIFS('2016'!$H$24:$H$96,'2016'!$L$24:$L$96,A139&amp;" / "&amp;B139,'2016'!$F$24:$F$96,A139)+SUMIFS('2017'!$E$24:$E$106,'2017'!$L$24:$L$106,A139&amp;" / "&amp;B139,'2017'!$C$24:$C$106,A139)+SUMIFS('2017'!$H$24:$H$106,'2017'!$L$24:$L$106,A139&amp;" / "&amp;B139,'2017'!$F$24:$F$106,A139)+SUMIFS('2018'!$E$24:$E$106,'2018'!$L$24:$L$106,A139&amp;" / "&amp;B139,'2018'!$C$24:$C$106,A139)+SUMIFS('2018'!$H$24:$H$106,'2018'!$L$24:$L$106,A139&amp;" / "&amp;B139,'2018'!$F$24:$F$106,A139)+SUMIFS('2019'!$E$24:$E$106,'2019'!$L$24:$L$106,A139&amp;" / "&amp;B139,'2019'!$C$24:$C$106,A139)+SUMIFS('2019'!$H$24:$H$106,'2019'!$L$24:$L$106,A139&amp;" / "&amp;B139,'2019'!$F$24:$F$106,A139)+SUMIFS('2020'!$E$24:$E$106,'2020'!$L$24:$L$106,A139&amp;" / "&amp;B139,'2020'!$C$24:$C$106,A139)+SUMIFS('2020'!$H$24:$H$106,'2020'!$L$24:$L$106,A139&amp;" / "&amp;B139,'2020'!$F$24:$F$106,A139)+SUMIFS('2021'!$E$24:$E$112,'2021'!$L$24:$L$112,A139&amp;" / "&amp;B139,'2021'!$C$24:$C$112,A139)+SUMIFS('2021'!$H$24:$H$112,'2021'!$L$24:$L$112,A139&amp;" / "&amp;B139,'2021'!$F$24:$F$112,A139)+SUMIFS('2022'!$E$24:$E$112,'2022'!$L$24:$L$112,A139&amp;" / "&amp;B139,'2022'!$C$24:$C$112,A139)+SUMIFS('2022'!$H$24:$H$112,'2022'!$L$24:$L$112,A139&amp;" / "&amp;B139,'2022'!$F$24:$F$112,A139)+SUMIFS('2023'!$E$24:$E$112,'2023'!$L$24:$L$112,A139&amp;" / "&amp;B139,'2023'!$C$24:$C$112,A139)+SUMIFS('2023'!$H$24:$H$112,'2023'!$L$24:$L$112,A139&amp;" / "&amp;B139,'2023'!$F$24:$F$112,A139)+SUMIFS('2024'!$E$24:$E$112,'2024'!$L$24:$L$112,A139&amp;" / "&amp;B139,'2024'!$C$24:$C$112,A139)+SUMIFS('2024'!$H$24:$H$112,'2024'!$L$24:$L$112,A139&amp;" / "&amp;B139,'2024'!$F$24:$F$112,A139)+SUMIFS('2025'!$E$24:$E$112,'2025'!$L$24:$L$112,A139&amp;" / "&amp;B139,'2025'!$C$24:$C$112,A139)+SUMIFS('2025'!$H$24:$H$112,'2025'!$L$24:$L$112,A139&amp;" / "&amp;B139,'2025'!$F$24:$F$112,A139)</x:f>
        <x:v>1343.75</x:v>
      </x:c>
      <x:c r="H139" s="25" t="n">
        <x:f>SUMIFS('2015'!$E$24:$E$96,'2015'!$L$24:$L$96,A139&amp;" / "&amp;B139,'2015'!$C$24:$C$96,B139)+SUMIFS('2015'!$H$24:$H$96,'2015'!$L$24:$L$96,A139&amp;" / "&amp;B139,'2015'!$F$24:$F$96,B139)+SUMIFS('2016'!$E$24:$E$96,'2016'!$L$24:$L$96,A139&amp;" / "&amp;B139,'2016'!$C$24:$C$96,B139)+SUMIFS('2016'!$H$24:$H$96,'2016'!$L$24:$L$96,A139&amp;" / "&amp;B139,'2016'!$F$24:$F$96,B139)+SUMIFS('2017'!$E$24:$E$106,'2017'!$L$24:$L$106,A139&amp;" / "&amp;B139,'2017'!$C$24:$C$106,B139)+SUMIFS('2017'!$H$24:$H$106,'2017'!$L$24:$L$106,A139&amp;" / "&amp;B139,'2017'!$F$24:$F$106,B139)+SUMIFS('2018'!$E$24:$E$106,'2018'!$L$24:$L$106,A139&amp;" / "&amp;B139,'2018'!$C$24:$C$106,B139)+SUMIFS('2018'!$H$24:$H$106,'2018'!$L$24:$L$106,A139&amp;" / "&amp;B139,'2018'!$F$24:$F$106,B139)+SUMIFS('2019'!$E$24:$E$106,'2019'!$L$24:$L$106,A139&amp;" / "&amp;B139,'2019'!$C$24:$C$106,B139)+SUMIFS('2019'!$H$24:$H$106,'2019'!$L$24:$L$106,A139&amp;" / "&amp;B139,'2019'!$F$24:$F$106,B139)+SUMIFS('2020'!$E$24:$E$106,'2020'!$L$24:$L$106,A139&amp;" / "&amp;B139,'2020'!$C$24:$C$106,B139)+SUMIFS('2020'!$H$24:$H$106,'2020'!$L$24:$L$106,A139&amp;" / "&amp;B139,'2020'!$F$24:$F$106,B139)+SUMIFS('2021'!$E$24:$E$112,'2021'!$L$24:$L$112,A139&amp;" / "&amp;B139,'2021'!$C$24:$C$112,B139)+SUMIFS('2021'!$H$24:$H$112,'2021'!$L$24:$L$112,A139&amp;" / "&amp;B139,'2021'!$F$24:$F$112,B139)+SUMIFS('2022'!$E$24:$E$112,'2022'!$L$24:$L$112,A139&amp;" / "&amp;B139,'2022'!$C$24:$C$112,B139)+SUMIFS('2022'!$H$24:$H$112,'2022'!$L$24:$L$112,A139&amp;" / "&amp;B139,'2022'!$F$24:$F$112,B139)+SUMIFS('2023'!$E$24:$E$112,'2023'!$L$24:$L$112,A139&amp;" / "&amp;B139,'2023'!$C$24:$C$112,B139)+SUMIFS('2023'!$H$24:$H$112,'2023'!$L$24:$L$112,A139&amp;" / "&amp;B139,'2023'!$F$24:$F$112,B139)+SUMIFS('2024'!$E$24:$E$112,'2024'!$L$24:$L$112,A139&amp;" / "&amp;B139,'2024'!$C$24:$C$112,B139)+SUMIFS('2024'!$H$24:$H$112,'2024'!$L$24:$L$112,A139&amp;" / "&amp;B139,'2024'!$F$24:$F$112,B139)+SUMIFS('2025'!$E$24:$E$112,'2025'!$L$24:$L$112,A139&amp;" / "&amp;B139,'2025'!$C$24:$C$112,B139)+SUMIFS('2025'!$H$24:$H$112,'2025'!$L$24:$L$112,A139&amp;" / "&amp;B139,'2025'!$F$24:$F$112,B139)</x:f>
        <x:v>1294.5</x:v>
      </x:c>
      <x:c r="I139" s="11" t="n">
        <x:f>IF(C139=0,0,(D139+0.5*F139)/C139)</x:f>
        <x:v>0.5454545454545454</x:v>
      </x:c>
      <x:c r="J139" s="2" t="n">
        <x:f>COUNTIFS('2015'!$L$24:$L$96,A139&amp;" / "&amp;B139,'2015'!$B$24:$B$96,"Regular")+COUNTIFS('2016'!$L$24:$L$96,A139&amp;" / "&amp;B139,'2016'!$B$24:$B$96,"Regular")+COUNTIFS('2017'!$L$24:$L$106,A139&amp;" / "&amp;B139,'2017'!$B$24:$B$106,"Regular")+COUNTIFS('2018'!$L$24:$L$106,A139&amp;" / "&amp;B139,'2018'!$B$24:$B$106,"Regular")+COUNTIFS('2019'!$L$24:$L$106,A139&amp;" / "&amp;B139,'2019'!$B$24:$B$106,"Regular")+COUNTIFS('2020'!$L$24:$L$106,A139&amp;" / "&amp;B139,'2020'!$B$24:$B$106,"Regular")+COUNTIFS('2021'!$L$24:$L$112,A139&amp;" / "&amp;B139,'2021'!$B$24:$B$112,"Regular")+COUNTIFS('2022'!$L$24:$L$112,A139&amp;" / "&amp;B139,'2022'!$B$24:$B$112,"Regular")+COUNTIFS('2023'!$L$24:$L$112,A139&amp;" / "&amp;B139,'2023'!$B$24:$B$112,"Regular")+COUNTIFS('2024'!$L$24:$L$112,A139&amp;" / "&amp;B139,'2024'!$B$24:$B$112,"Regular")+COUNTIFS('2025'!$L$24:$L$112,A139&amp;" / "&amp;B139,'2025'!$B$24:$B$112,"Regular")</x:f>
        <x:v>10</x:v>
      </x:c>
      <x:c r="K139" s="2" t="n">
        <x:f>COUNTIFS('2015'!$L$24:$L$96,A139&amp;" / "&amp;B139,'2015'!$B$24:$B$96,"Playoffs")+COUNTIFS('2016'!$L$24:$L$96,A139&amp;" / "&amp;B139,'2016'!$B$24:$B$96,"Playoffs")+COUNTIFS('2017'!$L$24:$L$106,A139&amp;" / "&amp;B139,'2017'!$B$24:$B$106,"Playoffs")+COUNTIFS('2018'!$L$24:$L$106,A139&amp;" / "&amp;B139,'2018'!$B$24:$B$106,"Playoffs")+COUNTIFS('2019'!$L$24:$L$106,A139&amp;" / "&amp;B139,'2019'!$B$24:$B$106,"Playoffs")+COUNTIFS('2020'!$L$24:$L$106,A139&amp;" / "&amp;B139,'2020'!$B$24:$B$106,"Playoffs")+COUNTIFS('2021'!$L$24:$L$112,A139&amp;" / "&amp;B139,'2021'!$B$24:$B$112,"Playoffs")+COUNTIFS('2022'!$L$24:$L$112,A139&amp;" / "&amp;B139,'2022'!$B$24:$B$112,"Playoffs")+COUNTIFS('2023'!$L$24:$L$112,A139&amp;" / "&amp;B139,'2023'!$B$24:$B$112,"Playoffs")+COUNTIFS('2024'!$L$24:$L$112,A139&amp;" / "&amp;B139,'2024'!$B$24:$B$112,"Playoffs")+COUNTIFS('2025'!$L$24:$L$112,A139&amp;" / "&amp;B139,'2025'!$B$24:$B$112,"Playoffs")</x:f>
        <x:v>1</x:v>
      </x:c>
      <x:c r="L139" s="2" t="n">
        <x:f>COUNTIFS('2015'!$L$24:$L$96,A139&amp;" / "&amp;B139,'2015'!$B$24:$B$96,"Unconfirmed")+COUNTIFS('2016'!$L$24:$L$96,A139&amp;" / "&amp;B139,'2016'!$B$24:$B$96,"Unconfirmed")+COUNTIFS('2017'!$L$24:$L$106,A139&amp;" / "&amp;B139,'2017'!$B$24:$B$106,"Unconfirmed")+COUNTIFS('2018'!$L$24:$L$106,A139&amp;" / "&amp;B139,'2018'!$B$24:$B$106,"Unconfirmed")+COUNTIFS('2019'!$L$24:$L$106,A139&amp;" / "&amp;B139,'2019'!$B$24:$B$106,"Unconfirmed")+COUNTIFS('2020'!$L$24:$L$106,A139&amp;" / "&amp;B139,'2020'!$B$24:$B$106,"Unconfirmed")+COUNTIFS('2021'!$L$24:$L$112,A139&amp;" / "&amp;B139,'2021'!$B$24:$B$112,"Unconfirmed")+COUNTIFS('2022'!$L$24:$L$112,A139&amp;" / "&amp;B139,'2022'!$B$24:$B$112,"Unconfirmed")+COUNTIFS('2023'!$L$24:$L$112,A139&amp;" / "&amp;B139,'2023'!$B$24:$B$112,"Unconfirmed")+COUNTIFS('2024'!$L$24:$L$112,A139&amp;" / "&amp;B139,'2024'!$B$24:$B$112,"Unconfirmed")+COUNTIFS('2025'!$L$24:$L$112,A139&amp;" / "&amp;B139,'2025'!$B$24:$B$112,"Unconfirmed")</x:f>
        <x:v>0</x:v>
      </x:c>
    </x:row>
    <x:row r="140" ht="22" customHeight="1">
      <x:c r="A140" s="2" t="str">
        <x:v>Mark</x:v>
      </x:c>
      <x:c r="B140" s="2" t="str">
        <x:v>Nick</x:v>
      </x:c>
      <x:c r="C140" s="2" t="n">
        <x:f>COUNTIFS('2015'!$L$24:$L$96,A140&amp;" / "&amp;B140)+COUNTIFS('2016'!$L$24:$L$96,A140&amp;" / "&amp;B140)+COUNTIFS('2017'!$L$24:$L$106,A140&amp;" / "&amp;B140)+COUNTIFS('2018'!$L$24:$L$106,A140&amp;" / "&amp;B140)+COUNTIFS('2019'!$L$24:$L$106,A140&amp;" / "&amp;B140)+COUNTIFS('2020'!$L$24:$L$106,A140&amp;" / "&amp;B140)+COUNTIFS('2021'!$L$24:$L$112,A140&amp;" / "&amp;B140)+COUNTIFS('2022'!$L$24:$L$112,A140&amp;" / "&amp;B140)+COUNTIFS('2023'!$L$24:$L$112,A140&amp;" / "&amp;B140)+COUNTIFS('2024'!$L$24:$L$112,A140&amp;" / "&amp;B140)+COUNTIFS('2025'!$L$24:$L$112,A140&amp;" / "&amp;B140)</x:f>
        <x:v>5</x:v>
      </x:c>
      <x:c r="D140" s="2" t="n">
        <x:f>COUNTIFS('2015'!$L$24:$L$96,A140&amp;" / "&amp;B140,'2015'!$I$24:$I$96,A140)+COUNTIFS('2016'!$L$24:$L$96,A140&amp;" / "&amp;B140,'2016'!$I$24:$I$96,A140)+COUNTIFS('2017'!$L$24:$L$106,A140&amp;" / "&amp;B140,'2017'!$I$24:$I$106,A140)+COUNTIFS('2018'!$L$24:$L$106,A140&amp;" / "&amp;B140,'2018'!$I$24:$I$106,A140)+COUNTIFS('2019'!$L$24:$L$106,A140&amp;" / "&amp;B140,'2019'!$I$24:$I$106,A140)+COUNTIFS('2020'!$L$24:$L$106,A140&amp;" / "&amp;B140,'2020'!$I$24:$I$106,A140)+COUNTIFS('2021'!$L$24:$L$112,A140&amp;" / "&amp;B140,'2021'!$I$24:$I$112,A140)+COUNTIFS('2022'!$L$24:$L$112,A140&amp;" / "&amp;B140,'2022'!$I$24:$I$112,A140)+COUNTIFS('2023'!$L$24:$L$112,A140&amp;" / "&amp;B140,'2023'!$I$24:$I$112,A140)+COUNTIFS('2024'!$L$24:$L$112,A140&amp;" / "&amp;B140,'2024'!$I$24:$I$112,A140)+COUNTIFS('2025'!$L$24:$L$112,A140&amp;" / "&amp;B140,'2025'!$I$24:$I$112,A140)</x:f>
        <x:v>4</x:v>
      </x:c>
      <x:c r="E140" s="2" t="n">
        <x:f>COUNTIFS('2015'!$L$24:$L$96,A140&amp;" / "&amp;B140,'2015'!$I$24:$I$96,B140)+COUNTIFS('2016'!$L$24:$L$96,A140&amp;" / "&amp;B140,'2016'!$I$24:$I$96,B140)+COUNTIFS('2017'!$L$24:$L$106,A140&amp;" / "&amp;B140,'2017'!$I$24:$I$106,B140)+COUNTIFS('2018'!$L$24:$L$106,A140&amp;" / "&amp;B140,'2018'!$I$24:$I$106,B140)+COUNTIFS('2019'!$L$24:$L$106,A140&amp;" / "&amp;B140,'2019'!$I$24:$I$106,B140)+COUNTIFS('2020'!$L$24:$L$106,A140&amp;" / "&amp;B140,'2020'!$I$24:$I$106,B140)+COUNTIFS('2021'!$L$24:$L$112,A140&amp;" / "&amp;B140,'2021'!$I$24:$I$112,B140)+COUNTIFS('2022'!$L$24:$L$112,A140&amp;" / "&amp;B140,'2022'!$I$24:$I$112,B140)+COUNTIFS('2023'!$L$24:$L$112,A140&amp;" / "&amp;B140,'2023'!$I$24:$I$112,B140)+COUNTIFS('2024'!$L$24:$L$112,A140&amp;" / "&amp;B140,'2024'!$I$24:$I$112,B140)+COUNTIFS('2025'!$L$24:$L$112,A140&amp;" / "&amp;B140,'2025'!$I$24:$I$112,B140)</x:f>
        <x:v>1</x:v>
      </x:c>
      <x:c r="F140" s="2" t="n">
        <x:f>COUNTIFS('2015'!$L$24:$L$96,A140&amp;" / "&amp;B140,'2015'!$K$24:$K$96,1)+COUNTIFS('2016'!$L$24:$L$96,A140&amp;" / "&amp;B140,'2016'!$K$24:$K$96,1)+COUNTIFS('2017'!$L$24:$L$106,A140&amp;" / "&amp;B140,'2017'!$K$24:$K$106,1)+COUNTIFS('2018'!$L$24:$L$106,A140&amp;" / "&amp;B140,'2018'!$K$24:$K$106,1)+COUNTIFS('2019'!$L$24:$L$106,A140&amp;" / "&amp;B140,'2019'!$K$24:$K$106,1)+COUNTIFS('2020'!$L$24:$L$106,A140&amp;" / "&amp;B140,'2020'!$K$24:$K$106,1)+COUNTIFS('2021'!$L$24:$L$112,A140&amp;" / "&amp;B140,'2021'!$K$24:$K$112,1)+COUNTIFS('2022'!$L$24:$L$112,A140&amp;" / "&amp;B140,'2022'!$K$24:$K$112,1)+COUNTIFS('2023'!$L$24:$L$112,A140&amp;" / "&amp;B140,'2023'!$K$24:$K$112,1)+COUNTIFS('2024'!$L$24:$L$112,A140&amp;" / "&amp;B140,'2024'!$K$24:$K$112,1)+COUNTIFS('2025'!$L$24:$L$112,A140&amp;" / "&amp;B140,'2025'!$K$24:$K$112,1)</x:f>
        <x:v>0</x:v>
      </x:c>
      <x:c r="G140" s="25" t="n">
        <x:f>SUMIFS('2015'!$E$24:$E$96,'2015'!$L$24:$L$96,A140&amp;" / "&amp;B140,'2015'!$C$24:$C$96,A140)+SUMIFS('2015'!$H$24:$H$96,'2015'!$L$24:$L$96,A140&amp;" / "&amp;B140,'2015'!$F$24:$F$96,A140)+SUMIFS('2016'!$E$24:$E$96,'2016'!$L$24:$L$96,A140&amp;" / "&amp;B140,'2016'!$C$24:$C$96,A140)+SUMIFS('2016'!$H$24:$H$96,'2016'!$L$24:$L$96,A140&amp;" / "&amp;B140,'2016'!$F$24:$F$96,A140)+SUMIFS('2017'!$E$24:$E$106,'2017'!$L$24:$L$106,A140&amp;" / "&amp;B140,'2017'!$C$24:$C$106,A140)+SUMIFS('2017'!$H$24:$H$106,'2017'!$L$24:$L$106,A140&amp;" / "&amp;B140,'2017'!$F$24:$F$106,A140)+SUMIFS('2018'!$E$24:$E$106,'2018'!$L$24:$L$106,A140&amp;" / "&amp;B140,'2018'!$C$24:$C$106,A140)+SUMIFS('2018'!$H$24:$H$106,'2018'!$L$24:$L$106,A140&amp;" / "&amp;B140,'2018'!$F$24:$F$106,A140)+SUMIFS('2019'!$E$24:$E$106,'2019'!$L$24:$L$106,A140&amp;" / "&amp;B140,'2019'!$C$24:$C$106,A140)+SUMIFS('2019'!$H$24:$H$106,'2019'!$L$24:$L$106,A140&amp;" / "&amp;B140,'2019'!$F$24:$F$106,A140)+SUMIFS('2020'!$E$24:$E$106,'2020'!$L$24:$L$106,A140&amp;" / "&amp;B140,'2020'!$C$24:$C$106,A140)+SUMIFS('2020'!$H$24:$H$106,'2020'!$L$24:$L$106,A140&amp;" / "&amp;B140,'2020'!$F$24:$F$106,A140)+SUMIFS('2021'!$E$24:$E$112,'2021'!$L$24:$L$112,A140&amp;" / "&amp;B140,'2021'!$C$24:$C$112,A140)+SUMIFS('2021'!$H$24:$H$112,'2021'!$L$24:$L$112,A140&amp;" / "&amp;B140,'2021'!$F$24:$F$112,A140)+SUMIFS('2022'!$E$24:$E$112,'2022'!$L$24:$L$112,A140&amp;" / "&amp;B140,'2022'!$C$24:$C$112,A140)+SUMIFS('2022'!$H$24:$H$112,'2022'!$L$24:$L$112,A140&amp;" / "&amp;B140,'2022'!$F$24:$F$112,A140)+SUMIFS('2023'!$E$24:$E$112,'2023'!$L$24:$L$112,A140&amp;" / "&amp;B140,'2023'!$C$24:$C$112,A140)+SUMIFS('2023'!$H$24:$H$112,'2023'!$L$24:$L$112,A140&amp;" / "&amp;B140,'2023'!$F$24:$F$112,A140)+SUMIFS('2024'!$E$24:$E$112,'2024'!$L$24:$L$112,A140&amp;" / "&amp;B140,'2024'!$C$24:$C$112,A140)+SUMIFS('2024'!$H$24:$H$112,'2024'!$L$24:$L$112,A140&amp;" / "&amp;B140,'2024'!$F$24:$F$112,A140)+SUMIFS('2025'!$E$24:$E$112,'2025'!$L$24:$L$112,A140&amp;" / "&amp;B140,'2025'!$C$24:$C$112,A140)+SUMIFS('2025'!$H$24:$H$112,'2025'!$L$24:$L$112,A140&amp;" / "&amp;B140,'2025'!$F$24:$F$112,A140)</x:f>
        <x:v>595.35</x:v>
      </x:c>
      <x:c r="H140" s="25" t="n">
        <x:f>SUMIFS('2015'!$E$24:$E$96,'2015'!$L$24:$L$96,A140&amp;" / "&amp;B140,'2015'!$C$24:$C$96,B140)+SUMIFS('2015'!$H$24:$H$96,'2015'!$L$24:$L$96,A140&amp;" / "&amp;B140,'2015'!$F$24:$F$96,B140)+SUMIFS('2016'!$E$24:$E$96,'2016'!$L$24:$L$96,A140&amp;" / "&amp;B140,'2016'!$C$24:$C$96,B140)+SUMIFS('2016'!$H$24:$H$96,'2016'!$L$24:$L$96,A140&amp;" / "&amp;B140,'2016'!$F$24:$F$96,B140)+SUMIFS('2017'!$E$24:$E$106,'2017'!$L$24:$L$106,A140&amp;" / "&amp;B140,'2017'!$C$24:$C$106,B140)+SUMIFS('2017'!$H$24:$H$106,'2017'!$L$24:$L$106,A140&amp;" / "&amp;B140,'2017'!$F$24:$F$106,B140)+SUMIFS('2018'!$E$24:$E$106,'2018'!$L$24:$L$106,A140&amp;" / "&amp;B140,'2018'!$C$24:$C$106,B140)+SUMIFS('2018'!$H$24:$H$106,'2018'!$L$24:$L$106,A140&amp;" / "&amp;B140,'2018'!$F$24:$F$106,B140)+SUMIFS('2019'!$E$24:$E$106,'2019'!$L$24:$L$106,A140&amp;" / "&amp;B140,'2019'!$C$24:$C$106,B140)+SUMIFS('2019'!$H$24:$H$106,'2019'!$L$24:$L$106,A140&amp;" / "&amp;B140,'2019'!$F$24:$F$106,B140)+SUMIFS('2020'!$E$24:$E$106,'2020'!$L$24:$L$106,A140&amp;" / "&amp;B140,'2020'!$C$24:$C$106,B140)+SUMIFS('2020'!$H$24:$H$106,'2020'!$L$24:$L$106,A140&amp;" / "&amp;B140,'2020'!$F$24:$F$106,B140)+SUMIFS('2021'!$E$24:$E$112,'2021'!$L$24:$L$112,A140&amp;" / "&amp;B140,'2021'!$C$24:$C$112,B140)+SUMIFS('2021'!$H$24:$H$112,'2021'!$L$24:$L$112,A140&amp;" / "&amp;B140,'2021'!$F$24:$F$112,B140)+SUMIFS('2022'!$E$24:$E$112,'2022'!$L$24:$L$112,A140&amp;" / "&amp;B140,'2022'!$C$24:$C$112,B140)+SUMIFS('2022'!$H$24:$H$112,'2022'!$L$24:$L$112,A140&amp;" / "&amp;B140,'2022'!$F$24:$F$112,B140)+SUMIFS('2023'!$E$24:$E$112,'2023'!$L$24:$L$112,A140&amp;" / "&amp;B140,'2023'!$C$24:$C$112,B140)+SUMIFS('2023'!$H$24:$H$112,'2023'!$L$24:$L$112,A140&amp;" / "&amp;B140,'2023'!$F$24:$F$112,B140)+SUMIFS('2024'!$E$24:$E$112,'2024'!$L$24:$L$112,A140&amp;" / "&amp;B140,'2024'!$C$24:$C$112,B140)+SUMIFS('2024'!$H$24:$H$112,'2024'!$L$24:$L$112,A140&amp;" / "&amp;B140,'2024'!$F$24:$F$112,B140)+SUMIFS('2025'!$E$24:$E$112,'2025'!$L$24:$L$112,A140&amp;" / "&amp;B140,'2025'!$C$24:$C$112,B140)+SUMIFS('2025'!$H$24:$H$112,'2025'!$L$24:$L$112,A140&amp;" / "&amp;B140,'2025'!$F$24:$F$112,B140)</x:f>
        <x:v>498.54999999999995</x:v>
      </x:c>
      <x:c r="I140" s="11" t="n">
        <x:f>IF(C140=0,0,(D140+0.5*F140)/C140)</x:f>
        <x:v>0.8</x:v>
      </x:c>
      <x:c r="J140" s="2" t="n">
        <x:f>COUNTIFS('2015'!$L$24:$L$96,A140&amp;" / "&amp;B140,'2015'!$B$24:$B$96,"Regular")+COUNTIFS('2016'!$L$24:$L$96,A140&amp;" / "&amp;B140,'2016'!$B$24:$B$96,"Regular")+COUNTIFS('2017'!$L$24:$L$106,A140&amp;" / "&amp;B140,'2017'!$B$24:$B$106,"Regular")+COUNTIFS('2018'!$L$24:$L$106,A140&amp;" / "&amp;B140,'2018'!$B$24:$B$106,"Regular")+COUNTIFS('2019'!$L$24:$L$106,A140&amp;" / "&amp;B140,'2019'!$B$24:$B$106,"Regular")+COUNTIFS('2020'!$L$24:$L$106,A140&amp;" / "&amp;B140,'2020'!$B$24:$B$106,"Regular")+COUNTIFS('2021'!$L$24:$L$112,A140&amp;" / "&amp;B140,'2021'!$B$24:$B$112,"Regular")+COUNTIFS('2022'!$L$24:$L$112,A140&amp;" / "&amp;B140,'2022'!$B$24:$B$112,"Regular")+COUNTIFS('2023'!$L$24:$L$112,A140&amp;" / "&amp;B140,'2023'!$B$24:$B$112,"Regular")+COUNTIFS('2024'!$L$24:$L$112,A140&amp;" / "&amp;B140,'2024'!$B$24:$B$112,"Regular")+COUNTIFS('2025'!$L$24:$L$112,A140&amp;" / "&amp;B140,'2025'!$B$24:$B$112,"Regular")</x:f>
        <x:v>5</x:v>
      </x:c>
      <x:c r="K140" s="2" t="n">
        <x:f>COUNTIFS('2015'!$L$24:$L$96,A140&amp;" / "&amp;B140,'2015'!$B$24:$B$96,"Playoffs")+COUNTIFS('2016'!$L$24:$L$96,A140&amp;" / "&amp;B140,'2016'!$B$24:$B$96,"Playoffs")+COUNTIFS('2017'!$L$24:$L$106,A140&amp;" / "&amp;B140,'2017'!$B$24:$B$106,"Playoffs")+COUNTIFS('2018'!$L$24:$L$106,A140&amp;" / "&amp;B140,'2018'!$B$24:$B$106,"Playoffs")+COUNTIFS('2019'!$L$24:$L$106,A140&amp;" / "&amp;B140,'2019'!$B$24:$B$106,"Playoffs")+COUNTIFS('2020'!$L$24:$L$106,A140&amp;" / "&amp;B140,'2020'!$B$24:$B$106,"Playoffs")+COUNTIFS('2021'!$L$24:$L$112,A140&amp;" / "&amp;B140,'2021'!$B$24:$B$112,"Playoffs")+COUNTIFS('2022'!$L$24:$L$112,A140&amp;" / "&amp;B140,'2022'!$B$24:$B$112,"Playoffs")+COUNTIFS('2023'!$L$24:$L$112,A140&amp;" / "&amp;B140,'2023'!$B$24:$B$112,"Playoffs")+COUNTIFS('2024'!$L$24:$L$112,A140&amp;" / "&amp;B140,'2024'!$B$24:$B$112,"Playoffs")+COUNTIFS('2025'!$L$24:$L$112,A140&amp;" / "&amp;B140,'2025'!$B$24:$B$112,"Playoffs")</x:f>
        <x:v>0</x:v>
      </x:c>
      <x:c r="L140" s="2" t="n">
        <x:f>COUNTIFS('2015'!$L$24:$L$96,A140&amp;" / "&amp;B140,'2015'!$B$24:$B$96,"Unconfirmed")+COUNTIFS('2016'!$L$24:$L$96,A140&amp;" / "&amp;B140,'2016'!$B$24:$B$96,"Unconfirmed")+COUNTIFS('2017'!$L$24:$L$106,A140&amp;" / "&amp;B140,'2017'!$B$24:$B$106,"Unconfirmed")+COUNTIFS('2018'!$L$24:$L$106,A140&amp;" / "&amp;B140,'2018'!$B$24:$B$106,"Unconfirmed")+COUNTIFS('2019'!$L$24:$L$106,A140&amp;" / "&amp;B140,'2019'!$B$24:$B$106,"Unconfirmed")+COUNTIFS('2020'!$L$24:$L$106,A140&amp;" / "&amp;B140,'2020'!$B$24:$B$106,"Unconfirmed")+COUNTIFS('2021'!$L$24:$L$112,A140&amp;" / "&amp;B140,'2021'!$B$24:$B$112,"Unconfirmed")+COUNTIFS('2022'!$L$24:$L$112,A140&amp;" / "&amp;B140,'2022'!$B$24:$B$112,"Unconfirmed")+COUNTIFS('2023'!$L$24:$L$112,A140&amp;" / "&amp;B140,'2023'!$B$24:$B$112,"Unconfirmed")+COUNTIFS('2024'!$L$24:$L$112,A140&amp;" / "&amp;B140,'2024'!$B$24:$B$112,"Unconfirmed")+COUNTIFS('2025'!$L$24:$L$112,A140&amp;" / "&amp;B140,'2025'!$B$24:$B$112,"Unconfirmed")</x:f>
        <x:v>0</x:v>
      </x:c>
    </x:row>
    <x:row r="141" ht="22" customHeight="1">
      <x:c r="A141" s="2" t="str">
        <x:v>Mark</x:v>
      </x:c>
      <x:c r="B141" s="2" t="str">
        <x:v>Paul</x:v>
      </x:c>
      <x:c r="C141" s="2" t="n">
        <x:f>COUNTIFS('2015'!$L$24:$L$96,A141&amp;" / "&amp;B141)+COUNTIFS('2016'!$L$24:$L$96,A141&amp;" / "&amp;B141)+COUNTIFS('2017'!$L$24:$L$106,A141&amp;" / "&amp;B141)+COUNTIFS('2018'!$L$24:$L$106,A141&amp;" / "&amp;B141)+COUNTIFS('2019'!$L$24:$L$106,A141&amp;" / "&amp;B141)+COUNTIFS('2020'!$L$24:$L$106,A141&amp;" / "&amp;B141)+COUNTIFS('2021'!$L$24:$L$112,A141&amp;" / "&amp;B141)+COUNTIFS('2022'!$L$24:$L$112,A141&amp;" / "&amp;B141)+COUNTIFS('2023'!$L$24:$L$112,A141&amp;" / "&amp;B141)+COUNTIFS('2024'!$L$24:$L$112,A141&amp;" / "&amp;B141)+COUNTIFS('2025'!$L$24:$L$112,A141&amp;" / "&amp;B141)</x:f>
        <x:v>15</x:v>
      </x:c>
      <x:c r="D141" s="2" t="n">
        <x:f>COUNTIFS('2015'!$L$24:$L$96,A141&amp;" / "&amp;B141,'2015'!$I$24:$I$96,A141)+COUNTIFS('2016'!$L$24:$L$96,A141&amp;" / "&amp;B141,'2016'!$I$24:$I$96,A141)+COUNTIFS('2017'!$L$24:$L$106,A141&amp;" / "&amp;B141,'2017'!$I$24:$I$106,A141)+COUNTIFS('2018'!$L$24:$L$106,A141&amp;" / "&amp;B141,'2018'!$I$24:$I$106,A141)+COUNTIFS('2019'!$L$24:$L$106,A141&amp;" / "&amp;B141,'2019'!$I$24:$I$106,A141)+COUNTIFS('2020'!$L$24:$L$106,A141&amp;" / "&amp;B141,'2020'!$I$24:$I$106,A141)+COUNTIFS('2021'!$L$24:$L$112,A141&amp;" / "&amp;B141,'2021'!$I$24:$I$112,A141)+COUNTIFS('2022'!$L$24:$L$112,A141&amp;" / "&amp;B141,'2022'!$I$24:$I$112,A141)+COUNTIFS('2023'!$L$24:$L$112,A141&amp;" / "&amp;B141,'2023'!$I$24:$I$112,A141)+COUNTIFS('2024'!$L$24:$L$112,A141&amp;" / "&amp;B141,'2024'!$I$24:$I$112,A141)+COUNTIFS('2025'!$L$24:$L$112,A141&amp;" / "&amp;B141,'2025'!$I$24:$I$112,A141)</x:f>
        <x:v>4</x:v>
      </x:c>
      <x:c r="E141" s="2" t="n">
        <x:f>COUNTIFS('2015'!$L$24:$L$96,A141&amp;" / "&amp;B141,'2015'!$I$24:$I$96,B141)+COUNTIFS('2016'!$L$24:$L$96,A141&amp;" / "&amp;B141,'2016'!$I$24:$I$96,B141)+COUNTIFS('2017'!$L$24:$L$106,A141&amp;" / "&amp;B141,'2017'!$I$24:$I$106,B141)+COUNTIFS('2018'!$L$24:$L$106,A141&amp;" / "&amp;B141,'2018'!$I$24:$I$106,B141)+COUNTIFS('2019'!$L$24:$L$106,A141&amp;" / "&amp;B141,'2019'!$I$24:$I$106,B141)+COUNTIFS('2020'!$L$24:$L$106,A141&amp;" / "&amp;B141,'2020'!$I$24:$I$106,B141)+COUNTIFS('2021'!$L$24:$L$112,A141&amp;" / "&amp;B141,'2021'!$I$24:$I$112,B141)+COUNTIFS('2022'!$L$24:$L$112,A141&amp;" / "&amp;B141,'2022'!$I$24:$I$112,B141)+COUNTIFS('2023'!$L$24:$L$112,A141&amp;" / "&amp;B141,'2023'!$I$24:$I$112,B141)+COUNTIFS('2024'!$L$24:$L$112,A141&amp;" / "&amp;B141,'2024'!$I$24:$I$112,B141)+COUNTIFS('2025'!$L$24:$L$112,A141&amp;" / "&amp;B141,'2025'!$I$24:$I$112,B141)</x:f>
        <x:v>11</x:v>
      </x:c>
      <x:c r="F141" s="2" t="n">
        <x:f>COUNTIFS('2015'!$L$24:$L$96,A141&amp;" / "&amp;B141,'2015'!$K$24:$K$96,1)+COUNTIFS('2016'!$L$24:$L$96,A141&amp;" / "&amp;B141,'2016'!$K$24:$K$96,1)+COUNTIFS('2017'!$L$24:$L$106,A141&amp;" / "&amp;B141,'2017'!$K$24:$K$106,1)+COUNTIFS('2018'!$L$24:$L$106,A141&amp;" / "&amp;B141,'2018'!$K$24:$K$106,1)+COUNTIFS('2019'!$L$24:$L$106,A141&amp;" / "&amp;B141,'2019'!$K$24:$K$106,1)+COUNTIFS('2020'!$L$24:$L$106,A141&amp;" / "&amp;B141,'2020'!$K$24:$K$106,1)+COUNTIFS('2021'!$L$24:$L$112,A141&amp;" / "&amp;B141,'2021'!$K$24:$K$112,1)+COUNTIFS('2022'!$L$24:$L$112,A141&amp;" / "&amp;B141,'2022'!$K$24:$K$112,1)+COUNTIFS('2023'!$L$24:$L$112,A141&amp;" / "&amp;B141,'2023'!$K$24:$K$112,1)+COUNTIFS('2024'!$L$24:$L$112,A141&amp;" / "&amp;B141,'2024'!$K$24:$K$112,1)+COUNTIFS('2025'!$L$24:$L$112,A141&amp;" / "&amp;B141,'2025'!$K$24:$K$112,1)</x:f>
        <x:v>0</x:v>
      </x:c>
      <x:c r="G141" s="25" t="n">
        <x:f>SUMIFS('2015'!$E$24:$E$96,'2015'!$L$24:$L$96,A141&amp;" / "&amp;B141,'2015'!$C$24:$C$96,A141)+SUMIFS('2015'!$H$24:$H$96,'2015'!$L$24:$L$96,A141&amp;" / "&amp;B141,'2015'!$F$24:$F$96,A141)+SUMIFS('2016'!$E$24:$E$96,'2016'!$L$24:$L$96,A141&amp;" / "&amp;B141,'2016'!$C$24:$C$96,A141)+SUMIFS('2016'!$H$24:$H$96,'2016'!$L$24:$L$96,A141&amp;" / "&amp;B141,'2016'!$F$24:$F$96,A141)+SUMIFS('2017'!$E$24:$E$106,'2017'!$L$24:$L$106,A141&amp;" / "&amp;B141,'2017'!$C$24:$C$106,A141)+SUMIFS('2017'!$H$24:$H$106,'2017'!$L$24:$L$106,A141&amp;" / "&amp;B141,'2017'!$F$24:$F$106,A141)+SUMIFS('2018'!$E$24:$E$106,'2018'!$L$24:$L$106,A141&amp;" / "&amp;B141,'2018'!$C$24:$C$106,A141)+SUMIFS('2018'!$H$24:$H$106,'2018'!$L$24:$L$106,A141&amp;" / "&amp;B141,'2018'!$F$24:$F$106,A141)+SUMIFS('2019'!$E$24:$E$106,'2019'!$L$24:$L$106,A141&amp;" / "&amp;B141,'2019'!$C$24:$C$106,A141)+SUMIFS('2019'!$H$24:$H$106,'2019'!$L$24:$L$106,A141&amp;" / "&amp;B141,'2019'!$F$24:$F$106,A141)+SUMIFS('2020'!$E$24:$E$106,'2020'!$L$24:$L$106,A141&amp;" / "&amp;B141,'2020'!$C$24:$C$106,A141)+SUMIFS('2020'!$H$24:$H$106,'2020'!$L$24:$L$106,A141&amp;" / "&amp;B141,'2020'!$F$24:$F$106,A141)+SUMIFS('2021'!$E$24:$E$112,'2021'!$L$24:$L$112,A141&amp;" / "&amp;B141,'2021'!$C$24:$C$112,A141)+SUMIFS('2021'!$H$24:$H$112,'2021'!$L$24:$L$112,A141&amp;" / "&amp;B141,'2021'!$F$24:$F$112,A141)+SUMIFS('2022'!$E$24:$E$112,'2022'!$L$24:$L$112,A141&amp;" / "&amp;B141,'2022'!$C$24:$C$112,A141)+SUMIFS('2022'!$H$24:$H$112,'2022'!$L$24:$L$112,A141&amp;" / "&amp;B141,'2022'!$F$24:$F$112,A141)+SUMIFS('2023'!$E$24:$E$112,'2023'!$L$24:$L$112,A141&amp;" / "&amp;B141,'2023'!$C$24:$C$112,A141)+SUMIFS('2023'!$H$24:$H$112,'2023'!$L$24:$L$112,A141&amp;" / "&amp;B141,'2023'!$F$24:$F$112,A141)+SUMIFS('2024'!$E$24:$E$112,'2024'!$L$24:$L$112,A141&amp;" / "&amp;B141,'2024'!$C$24:$C$112,A141)+SUMIFS('2024'!$H$24:$H$112,'2024'!$L$24:$L$112,A141&amp;" / "&amp;B141,'2024'!$F$24:$F$112,A141)+SUMIFS('2025'!$E$24:$E$112,'2025'!$L$24:$L$112,A141&amp;" / "&amp;B141,'2025'!$C$24:$C$112,A141)+SUMIFS('2025'!$H$24:$H$112,'2025'!$L$24:$L$112,A141&amp;" / "&amp;B141,'2025'!$F$24:$F$112,A141)</x:f>
        <x:v>1799.5499999999997</x:v>
      </x:c>
      <x:c r="H141" s="25" t="n">
        <x:f>SUMIFS('2015'!$E$24:$E$96,'2015'!$L$24:$L$96,A141&amp;" / "&amp;B141,'2015'!$C$24:$C$96,B141)+SUMIFS('2015'!$H$24:$H$96,'2015'!$L$24:$L$96,A141&amp;" / "&amp;B141,'2015'!$F$24:$F$96,B141)+SUMIFS('2016'!$E$24:$E$96,'2016'!$L$24:$L$96,A141&amp;" / "&amp;B141,'2016'!$C$24:$C$96,B141)+SUMIFS('2016'!$H$24:$H$96,'2016'!$L$24:$L$96,A141&amp;" / "&amp;B141,'2016'!$F$24:$F$96,B141)+SUMIFS('2017'!$E$24:$E$106,'2017'!$L$24:$L$106,A141&amp;" / "&amp;B141,'2017'!$C$24:$C$106,B141)+SUMIFS('2017'!$H$24:$H$106,'2017'!$L$24:$L$106,A141&amp;" / "&amp;B141,'2017'!$F$24:$F$106,B141)+SUMIFS('2018'!$E$24:$E$106,'2018'!$L$24:$L$106,A141&amp;" / "&amp;B141,'2018'!$C$24:$C$106,B141)+SUMIFS('2018'!$H$24:$H$106,'2018'!$L$24:$L$106,A141&amp;" / "&amp;B141,'2018'!$F$24:$F$106,B141)+SUMIFS('2019'!$E$24:$E$106,'2019'!$L$24:$L$106,A141&amp;" / "&amp;B141,'2019'!$C$24:$C$106,B141)+SUMIFS('2019'!$H$24:$H$106,'2019'!$L$24:$L$106,A141&amp;" / "&amp;B141,'2019'!$F$24:$F$106,B141)+SUMIFS('2020'!$E$24:$E$106,'2020'!$L$24:$L$106,A141&amp;" / "&amp;B141,'2020'!$C$24:$C$106,B141)+SUMIFS('2020'!$H$24:$H$106,'2020'!$L$24:$L$106,A141&amp;" / "&amp;B141,'2020'!$F$24:$F$106,B141)+SUMIFS('2021'!$E$24:$E$112,'2021'!$L$24:$L$112,A141&amp;" / "&amp;B141,'2021'!$C$24:$C$112,B141)+SUMIFS('2021'!$H$24:$H$112,'2021'!$L$24:$L$112,A141&amp;" / "&amp;B141,'2021'!$F$24:$F$112,B141)+SUMIFS('2022'!$E$24:$E$112,'2022'!$L$24:$L$112,A141&amp;" / "&amp;B141,'2022'!$C$24:$C$112,B141)+SUMIFS('2022'!$H$24:$H$112,'2022'!$L$24:$L$112,A141&amp;" / "&amp;B141,'2022'!$F$24:$F$112,B141)+SUMIFS('2023'!$E$24:$E$112,'2023'!$L$24:$L$112,A141&amp;" / "&amp;B141,'2023'!$C$24:$C$112,B141)+SUMIFS('2023'!$H$24:$H$112,'2023'!$L$24:$L$112,A141&amp;" / "&amp;B141,'2023'!$F$24:$F$112,B141)+SUMIFS('2024'!$E$24:$E$112,'2024'!$L$24:$L$112,A141&amp;" / "&amp;B141,'2024'!$C$24:$C$112,B141)+SUMIFS('2024'!$H$24:$H$112,'2024'!$L$24:$L$112,A141&amp;" / "&amp;B141,'2024'!$F$24:$F$112,B141)+SUMIFS('2025'!$E$24:$E$112,'2025'!$L$24:$L$112,A141&amp;" / "&amp;B141,'2025'!$C$24:$C$112,B141)+SUMIFS('2025'!$H$24:$H$112,'2025'!$L$24:$L$112,A141&amp;" / "&amp;B141,'2025'!$F$24:$F$112,B141)</x:f>
        <x:v>1967</x:v>
      </x:c>
      <x:c r="I141" s="11" t="n">
        <x:f>IF(C141=0,0,(D141+0.5*F141)/C141)</x:f>
        <x:v>0.26666666666666666</x:v>
      </x:c>
      <x:c r="J141" s="2" t="n">
        <x:f>COUNTIFS('2015'!$L$24:$L$96,A141&amp;" / "&amp;B141,'2015'!$B$24:$B$96,"Regular")+COUNTIFS('2016'!$L$24:$L$96,A141&amp;" / "&amp;B141,'2016'!$B$24:$B$96,"Regular")+COUNTIFS('2017'!$L$24:$L$106,A141&amp;" / "&amp;B141,'2017'!$B$24:$B$106,"Regular")+COUNTIFS('2018'!$L$24:$L$106,A141&amp;" / "&amp;B141,'2018'!$B$24:$B$106,"Regular")+COUNTIFS('2019'!$L$24:$L$106,A141&amp;" / "&amp;B141,'2019'!$B$24:$B$106,"Regular")+COUNTIFS('2020'!$L$24:$L$106,A141&amp;" / "&amp;B141,'2020'!$B$24:$B$106,"Regular")+COUNTIFS('2021'!$L$24:$L$112,A141&amp;" / "&amp;B141,'2021'!$B$24:$B$112,"Regular")+COUNTIFS('2022'!$L$24:$L$112,A141&amp;" / "&amp;B141,'2022'!$B$24:$B$112,"Regular")+COUNTIFS('2023'!$L$24:$L$112,A141&amp;" / "&amp;B141,'2023'!$B$24:$B$112,"Regular")+COUNTIFS('2024'!$L$24:$L$112,A141&amp;" / "&amp;B141,'2024'!$B$24:$B$112,"Regular")+COUNTIFS('2025'!$L$24:$L$112,A141&amp;" / "&amp;B141,'2025'!$B$24:$B$112,"Regular")</x:f>
        <x:v>11</x:v>
      </x:c>
      <x:c r="K141" s="2" t="n">
        <x:f>COUNTIFS('2015'!$L$24:$L$96,A141&amp;" / "&amp;B141,'2015'!$B$24:$B$96,"Playoffs")+COUNTIFS('2016'!$L$24:$L$96,A141&amp;" / "&amp;B141,'2016'!$B$24:$B$96,"Playoffs")+COUNTIFS('2017'!$L$24:$L$106,A141&amp;" / "&amp;B141,'2017'!$B$24:$B$106,"Playoffs")+COUNTIFS('2018'!$L$24:$L$106,A141&amp;" / "&amp;B141,'2018'!$B$24:$B$106,"Playoffs")+COUNTIFS('2019'!$L$24:$L$106,A141&amp;" / "&amp;B141,'2019'!$B$24:$B$106,"Playoffs")+COUNTIFS('2020'!$L$24:$L$106,A141&amp;" / "&amp;B141,'2020'!$B$24:$B$106,"Playoffs")+COUNTIFS('2021'!$L$24:$L$112,A141&amp;" / "&amp;B141,'2021'!$B$24:$B$112,"Playoffs")+COUNTIFS('2022'!$L$24:$L$112,A141&amp;" / "&amp;B141,'2022'!$B$24:$B$112,"Playoffs")+COUNTIFS('2023'!$L$24:$L$112,A141&amp;" / "&amp;B141,'2023'!$B$24:$B$112,"Playoffs")+COUNTIFS('2024'!$L$24:$L$112,A141&amp;" / "&amp;B141,'2024'!$B$24:$B$112,"Playoffs")+COUNTIFS('2025'!$L$24:$L$112,A141&amp;" / "&amp;B141,'2025'!$B$24:$B$112,"Playoffs")</x:f>
        <x:v>4</x:v>
      </x:c>
      <x:c r="L141" s="2" t="n">
        <x:f>COUNTIFS('2015'!$L$24:$L$96,A141&amp;" / "&amp;B141,'2015'!$B$24:$B$96,"Unconfirmed")+COUNTIFS('2016'!$L$24:$L$96,A141&amp;" / "&amp;B141,'2016'!$B$24:$B$96,"Unconfirmed")+COUNTIFS('2017'!$L$24:$L$106,A141&amp;" / "&amp;B141,'2017'!$B$24:$B$106,"Unconfirmed")+COUNTIFS('2018'!$L$24:$L$106,A141&amp;" / "&amp;B141,'2018'!$B$24:$B$106,"Unconfirmed")+COUNTIFS('2019'!$L$24:$L$106,A141&amp;" / "&amp;B141,'2019'!$B$24:$B$106,"Unconfirmed")+COUNTIFS('2020'!$L$24:$L$106,A141&amp;" / "&amp;B141,'2020'!$B$24:$B$106,"Unconfirmed")+COUNTIFS('2021'!$L$24:$L$112,A141&amp;" / "&amp;B141,'2021'!$B$24:$B$112,"Unconfirmed")+COUNTIFS('2022'!$L$24:$L$112,A141&amp;" / "&amp;B141,'2022'!$B$24:$B$112,"Unconfirmed")+COUNTIFS('2023'!$L$24:$L$112,A141&amp;" / "&amp;B141,'2023'!$B$24:$B$112,"Unconfirmed")+COUNTIFS('2024'!$L$24:$L$112,A141&amp;" / "&amp;B141,'2024'!$B$24:$B$112,"Unconfirmed")+COUNTIFS('2025'!$L$24:$L$112,A141&amp;" / "&amp;B141,'2025'!$B$24:$B$112,"Unconfirmed")</x:f>
        <x:v>0</x:v>
      </x:c>
    </x:row>
    <x:row r="142" ht="22" customHeight="1">
      <x:c r="A142" s="2" t="str">
        <x:v>Mark</x:v>
      </x:c>
      <x:c r="B142" s="2" t="str">
        <x:v>Poker Dude</x:v>
      </x:c>
      <x:c r="C142" s="2" t="n">
        <x:f>COUNTIFS('2015'!$L$24:$L$96,A142&amp;" / "&amp;B142)+COUNTIFS('2016'!$L$24:$L$96,A142&amp;" / "&amp;B142)+COUNTIFS('2017'!$L$24:$L$106,A142&amp;" / "&amp;B142)+COUNTIFS('2018'!$L$24:$L$106,A142&amp;" / "&amp;B142)+COUNTIFS('2019'!$L$24:$L$106,A142&amp;" / "&amp;B142)+COUNTIFS('2020'!$L$24:$L$106,A142&amp;" / "&amp;B142)+COUNTIFS('2021'!$L$24:$L$112,A142&amp;" / "&amp;B142)+COUNTIFS('2022'!$L$24:$L$112,A142&amp;" / "&amp;B142)+COUNTIFS('2023'!$L$24:$L$112,A142&amp;" / "&amp;B142)+COUNTIFS('2024'!$L$24:$L$112,A142&amp;" / "&amp;B142)+COUNTIFS('2025'!$L$24:$L$112,A142&amp;" / "&amp;B142)</x:f>
        <x:v>5</x:v>
      </x:c>
      <x:c r="D142" s="2" t="n">
        <x:f>COUNTIFS('2015'!$L$24:$L$96,A142&amp;" / "&amp;B142,'2015'!$I$24:$I$96,A142)+COUNTIFS('2016'!$L$24:$L$96,A142&amp;" / "&amp;B142,'2016'!$I$24:$I$96,A142)+COUNTIFS('2017'!$L$24:$L$106,A142&amp;" / "&amp;B142,'2017'!$I$24:$I$106,A142)+COUNTIFS('2018'!$L$24:$L$106,A142&amp;" / "&amp;B142,'2018'!$I$24:$I$106,A142)+COUNTIFS('2019'!$L$24:$L$106,A142&amp;" / "&amp;B142,'2019'!$I$24:$I$106,A142)+COUNTIFS('2020'!$L$24:$L$106,A142&amp;" / "&amp;B142,'2020'!$I$24:$I$106,A142)+COUNTIFS('2021'!$L$24:$L$112,A142&amp;" / "&amp;B142,'2021'!$I$24:$I$112,A142)+COUNTIFS('2022'!$L$24:$L$112,A142&amp;" / "&amp;B142,'2022'!$I$24:$I$112,A142)+COUNTIFS('2023'!$L$24:$L$112,A142&amp;" / "&amp;B142,'2023'!$I$24:$I$112,A142)+COUNTIFS('2024'!$L$24:$L$112,A142&amp;" / "&amp;B142,'2024'!$I$24:$I$112,A142)+COUNTIFS('2025'!$L$24:$L$112,A142&amp;" / "&amp;B142,'2025'!$I$24:$I$112,A142)</x:f>
        <x:v>0</x:v>
      </x:c>
      <x:c r="E142" s="2" t="n">
        <x:f>COUNTIFS('2015'!$L$24:$L$96,A142&amp;" / "&amp;B142,'2015'!$I$24:$I$96,B142)+COUNTIFS('2016'!$L$24:$L$96,A142&amp;" / "&amp;B142,'2016'!$I$24:$I$96,B142)+COUNTIFS('2017'!$L$24:$L$106,A142&amp;" / "&amp;B142,'2017'!$I$24:$I$106,B142)+COUNTIFS('2018'!$L$24:$L$106,A142&amp;" / "&amp;B142,'2018'!$I$24:$I$106,B142)+COUNTIFS('2019'!$L$24:$L$106,A142&amp;" / "&amp;B142,'2019'!$I$24:$I$106,B142)+COUNTIFS('2020'!$L$24:$L$106,A142&amp;" / "&amp;B142,'2020'!$I$24:$I$106,B142)+COUNTIFS('2021'!$L$24:$L$112,A142&amp;" / "&amp;B142,'2021'!$I$24:$I$112,B142)+COUNTIFS('2022'!$L$24:$L$112,A142&amp;" / "&amp;B142,'2022'!$I$24:$I$112,B142)+COUNTIFS('2023'!$L$24:$L$112,A142&amp;" / "&amp;B142,'2023'!$I$24:$I$112,B142)+COUNTIFS('2024'!$L$24:$L$112,A142&amp;" / "&amp;B142,'2024'!$I$24:$I$112,B142)+COUNTIFS('2025'!$L$24:$L$112,A142&amp;" / "&amp;B142,'2025'!$I$24:$I$112,B142)</x:f>
        <x:v>5</x:v>
      </x:c>
      <x:c r="F142" s="2" t="n">
        <x:f>COUNTIFS('2015'!$L$24:$L$96,A142&amp;" / "&amp;B142,'2015'!$K$24:$K$96,1)+COUNTIFS('2016'!$L$24:$L$96,A142&amp;" / "&amp;B142,'2016'!$K$24:$K$96,1)+COUNTIFS('2017'!$L$24:$L$106,A142&amp;" / "&amp;B142,'2017'!$K$24:$K$106,1)+COUNTIFS('2018'!$L$24:$L$106,A142&amp;" / "&amp;B142,'2018'!$K$24:$K$106,1)+COUNTIFS('2019'!$L$24:$L$106,A142&amp;" / "&amp;B142,'2019'!$K$24:$K$106,1)+COUNTIFS('2020'!$L$24:$L$106,A142&amp;" / "&amp;B142,'2020'!$K$24:$K$106,1)+COUNTIFS('2021'!$L$24:$L$112,A142&amp;" / "&amp;B142,'2021'!$K$24:$K$112,1)+COUNTIFS('2022'!$L$24:$L$112,A142&amp;" / "&amp;B142,'2022'!$K$24:$K$112,1)+COUNTIFS('2023'!$L$24:$L$112,A142&amp;" / "&amp;B142,'2023'!$K$24:$K$112,1)+COUNTIFS('2024'!$L$24:$L$112,A142&amp;" / "&amp;B142,'2024'!$K$24:$K$112,1)+COUNTIFS('2025'!$L$24:$L$112,A142&amp;" / "&amp;B142,'2025'!$K$24:$K$112,1)</x:f>
        <x:v>0</x:v>
      </x:c>
      <x:c r="G142" s="25" t="n">
        <x:f>SUMIFS('2015'!$E$24:$E$96,'2015'!$L$24:$L$96,A142&amp;" / "&amp;B142,'2015'!$C$24:$C$96,A142)+SUMIFS('2015'!$H$24:$H$96,'2015'!$L$24:$L$96,A142&amp;" / "&amp;B142,'2015'!$F$24:$F$96,A142)+SUMIFS('2016'!$E$24:$E$96,'2016'!$L$24:$L$96,A142&amp;" / "&amp;B142,'2016'!$C$24:$C$96,A142)+SUMIFS('2016'!$H$24:$H$96,'2016'!$L$24:$L$96,A142&amp;" / "&amp;B142,'2016'!$F$24:$F$96,A142)+SUMIFS('2017'!$E$24:$E$106,'2017'!$L$24:$L$106,A142&amp;" / "&amp;B142,'2017'!$C$24:$C$106,A142)+SUMIFS('2017'!$H$24:$H$106,'2017'!$L$24:$L$106,A142&amp;" / "&amp;B142,'2017'!$F$24:$F$106,A142)+SUMIFS('2018'!$E$24:$E$106,'2018'!$L$24:$L$106,A142&amp;" / "&amp;B142,'2018'!$C$24:$C$106,A142)+SUMIFS('2018'!$H$24:$H$106,'2018'!$L$24:$L$106,A142&amp;" / "&amp;B142,'2018'!$F$24:$F$106,A142)+SUMIFS('2019'!$E$24:$E$106,'2019'!$L$24:$L$106,A142&amp;" / "&amp;B142,'2019'!$C$24:$C$106,A142)+SUMIFS('2019'!$H$24:$H$106,'2019'!$L$24:$L$106,A142&amp;" / "&amp;B142,'2019'!$F$24:$F$106,A142)+SUMIFS('2020'!$E$24:$E$106,'2020'!$L$24:$L$106,A142&amp;" / "&amp;B142,'2020'!$C$24:$C$106,A142)+SUMIFS('2020'!$H$24:$H$106,'2020'!$L$24:$L$106,A142&amp;" / "&amp;B142,'2020'!$F$24:$F$106,A142)+SUMIFS('2021'!$E$24:$E$112,'2021'!$L$24:$L$112,A142&amp;" / "&amp;B142,'2021'!$C$24:$C$112,A142)+SUMIFS('2021'!$H$24:$H$112,'2021'!$L$24:$L$112,A142&amp;" / "&amp;B142,'2021'!$F$24:$F$112,A142)+SUMIFS('2022'!$E$24:$E$112,'2022'!$L$24:$L$112,A142&amp;" / "&amp;B142,'2022'!$C$24:$C$112,A142)+SUMIFS('2022'!$H$24:$H$112,'2022'!$L$24:$L$112,A142&amp;" / "&amp;B142,'2022'!$F$24:$F$112,A142)+SUMIFS('2023'!$E$24:$E$112,'2023'!$L$24:$L$112,A142&amp;" / "&amp;B142,'2023'!$C$24:$C$112,A142)+SUMIFS('2023'!$H$24:$H$112,'2023'!$L$24:$L$112,A142&amp;" / "&amp;B142,'2023'!$F$24:$F$112,A142)+SUMIFS('2024'!$E$24:$E$112,'2024'!$L$24:$L$112,A142&amp;" / "&amp;B142,'2024'!$C$24:$C$112,A142)+SUMIFS('2024'!$H$24:$H$112,'2024'!$L$24:$L$112,A142&amp;" / "&amp;B142,'2024'!$F$24:$F$112,A142)+SUMIFS('2025'!$E$24:$E$112,'2025'!$L$24:$L$112,A142&amp;" / "&amp;B142,'2025'!$C$24:$C$112,A142)+SUMIFS('2025'!$H$24:$H$112,'2025'!$L$24:$L$112,A142&amp;" / "&amp;B142,'2025'!$F$24:$F$112,A142)</x:f>
        <x:v>472.84999999999997</x:v>
      </x:c>
      <x:c r="H142" s="25" t="n">
        <x:f>SUMIFS('2015'!$E$24:$E$96,'2015'!$L$24:$L$96,A142&amp;" / "&amp;B142,'2015'!$C$24:$C$96,B142)+SUMIFS('2015'!$H$24:$H$96,'2015'!$L$24:$L$96,A142&amp;" / "&amp;B142,'2015'!$F$24:$F$96,B142)+SUMIFS('2016'!$E$24:$E$96,'2016'!$L$24:$L$96,A142&amp;" / "&amp;B142,'2016'!$C$24:$C$96,B142)+SUMIFS('2016'!$H$24:$H$96,'2016'!$L$24:$L$96,A142&amp;" / "&amp;B142,'2016'!$F$24:$F$96,B142)+SUMIFS('2017'!$E$24:$E$106,'2017'!$L$24:$L$106,A142&amp;" / "&amp;B142,'2017'!$C$24:$C$106,B142)+SUMIFS('2017'!$H$24:$H$106,'2017'!$L$24:$L$106,A142&amp;" / "&amp;B142,'2017'!$F$24:$F$106,B142)+SUMIFS('2018'!$E$24:$E$106,'2018'!$L$24:$L$106,A142&amp;" / "&amp;B142,'2018'!$C$24:$C$106,B142)+SUMIFS('2018'!$H$24:$H$106,'2018'!$L$24:$L$106,A142&amp;" / "&amp;B142,'2018'!$F$24:$F$106,B142)+SUMIFS('2019'!$E$24:$E$106,'2019'!$L$24:$L$106,A142&amp;" / "&amp;B142,'2019'!$C$24:$C$106,B142)+SUMIFS('2019'!$H$24:$H$106,'2019'!$L$24:$L$106,A142&amp;" / "&amp;B142,'2019'!$F$24:$F$106,B142)+SUMIFS('2020'!$E$24:$E$106,'2020'!$L$24:$L$106,A142&amp;" / "&amp;B142,'2020'!$C$24:$C$106,B142)+SUMIFS('2020'!$H$24:$H$106,'2020'!$L$24:$L$106,A142&amp;" / "&amp;B142,'2020'!$F$24:$F$106,B142)+SUMIFS('2021'!$E$24:$E$112,'2021'!$L$24:$L$112,A142&amp;" / "&amp;B142,'2021'!$C$24:$C$112,B142)+SUMIFS('2021'!$H$24:$H$112,'2021'!$L$24:$L$112,A142&amp;" / "&amp;B142,'2021'!$F$24:$F$112,B142)+SUMIFS('2022'!$E$24:$E$112,'2022'!$L$24:$L$112,A142&amp;" / "&amp;B142,'2022'!$C$24:$C$112,B142)+SUMIFS('2022'!$H$24:$H$112,'2022'!$L$24:$L$112,A142&amp;" / "&amp;B142,'2022'!$F$24:$F$112,B142)+SUMIFS('2023'!$E$24:$E$112,'2023'!$L$24:$L$112,A142&amp;" / "&amp;B142,'2023'!$C$24:$C$112,B142)+SUMIFS('2023'!$H$24:$H$112,'2023'!$L$24:$L$112,A142&amp;" / "&amp;B142,'2023'!$F$24:$F$112,B142)+SUMIFS('2024'!$E$24:$E$112,'2024'!$L$24:$L$112,A142&amp;" / "&amp;B142,'2024'!$C$24:$C$112,B142)+SUMIFS('2024'!$H$24:$H$112,'2024'!$L$24:$L$112,A142&amp;" / "&amp;B142,'2024'!$F$24:$F$112,B142)+SUMIFS('2025'!$E$24:$E$112,'2025'!$L$24:$L$112,A142&amp;" / "&amp;B142,'2025'!$C$24:$C$112,B142)+SUMIFS('2025'!$H$24:$H$112,'2025'!$L$24:$L$112,A142&amp;" / "&amp;B142,'2025'!$F$24:$F$112,B142)</x:f>
        <x:v>564.4</x:v>
      </x:c>
      <x:c r="I142" s="11" t="n">
        <x:f>IF(C142=0,0,(D142+0.5*F142)/C142)</x:f>
        <x:v>0</x:v>
      </x:c>
      <x:c r="J142" s="2" t="n">
        <x:f>COUNTIFS('2015'!$L$24:$L$96,A142&amp;" / "&amp;B142,'2015'!$B$24:$B$96,"Regular")+COUNTIFS('2016'!$L$24:$L$96,A142&amp;" / "&amp;B142,'2016'!$B$24:$B$96,"Regular")+COUNTIFS('2017'!$L$24:$L$106,A142&amp;" / "&amp;B142,'2017'!$B$24:$B$106,"Regular")+COUNTIFS('2018'!$L$24:$L$106,A142&amp;" / "&amp;B142,'2018'!$B$24:$B$106,"Regular")+COUNTIFS('2019'!$L$24:$L$106,A142&amp;" / "&amp;B142,'2019'!$B$24:$B$106,"Regular")+COUNTIFS('2020'!$L$24:$L$106,A142&amp;" / "&amp;B142,'2020'!$B$24:$B$106,"Regular")+COUNTIFS('2021'!$L$24:$L$112,A142&amp;" / "&amp;B142,'2021'!$B$24:$B$112,"Regular")+COUNTIFS('2022'!$L$24:$L$112,A142&amp;" / "&amp;B142,'2022'!$B$24:$B$112,"Regular")+COUNTIFS('2023'!$L$24:$L$112,A142&amp;" / "&amp;B142,'2023'!$B$24:$B$112,"Regular")+COUNTIFS('2024'!$L$24:$L$112,A142&amp;" / "&amp;B142,'2024'!$B$24:$B$112,"Regular")+COUNTIFS('2025'!$L$24:$L$112,A142&amp;" / "&amp;B142,'2025'!$B$24:$B$112,"Regular")</x:f>
        <x:v>5</x:v>
      </x:c>
      <x:c r="K142" s="2" t="n">
        <x:f>COUNTIFS('2015'!$L$24:$L$96,A142&amp;" / "&amp;B142,'2015'!$B$24:$B$96,"Playoffs")+COUNTIFS('2016'!$L$24:$L$96,A142&amp;" / "&amp;B142,'2016'!$B$24:$B$96,"Playoffs")+COUNTIFS('2017'!$L$24:$L$106,A142&amp;" / "&amp;B142,'2017'!$B$24:$B$106,"Playoffs")+COUNTIFS('2018'!$L$24:$L$106,A142&amp;" / "&amp;B142,'2018'!$B$24:$B$106,"Playoffs")+COUNTIFS('2019'!$L$24:$L$106,A142&amp;" / "&amp;B142,'2019'!$B$24:$B$106,"Playoffs")+COUNTIFS('2020'!$L$24:$L$106,A142&amp;" / "&amp;B142,'2020'!$B$24:$B$106,"Playoffs")+COUNTIFS('2021'!$L$24:$L$112,A142&amp;" / "&amp;B142,'2021'!$B$24:$B$112,"Playoffs")+COUNTIFS('2022'!$L$24:$L$112,A142&amp;" / "&amp;B142,'2022'!$B$24:$B$112,"Playoffs")+COUNTIFS('2023'!$L$24:$L$112,A142&amp;" / "&amp;B142,'2023'!$B$24:$B$112,"Playoffs")+COUNTIFS('2024'!$L$24:$L$112,A142&amp;" / "&amp;B142,'2024'!$B$24:$B$112,"Playoffs")+COUNTIFS('2025'!$L$24:$L$112,A142&amp;" / "&amp;B142,'2025'!$B$24:$B$112,"Playoffs")</x:f>
        <x:v>0</x:v>
      </x:c>
      <x:c r="L142" s="2" t="n">
        <x:f>COUNTIFS('2015'!$L$24:$L$96,A142&amp;" / "&amp;B142,'2015'!$B$24:$B$96,"Unconfirmed")+COUNTIFS('2016'!$L$24:$L$96,A142&amp;" / "&amp;B142,'2016'!$B$24:$B$96,"Unconfirmed")+COUNTIFS('2017'!$L$24:$L$106,A142&amp;" / "&amp;B142,'2017'!$B$24:$B$106,"Unconfirmed")+COUNTIFS('2018'!$L$24:$L$106,A142&amp;" / "&amp;B142,'2018'!$B$24:$B$106,"Unconfirmed")+COUNTIFS('2019'!$L$24:$L$106,A142&amp;" / "&amp;B142,'2019'!$B$24:$B$106,"Unconfirmed")+COUNTIFS('2020'!$L$24:$L$106,A142&amp;" / "&amp;B142,'2020'!$B$24:$B$106,"Unconfirmed")+COUNTIFS('2021'!$L$24:$L$112,A142&amp;" / "&amp;B142,'2021'!$B$24:$B$112,"Unconfirmed")+COUNTIFS('2022'!$L$24:$L$112,A142&amp;" / "&amp;B142,'2022'!$B$24:$B$112,"Unconfirmed")+COUNTIFS('2023'!$L$24:$L$112,A142&amp;" / "&amp;B142,'2023'!$B$24:$B$112,"Unconfirmed")+COUNTIFS('2024'!$L$24:$L$112,A142&amp;" / "&amp;B142,'2024'!$B$24:$B$112,"Unconfirmed")+COUNTIFS('2025'!$L$24:$L$112,A142&amp;" / "&amp;B142,'2025'!$B$24:$B$112,"Unconfirmed")</x:f>
        <x:v>0</x:v>
      </x:c>
    </x:row>
    <x:row r="143" ht="22" customHeight="1">
      <x:c r="A143" s="2" t="str">
        <x:v>Mark</x:v>
      </x:c>
      <x:c r="B143" s="2" t="str">
        <x:v>Ryan</x:v>
      </x:c>
      <x:c r="C143" s="2" t="n">
        <x:f>COUNTIFS('2015'!$L$24:$L$96,A143&amp;" / "&amp;B143)+COUNTIFS('2016'!$L$24:$L$96,A143&amp;" / "&amp;B143)+COUNTIFS('2017'!$L$24:$L$106,A143&amp;" / "&amp;B143)+COUNTIFS('2018'!$L$24:$L$106,A143&amp;" / "&amp;B143)+COUNTIFS('2019'!$L$24:$L$106,A143&amp;" / "&amp;B143)+COUNTIFS('2020'!$L$24:$L$106,A143&amp;" / "&amp;B143)+COUNTIFS('2021'!$L$24:$L$112,A143&amp;" / "&amp;B143)+COUNTIFS('2022'!$L$24:$L$112,A143&amp;" / "&amp;B143)+COUNTIFS('2023'!$L$24:$L$112,A143&amp;" / "&amp;B143)+COUNTIFS('2024'!$L$24:$L$112,A143&amp;" / "&amp;B143)+COUNTIFS('2025'!$L$24:$L$112,A143&amp;" / "&amp;B143)</x:f>
        <x:v>2</x:v>
      </x:c>
      <x:c r="D143" s="2" t="n">
        <x:f>COUNTIFS('2015'!$L$24:$L$96,A143&amp;" / "&amp;B143,'2015'!$I$24:$I$96,A143)+COUNTIFS('2016'!$L$24:$L$96,A143&amp;" / "&amp;B143,'2016'!$I$24:$I$96,A143)+COUNTIFS('2017'!$L$24:$L$106,A143&amp;" / "&amp;B143,'2017'!$I$24:$I$106,A143)+COUNTIFS('2018'!$L$24:$L$106,A143&amp;" / "&amp;B143,'2018'!$I$24:$I$106,A143)+COUNTIFS('2019'!$L$24:$L$106,A143&amp;" / "&amp;B143,'2019'!$I$24:$I$106,A143)+COUNTIFS('2020'!$L$24:$L$106,A143&amp;" / "&amp;B143,'2020'!$I$24:$I$106,A143)+COUNTIFS('2021'!$L$24:$L$112,A143&amp;" / "&amp;B143,'2021'!$I$24:$I$112,A143)+COUNTIFS('2022'!$L$24:$L$112,A143&amp;" / "&amp;B143,'2022'!$I$24:$I$112,A143)+COUNTIFS('2023'!$L$24:$L$112,A143&amp;" / "&amp;B143,'2023'!$I$24:$I$112,A143)+COUNTIFS('2024'!$L$24:$L$112,A143&amp;" / "&amp;B143,'2024'!$I$24:$I$112,A143)+COUNTIFS('2025'!$L$24:$L$112,A143&amp;" / "&amp;B143,'2025'!$I$24:$I$112,A143)</x:f>
        <x:v>1</x:v>
      </x:c>
      <x:c r="E143" s="2" t="n">
        <x:f>COUNTIFS('2015'!$L$24:$L$96,A143&amp;" / "&amp;B143,'2015'!$I$24:$I$96,B143)+COUNTIFS('2016'!$L$24:$L$96,A143&amp;" / "&amp;B143,'2016'!$I$24:$I$96,B143)+COUNTIFS('2017'!$L$24:$L$106,A143&amp;" / "&amp;B143,'2017'!$I$24:$I$106,B143)+COUNTIFS('2018'!$L$24:$L$106,A143&amp;" / "&amp;B143,'2018'!$I$24:$I$106,B143)+COUNTIFS('2019'!$L$24:$L$106,A143&amp;" / "&amp;B143,'2019'!$I$24:$I$106,B143)+COUNTIFS('2020'!$L$24:$L$106,A143&amp;" / "&amp;B143,'2020'!$I$24:$I$106,B143)+COUNTIFS('2021'!$L$24:$L$112,A143&amp;" / "&amp;B143,'2021'!$I$24:$I$112,B143)+COUNTIFS('2022'!$L$24:$L$112,A143&amp;" / "&amp;B143,'2022'!$I$24:$I$112,B143)+COUNTIFS('2023'!$L$24:$L$112,A143&amp;" / "&amp;B143,'2023'!$I$24:$I$112,B143)+COUNTIFS('2024'!$L$24:$L$112,A143&amp;" / "&amp;B143,'2024'!$I$24:$I$112,B143)+COUNTIFS('2025'!$L$24:$L$112,A143&amp;" / "&amp;B143,'2025'!$I$24:$I$112,B143)</x:f>
        <x:v>1</x:v>
      </x:c>
      <x:c r="F143" s="2" t="n">
        <x:f>COUNTIFS('2015'!$L$24:$L$96,A143&amp;" / "&amp;B143,'2015'!$K$24:$K$96,1)+COUNTIFS('2016'!$L$24:$L$96,A143&amp;" / "&amp;B143,'2016'!$K$24:$K$96,1)+COUNTIFS('2017'!$L$24:$L$106,A143&amp;" / "&amp;B143,'2017'!$K$24:$K$106,1)+COUNTIFS('2018'!$L$24:$L$106,A143&amp;" / "&amp;B143,'2018'!$K$24:$K$106,1)+COUNTIFS('2019'!$L$24:$L$106,A143&amp;" / "&amp;B143,'2019'!$K$24:$K$106,1)+COUNTIFS('2020'!$L$24:$L$106,A143&amp;" / "&amp;B143,'2020'!$K$24:$K$106,1)+COUNTIFS('2021'!$L$24:$L$112,A143&amp;" / "&amp;B143,'2021'!$K$24:$K$112,1)+COUNTIFS('2022'!$L$24:$L$112,A143&amp;" / "&amp;B143,'2022'!$K$24:$K$112,1)+COUNTIFS('2023'!$L$24:$L$112,A143&amp;" / "&amp;B143,'2023'!$K$24:$K$112,1)+COUNTIFS('2024'!$L$24:$L$112,A143&amp;" / "&amp;B143,'2024'!$K$24:$K$112,1)+COUNTIFS('2025'!$L$24:$L$112,A143&amp;" / "&amp;B143,'2025'!$K$24:$K$112,1)</x:f>
        <x:v>0</x:v>
      </x:c>
      <x:c r="G143" s="25" t="n">
        <x:f>SUMIFS('2015'!$E$24:$E$96,'2015'!$L$24:$L$96,A143&amp;" / "&amp;B143,'2015'!$C$24:$C$96,A143)+SUMIFS('2015'!$H$24:$H$96,'2015'!$L$24:$L$96,A143&amp;" / "&amp;B143,'2015'!$F$24:$F$96,A143)+SUMIFS('2016'!$E$24:$E$96,'2016'!$L$24:$L$96,A143&amp;" / "&amp;B143,'2016'!$C$24:$C$96,A143)+SUMIFS('2016'!$H$24:$H$96,'2016'!$L$24:$L$96,A143&amp;" / "&amp;B143,'2016'!$F$24:$F$96,A143)+SUMIFS('2017'!$E$24:$E$106,'2017'!$L$24:$L$106,A143&amp;" / "&amp;B143,'2017'!$C$24:$C$106,A143)+SUMIFS('2017'!$H$24:$H$106,'2017'!$L$24:$L$106,A143&amp;" / "&amp;B143,'2017'!$F$24:$F$106,A143)+SUMIFS('2018'!$E$24:$E$106,'2018'!$L$24:$L$106,A143&amp;" / "&amp;B143,'2018'!$C$24:$C$106,A143)+SUMIFS('2018'!$H$24:$H$106,'2018'!$L$24:$L$106,A143&amp;" / "&amp;B143,'2018'!$F$24:$F$106,A143)+SUMIFS('2019'!$E$24:$E$106,'2019'!$L$24:$L$106,A143&amp;" / "&amp;B143,'2019'!$C$24:$C$106,A143)+SUMIFS('2019'!$H$24:$H$106,'2019'!$L$24:$L$106,A143&amp;" / "&amp;B143,'2019'!$F$24:$F$106,A143)+SUMIFS('2020'!$E$24:$E$106,'2020'!$L$24:$L$106,A143&amp;" / "&amp;B143,'2020'!$C$24:$C$106,A143)+SUMIFS('2020'!$H$24:$H$106,'2020'!$L$24:$L$106,A143&amp;" / "&amp;B143,'2020'!$F$24:$F$106,A143)+SUMIFS('2021'!$E$24:$E$112,'2021'!$L$24:$L$112,A143&amp;" / "&amp;B143,'2021'!$C$24:$C$112,A143)+SUMIFS('2021'!$H$24:$H$112,'2021'!$L$24:$L$112,A143&amp;" / "&amp;B143,'2021'!$F$24:$F$112,A143)+SUMIFS('2022'!$E$24:$E$112,'2022'!$L$24:$L$112,A143&amp;" / "&amp;B143,'2022'!$C$24:$C$112,A143)+SUMIFS('2022'!$H$24:$H$112,'2022'!$L$24:$L$112,A143&amp;" / "&amp;B143,'2022'!$F$24:$F$112,A143)+SUMIFS('2023'!$E$24:$E$112,'2023'!$L$24:$L$112,A143&amp;" / "&amp;B143,'2023'!$C$24:$C$112,A143)+SUMIFS('2023'!$H$24:$H$112,'2023'!$L$24:$L$112,A143&amp;" / "&amp;B143,'2023'!$F$24:$F$112,A143)+SUMIFS('2024'!$E$24:$E$112,'2024'!$L$24:$L$112,A143&amp;" / "&amp;B143,'2024'!$C$24:$C$112,A143)+SUMIFS('2024'!$H$24:$H$112,'2024'!$L$24:$L$112,A143&amp;" / "&amp;B143,'2024'!$F$24:$F$112,A143)+SUMIFS('2025'!$E$24:$E$112,'2025'!$L$24:$L$112,A143&amp;" / "&amp;B143,'2025'!$C$24:$C$112,A143)+SUMIFS('2025'!$H$24:$H$112,'2025'!$L$24:$L$112,A143&amp;" / "&amp;B143,'2025'!$F$24:$F$112,A143)</x:f>
        <x:v>310.20000000000005</x:v>
      </x:c>
      <x:c r="H143" s="25" t="n">
        <x:f>SUMIFS('2015'!$E$24:$E$96,'2015'!$L$24:$L$96,A143&amp;" / "&amp;B143,'2015'!$C$24:$C$96,B143)+SUMIFS('2015'!$H$24:$H$96,'2015'!$L$24:$L$96,A143&amp;" / "&amp;B143,'2015'!$F$24:$F$96,B143)+SUMIFS('2016'!$E$24:$E$96,'2016'!$L$24:$L$96,A143&amp;" / "&amp;B143,'2016'!$C$24:$C$96,B143)+SUMIFS('2016'!$H$24:$H$96,'2016'!$L$24:$L$96,A143&amp;" / "&amp;B143,'2016'!$F$24:$F$96,B143)+SUMIFS('2017'!$E$24:$E$106,'2017'!$L$24:$L$106,A143&amp;" / "&amp;B143,'2017'!$C$24:$C$106,B143)+SUMIFS('2017'!$H$24:$H$106,'2017'!$L$24:$L$106,A143&amp;" / "&amp;B143,'2017'!$F$24:$F$106,B143)+SUMIFS('2018'!$E$24:$E$106,'2018'!$L$24:$L$106,A143&amp;" / "&amp;B143,'2018'!$C$24:$C$106,B143)+SUMIFS('2018'!$H$24:$H$106,'2018'!$L$24:$L$106,A143&amp;" / "&amp;B143,'2018'!$F$24:$F$106,B143)+SUMIFS('2019'!$E$24:$E$106,'2019'!$L$24:$L$106,A143&amp;" / "&amp;B143,'2019'!$C$24:$C$106,B143)+SUMIFS('2019'!$H$24:$H$106,'2019'!$L$24:$L$106,A143&amp;" / "&amp;B143,'2019'!$F$24:$F$106,B143)+SUMIFS('2020'!$E$24:$E$106,'2020'!$L$24:$L$106,A143&amp;" / "&amp;B143,'2020'!$C$24:$C$106,B143)+SUMIFS('2020'!$H$24:$H$106,'2020'!$L$24:$L$106,A143&amp;" / "&amp;B143,'2020'!$F$24:$F$106,B143)+SUMIFS('2021'!$E$24:$E$112,'2021'!$L$24:$L$112,A143&amp;" / "&amp;B143,'2021'!$C$24:$C$112,B143)+SUMIFS('2021'!$H$24:$H$112,'2021'!$L$24:$L$112,A143&amp;" / "&amp;B143,'2021'!$F$24:$F$112,B143)+SUMIFS('2022'!$E$24:$E$112,'2022'!$L$24:$L$112,A143&amp;" / "&amp;B143,'2022'!$C$24:$C$112,B143)+SUMIFS('2022'!$H$24:$H$112,'2022'!$L$24:$L$112,A143&amp;" / "&amp;B143,'2022'!$F$24:$F$112,B143)+SUMIFS('2023'!$E$24:$E$112,'2023'!$L$24:$L$112,A143&amp;" / "&amp;B143,'2023'!$C$24:$C$112,B143)+SUMIFS('2023'!$H$24:$H$112,'2023'!$L$24:$L$112,A143&amp;" / "&amp;B143,'2023'!$F$24:$F$112,B143)+SUMIFS('2024'!$E$24:$E$112,'2024'!$L$24:$L$112,A143&amp;" / "&amp;B143,'2024'!$C$24:$C$112,B143)+SUMIFS('2024'!$H$24:$H$112,'2024'!$L$24:$L$112,A143&amp;" / "&amp;B143,'2024'!$F$24:$F$112,B143)+SUMIFS('2025'!$E$24:$E$112,'2025'!$L$24:$L$112,A143&amp;" / "&amp;B143,'2025'!$C$24:$C$112,B143)+SUMIFS('2025'!$H$24:$H$112,'2025'!$L$24:$L$112,A143&amp;" / "&amp;B143,'2025'!$F$24:$F$112,B143)</x:f>
        <x:v>263.45</x:v>
      </x:c>
      <x:c r="I143" s="11" t="n">
        <x:f>IF(C143=0,0,(D143+0.5*F143)/C143)</x:f>
        <x:v>0.5</x:v>
      </x:c>
      <x:c r="J143" s="2" t="n">
        <x:f>COUNTIFS('2015'!$L$24:$L$96,A143&amp;" / "&amp;B143,'2015'!$B$24:$B$96,"Regular")+COUNTIFS('2016'!$L$24:$L$96,A143&amp;" / "&amp;B143,'2016'!$B$24:$B$96,"Regular")+COUNTIFS('2017'!$L$24:$L$106,A143&amp;" / "&amp;B143,'2017'!$B$24:$B$106,"Regular")+COUNTIFS('2018'!$L$24:$L$106,A143&amp;" / "&amp;B143,'2018'!$B$24:$B$106,"Regular")+COUNTIFS('2019'!$L$24:$L$106,A143&amp;" / "&amp;B143,'2019'!$B$24:$B$106,"Regular")+COUNTIFS('2020'!$L$24:$L$106,A143&amp;" / "&amp;B143,'2020'!$B$24:$B$106,"Regular")+COUNTIFS('2021'!$L$24:$L$112,A143&amp;" / "&amp;B143,'2021'!$B$24:$B$112,"Regular")+COUNTIFS('2022'!$L$24:$L$112,A143&amp;" / "&amp;B143,'2022'!$B$24:$B$112,"Regular")+COUNTIFS('2023'!$L$24:$L$112,A143&amp;" / "&amp;B143,'2023'!$B$24:$B$112,"Regular")+COUNTIFS('2024'!$L$24:$L$112,A143&amp;" / "&amp;B143,'2024'!$B$24:$B$112,"Regular")+COUNTIFS('2025'!$L$24:$L$112,A143&amp;" / "&amp;B143,'2025'!$B$24:$B$112,"Regular")</x:f>
        <x:v>1</x:v>
      </x:c>
      <x:c r="K143" s="2" t="n">
        <x:f>COUNTIFS('2015'!$L$24:$L$96,A143&amp;" / "&amp;B143,'2015'!$B$24:$B$96,"Playoffs")+COUNTIFS('2016'!$L$24:$L$96,A143&amp;" / "&amp;B143,'2016'!$B$24:$B$96,"Playoffs")+COUNTIFS('2017'!$L$24:$L$106,A143&amp;" / "&amp;B143,'2017'!$B$24:$B$106,"Playoffs")+COUNTIFS('2018'!$L$24:$L$106,A143&amp;" / "&amp;B143,'2018'!$B$24:$B$106,"Playoffs")+COUNTIFS('2019'!$L$24:$L$106,A143&amp;" / "&amp;B143,'2019'!$B$24:$B$106,"Playoffs")+COUNTIFS('2020'!$L$24:$L$106,A143&amp;" / "&amp;B143,'2020'!$B$24:$B$106,"Playoffs")+COUNTIFS('2021'!$L$24:$L$112,A143&amp;" / "&amp;B143,'2021'!$B$24:$B$112,"Playoffs")+COUNTIFS('2022'!$L$24:$L$112,A143&amp;" / "&amp;B143,'2022'!$B$24:$B$112,"Playoffs")+COUNTIFS('2023'!$L$24:$L$112,A143&amp;" / "&amp;B143,'2023'!$B$24:$B$112,"Playoffs")+COUNTIFS('2024'!$L$24:$L$112,A143&amp;" / "&amp;B143,'2024'!$B$24:$B$112,"Playoffs")+COUNTIFS('2025'!$L$24:$L$112,A143&amp;" / "&amp;B143,'2025'!$B$24:$B$112,"Playoffs")</x:f>
        <x:v>1</x:v>
      </x:c>
      <x:c r="L143" s="2" t="n">
        <x:f>COUNTIFS('2015'!$L$24:$L$96,A143&amp;" / "&amp;B143,'2015'!$B$24:$B$96,"Unconfirmed")+COUNTIFS('2016'!$L$24:$L$96,A143&amp;" / "&amp;B143,'2016'!$B$24:$B$96,"Unconfirmed")+COUNTIFS('2017'!$L$24:$L$106,A143&amp;" / "&amp;B143,'2017'!$B$24:$B$106,"Unconfirmed")+COUNTIFS('2018'!$L$24:$L$106,A143&amp;" / "&amp;B143,'2018'!$B$24:$B$106,"Unconfirmed")+COUNTIFS('2019'!$L$24:$L$106,A143&amp;" / "&amp;B143,'2019'!$B$24:$B$106,"Unconfirmed")+COUNTIFS('2020'!$L$24:$L$106,A143&amp;" / "&amp;B143,'2020'!$B$24:$B$106,"Unconfirmed")+COUNTIFS('2021'!$L$24:$L$112,A143&amp;" / "&amp;B143,'2021'!$B$24:$B$112,"Unconfirmed")+COUNTIFS('2022'!$L$24:$L$112,A143&amp;" / "&amp;B143,'2022'!$B$24:$B$112,"Unconfirmed")+COUNTIFS('2023'!$L$24:$L$112,A143&amp;" / "&amp;B143,'2023'!$B$24:$B$112,"Unconfirmed")+COUNTIFS('2024'!$L$24:$L$112,A143&amp;" / "&amp;B143,'2024'!$B$24:$B$112,"Unconfirmed")+COUNTIFS('2025'!$L$24:$L$112,A143&amp;" / "&amp;B143,'2025'!$B$24:$B$112,"Unconfirmed")</x:f>
        <x:v>0</x:v>
      </x:c>
    </x:row>
    <x:row r="144" ht="22" customHeight="1">
      <x:c r="A144" s="2" t="str">
        <x:v>Mark</x:v>
      </x:c>
      <x:c r="B144" s="2" t="str">
        <x:v>Taylor</x:v>
      </x:c>
      <x:c r="C144" s="2" t="n">
        <x:f>COUNTIFS('2015'!$L$24:$L$96,A144&amp;" / "&amp;B144)+COUNTIFS('2016'!$L$24:$L$96,A144&amp;" / "&amp;B144)+COUNTIFS('2017'!$L$24:$L$106,A144&amp;" / "&amp;B144)+COUNTIFS('2018'!$L$24:$L$106,A144&amp;" / "&amp;B144)+COUNTIFS('2019'!$L$24:$L$106,A144&amp;" / "&amp;B144)+COUNTIFS('2020'!$L$24:$L$106,A144&amp;" / "&amp;B144)+COUNTIFS('2021'!$L$24:$L$112,A144&amp;" / "&amp;B144)+COUNTIFS('2022'!$L$24:$L$112,A144&amp;" / "&amp;B144)+COUNTIFS('2023'!$L$24:$L$112,A144&amp;" / "&amp;B144)+COUNTIFS('2024'!$L$24:$L$112,A144&amp;" / "&amp;B144)+COUNTIFS('2025'!$L$24:$L$112,A144&amp;" / "&amp;B144)</x:f>
        <x:v>3</x:v>
      </x:c>
      <x:c r="D144" s="2" t="n">
        <x:f>COUNTIFS('2015'!$L$24:$L$96,A144&amp;" / "&amp;B144,'2015'!$I$24:$I$96,A144)+COUNTIFS('2016'!$L$24:$L$96,A144&amp;" / "&amp;B144,'2016'!$I$24:$I$96,A144)+COUNTIFS('2017'!$L$24:$L$106,A144&amp;" / "&amp;B144,'2017'!$I$24:$I$106,A144)+COUNTIFS('2018'!$L$24:$L$106,A144&amp;" / "&amp;B144,'2018'!$I$24:$I$106,A144)+COUNTIFS('2019'!$L$24:$L$106,A144&amp;" / "&amp;B144,'2019'!$I$24:$I$106,A144)+COUNTIFS('2020'!$L$24:$L$106,A144&amp;" / "&amp;B144,'2020'!$I$24:$I$106,A144)+COUNTIFS('2021'!$L$24:$L$112,A144&amp;" / "&amp;B144,'2021'!$I$24:$I$112,A144)+COUNTIFS('2022'!$L$24:$L$112,A144&amp;" / "&amp;B144,'2022'!$I$24:$I$112,A144)+COUNTIFS('2023'!$L$24:$L$112,A144&amp;" / "&amp;B144,'2023'!$I$24:$I$112,A144)+COUNTIFS('2024'!$L$24:$L$112,A144&amp;" / "&amp;B144,'2024'!$I$24:$I$112,A144)+COUNTIFS('2025'!$L$24:$L$112,A144&amp;" / "&amp;B144,'2025'!$I$24:$I$112,A144)</x:f>
        <x:v>0</x:v>
      </x:c>
      <x:c r="E144" s="2" t="n">
        <x:f>COUNTIFS('2015'!$L$24:$L$96,A144&amp;" / "&amp;B144,'2015'!$I$24:$I$96,B144)+COUNTIFS('2016'!$L$24:$L$96,A144&amp;" / "&amp;B144,'2016'!$I$24:$I$96,B144)+COUNTIFS('2017'!$L$24:$L$106,A144&amp;" / "&amp;B144,'2017'!$I$24:$I$106,B144)+COUNTIFS('2018'!$L$24:$L$106,A144&amp;" / "&amp;B144,'2018'!$I$24:$I$106,B144)+COUNTIFS('2019'!$L$24:$L$106,A144&amp;" / "&amp;B144,'2019'!$I$24:$I$106,B144)+COUNTIFS('2020'!$L$24:$L$106,A144&amp;" / "&amp;B144,'2020'!$I$24:$I$106,B144)+COUNTIFS('2021'!$L$24:$L$112,A144&amp;" / "&amp;B144,'2021'!$I$24:$I$112,B144)+COUNTIFS('2022'!$L$24:$L$112,A144&amp;" / "&amp;B144,'2022'!$I$24:$I$112,B144)+COUNTIFS('2023'!$L$24:$L$112,A144&amp;" / "&amp;B144,'2023'!$I$24:$I$112,B144)+COUNTIFS('2024'!$L$24:$L$112,A144&amp;" / "&amp;B144,'2024'!$I$24:$I$112,B144)+COUNTIFS('2025'!$L$24:$L$112,A144&amp;" / "&amp;B144,'2025'!$I$24:$I$112,B144)</x:f>
        <x:v>3</x:v>
      </x:c>
      <x:c r="F144" s="2" t="n">
        <x:f>COUNTIFS('2015'!$L$24:$L$96,A144&amp;" / "&amp;B144,'2015'!$K$24:$K$96,1)+COUNTIFS('2016'!$L$24:$L$96,A144&amp;" / "&amp;B144,'2016'!$K$24:$K$96,1)+COUNTIFS('2017'!$L$24:$L$106,A144&amp;" / "&amp;B144,'2017'!$K$24:$K$106,1)+COUNTIFS('2018'!$L$24:$L$106,A144&amp;" / "&amp;B144,'2018'!$K$24:$K$106,1)+COUNTIFS('2019'!$L$24:$L$106,A144&amp;" / "&amp;B144,'2019'!$K$24:$K$106,1)+COUNTIFS('2020'!$L$24:$L$106,A144&amp;" / "&amp;B144,'2020'!$K$24:$K$106,1)+COUNTIFS('2021'!$L$24:$L$112,A144&amp;" / "&amp;B144,'2021'!$K$24:$K$112,1)+COUNTIFS('2022'!$L$24:$L$112,A144&amp;" / "&amp;B144,'2022'!$K$24:$K$112,1)+COUNTIFS('2023'!$L$24:$L$112,A144&amp;" / "&amp;B144,'2023'!$K$24:$K$112,1)+COUNTIFS('2024'!$L$24:$L$112,A144&amp;" / "&amp;B144,'2024'!$K$24:$K$112,1)+COUNTIFS('2025'!$L$24:$L$112,A144&amp;" / "&amp;B144,'2025'!$K$24:$K$112,1)</x:f>
        <x:v>0</x:v>
      </x:c>
      <x:c r="G144" s="25" t="n">
        <x:f>SUMIFS('2015'!$E$24:$E$96,'2015'!$L$24:$L$96,A144&amp;" / "&amp;B144,'2015'!$C$24:$C$96,A144)+SUMIFS('2015'!$H$24:$H$96,'2015'!$L$24:$L$96,A144&amp;" / "&amp;B144,'2015'!$F$24:$F$96,A144)+SUMIFS('2016'!$E$24:$E$96,'2016'!$L$24:$L$96,A144&amp;" / "&amp;B144,'2016'!$C$24:$C$96,A144)+SUMIFS('2016'!$H$24:$H$96,'2016'!$L$24:$L$96,A144&amp;" / "&amp;B144,'2016'!$F$24:$F$96,A144)+SUMIFS('2017'!$E$24:$E$106,'2017'!$L$24:$L$106,A144&amp;" / "&amp;B144,'2017'!$C$24:$C$106,A144)+SUMIFS('2017'!$H$24:$H$106,'2017'!$L$24:$L$106,A144&amp;" / "&amp;B144,'2017'!$F$24:$F$106,A144)+SUMIFS('2018'!$E$24:$E$106,'2018'!$L$24:$L$106,A144&amp;" / "&amp;B144,'2018'!$C$24:$C$106,A144)+SUMIFS('2018'!$H$24:$H$106,'2018'!$L$24:$L$106,A144&amp;" / "&amp;B144,'2018'!$F$24:$F$106,A144)+SUMIFS('2019'!$E$24:$E$106,'2019'!$L$24:$L$106,A144&amp;" / "&amp;B144,'2019'!$C$24:$C$106,A144)+SUMIFS('2019'!$H$24:$H$106,'2019'!$L$24:$L$106,A144&amp;" / "&amp;B144,'2019'!$F$24:$F$106,A144)+SUMIFS('2020'!$E$24:$E$106,'2020'!$L$24:$L$106,A144&amp;" / "&amp;B144,'2020'!$C$24:$C$106,A144)+SUMIFS('2020'!$H$24:$H$106,'2020'!$L$24:$L$106,A144&amp;" / "&amp;B144,'2020'!$F$24:$F$106,A144)+SUMIFS('2021'!$E$24:$E$112,'2021'!$L$24:$L$112,A144&amp;" / "&amp;B144,'2021'!$C$24:$C$112,A144)+SUMIFS('2021'!$H$24:$H$112,'2021'!$L$24:$L$112,A144&amp;" / "&amp;B144,'2021'!$F$24:$F$112,A144)+SUMIFS('2022'!$E$24:$E$112,'2022'!$L$24:$L$112,A144&amp;" / "&amp;B144,'2022'!$C$24:$C$112,A144)+SUMIFS('2022'!$H$24:$H$112,'2022'!$L$24:$L$112,A144&amp;" / "&amp;B144,'2022'!$F$24:$F$112,A144)+SUMIFS('2023'!$E$24:$E$112,'2023'!$L$24:$L$112,A144&amp;" / "&amp;B144,'2023'!$C$24:$C$112,A144)+SUMIFS('2023'!$H$24:$H$112,'2023'!$L$24:$L$112,A144&amp;" / "&amp;B144,'2023'!$F$24:$F$112,A144)+SUMIFS('2024'!$E$24:$E$112,'2024'!$L$24:$L$112,A144&amp;" / "&amp;B144,'2024'!$C$24:$C$112,A144)+SUMIFS('2024'!$H$24:$H$112,'2024'!$L$24:$L$112,A144&amp;" / "&amp;B144,'2024'!$F$24:$F$112,A144)+SUMIFS('2025'!$E$24:$E$112,'2025'!$L$24:$L$112,A144&amp;" / "&amp;B144,'2025'!$C$24:$C$112,A144)+SUMIFS('2025'!$H$24:$H$112,'2025'!$L$24:$L$112,A144&amp;" / "&amp;B144,'2025'!$F$24:$F$112,A144)</x:f>
        <x:v>266</x:v>
      </x:c>
      <x:c r="H144" s="25" t="n">
        <x:f>SUMIFS('2015'!$E$24:$E$96,'2015'!$L$24:$L$96,A144&amp;" / "&amp;B144,'2015'!$C$24:$C$96,B144)+SUMIFS('2015'!$H$24:$H$96,'2015'!$L$24:$L$96,A144&amp;" / "&amp;B144,'2015'!$F$24:$F$96,B144)+SUMIFS('2016'!$E$24:$E$96,'2016'!$L$24:$L$96,A144&amp;" / "&amp;B144,'2016'!$C$24:$C$96,B144)+SUMIFS('2016'!$H$24:$H$96,'2016'!$L$24:$L$96,A144&amp;" / "&amp;B144,'2016'!$F$24:$F$96,B144)+SUMIFS('2017'!$E$24:$E$106,'2017'!$L$24:$L$106,A144&amp;" / "&amp;B144,'2017'!$C$24:$C$106,B144)+SUMIFS('2017'!$H$24:$H$106,'2017'!$L$24:$L$106,A144&amp;" / "&amp;B144,'2017'!$F$24:$F$106,B144)+SUMIFS('2018'!$E$24:$E$106,'2018'!$L$24:$L$106,A144&amp;" / "&amp;B144,'2018'!$C$24:$C$106,B144)+SUMIFS('2018'!$H$24:$H$106,'2018'!$L$24:$L$106,A144&amp;" / "&amp;B144,'2018'!$F$24:$F$106,B144)+SUMIFS('2019'!$E$24:$E$106,'2019'!$L$24:$L$106,A144&amp;" / "&amp;B144,'2019'!$C$24:$C$106,B144)+SUMIFS('2019'!$H$24:$H$106,'2019'!$L$24:$L$106,A144&amp;" / "&amp;B144,'2019'!$F$24:$F$106,B144)+SUMIFS('2020'!$E$24:$E$106,'2020'!$L$24:$L$106,A144&amp;" / "&amp;B144,'2020'!$C$24:$C$106,B144)+SUMIFS('2020'!$H$24:$H$106,'2020'!$L$24:$L$106,A144&amp;" / "&amp;B144,'2020'!$F$24:$F$106,B144)+SUMIFS('2021'!$E$24:$E$112,'2021'!$L$24:$L$112,A144&amp;" / "&amp;B144,'2021'!$C$24:$C$112,B144)+SUMIFS('2021'!$H$24:$H$112,'2021'!$L$24:$L$112,A144&amp;" / "&amp;B144,'2021'!$F$24:$F$112,B144)+SUMIFS('2022'!$E$24:$E$112,'2022'!$L$24:$L$112,A144&amp;" / "&amp;B144,'2022'!$C$24:$C$112,B144)+SUMIFS('2022'!$H$24:$H$112,'2022'!$L$24:$L$112,A144&amp;" / "&amp;B144,'2022'!$F$24:$F$112,B144)+SUMIFS('2023'!$E$24:$E$112,'2023'!$L$24:$L$112,A144&amp;" / "&amp;B144,'2023'!$C$24:$C$112,B144)+SUMIFS('2023'!$H$24:$H$112,'2023'!$L$24:$L$112,A144&amp;" / "&amp;B144,'2023'!$F$24:$F$112,B144)+SUMIFS('2024'!$E$24:$E$112,'2024'!$L$24:$L$112,A144&amp;" / "&amp;B144,'2024'!$C$24:$C$112,B144)+SUMIFS('2024'!$H$24:$H$112,'2024'!$L$24:$L$112,A144&amp;" / "&amp;B144,'2024'!$F$24:$F$112,B144)+SUMIFS('2025'!$E$24:$E$112,'2025'!$L$24:$L$112,A144&amp;" / "&amp;B144,'2025'!$C$24:$C$112,B144)+SUMIFS('2025'!$H$24:$H$112,'2025'!$L$24:$L$112,A144&amp;" / "&amp;B144,'2025'!$F$24:$F$112,B144)</x:f>
        <x:v>319</x:v>
      </x:c>
      <x:c r="I144" s="11" t="n">
        <x:f>IF(C144=0,0,(D144+0.5*F144)/C144)</x:f>
        <x:v>0</x:v>
      </x:c>
      <x:c r="J144" s="2" t="n">
        <x:f>COUNTIFS('2015'!$L$24:$L$96,A144&amp;" / "&amp;B144,'2015'!$B$24:$B$96,"Regular")+COUNTIFS('2016'!$L$24:$L$96,A144&amp;" / "&amp;B144,'2016'!$B$24:$B$96,"Regular")+COUNTIFS('2017'!$L$24:$L$106,A144&amp;" / "&amp;B144,'2017'!$B$24:$B$106,"Regular")+COUNTIFS('2018'!$L$24:$L$106,A144&amp;" / "&amp;B144,'2018'!$B$24:$B$106,"Regular")+COUNTIFS('2019'!$L$24:$L$106,A144&amp;" / "&amp;B144,'2019'!$B$24:$B$106,"Regular")+COUNTIFS('2020'!$L$24:$L$106,A144&amp;" / "&amp;B144,'2020'!$B$24:$B$106,"Regular")+COUNTIFS('2021'!$L$24:$L$112,A144&amp;" / "&amp;B144,'2021'!$B$24:$B$112,"Regular")+COUNTIFS('2022'!$L$24:$L$112,A144&amp;" / "&amp;B144,'2022'!$B$24:$B$112,"Regular")+COUNTIFS('2023'!$L$24:$L$112,A144&amp;" / "&amp;B144,'2023'!$B$24:$B$112,"Regular")+COUNTIFS('2024'!$L$24:$L$112,A144&amp;" / "&amp;B144,'2024'!$B$24:$B$112,"Regular")+COUNTIFS('2025'!$L$24:$L$112,A144&amp;" / "&amp;B144,'2025'!$B$24:$B$112,"Regular")</x:f>
        <x:v>3</x:v>
      </x:c>
      <x:c r="K144" s="2" t="n">
        <x:f>COUNTIFS('2015'!$L$24:$L$96,A144&amp;" / "&amp;B144,'2015'!$B$24:$B$96,"Playoffs")+COUNTIFS('2016'!$L$24:$L$96,A144&amp;" / "&amp;B144,'2016'!$B$24:$B$96,"Playoffs")+COUNTIFS('2017'!$L$24:$L$106,A144&amp;" / "&amp;B144,'2017'!$B$24:$B$106,"Playoffs")+COUNTIFS('2018'!$L$24:$L$106,A144&amp;" / "&amp;B144,'2018'!$B$24:$B$106,"Playoffs")+COUNTIFS('2019'!$L$24:$L$106,A144&amp;" / "&amp;B144,'2019'!$B$24:$B$106,"Playoffs")+COUNTIFS('2020'!$L$24:$L$106,A144&amp;" / "&amp;B144,'2020'!$B$24:$B$106,"Playoffs")+COUNTIFS('2021'!$L$24:$L$112,A144&amp;" / "&amp;B144,'2021'!$B$24:$B$112,"Playoffs")+COUNTIFS('2022'!$L$24:$L$112,A144&amp;" / "&amp;B144,'2022'!$B$24:$B$112,"Playoffs")+COUNTIFS('2023'!$L$24:$L$112,A144&amp;" / "&amp;B144,'2023'!$B$24:$B$112,"Playoffs")+COUNTIFS('2024'!$L$24:$L$112,A144&amp;" / "&amp;B144,'2024'!$B$24:$B$112,"Playoffs")+COUNTIFS('2025'!$L$24:$L$112,A144&amp;" / "&amp;B144,'2025'!$B$24:$B$112,"Playoffs")</x:f>
        <x:v>0</x:v>
      </x:c>
      <x:c r="L144" s="2" t="n">
        <x:f>COUNTIFS('2015'!$L$24:$L$96,A144&amp;" / "&amp;B144,'2015'!$B$24:$B$96,"Unconfirmed")+COUNTIFS('2016'!$L$24:$L$96,A144&amp;" / "&amp;B144,'2016'!$B$24:$B$96,"Unconfirmed")+COUNTIFS('2017'!$L$24:$L$106,A144&amp;" / "&amp;B144,'2017'!$B$24:$B$106,"Unconfirmed")+COUNTIFS('2018'!$L$24:$L$106,A144&amp;" / "&amp;B144,'2018'!$B$24:$B$106,"Unconfirmed")+COUNTIFS('2019'!$L$24:$L$106,A144&amp;" / "&amp;B144,'2019'!$B$24:$B$106,"Unconfirmed")+COUNTIFS('2020'!$L$24:$L$106,A144&amp;" / "&amp;B144,'2020'!$B$24:$B$106,"Unconfirmed")+COUNTIFS('2021'!$L$24:$L$112,A144&amp;" / "&amp;B144,'2021'!$B$24:$B$112,"Unconfirmed")+COUNTIFS('2022'!$L$24:$L$112,A144&amp;" / "&amp;B144,'2022'!$B$24:$B$112,"Unconfirmed")+COUNTIFS('2023'!$L$24:$L$112,A144&amp;" / "&amp;B144,'2023'!$B$24:$B$112,"Unconfirmed")+COUNTIFS('2024'!$L$24:$L$112,A144&amp;" / "&amp;B144,'2024'!$B$24:$B$112,"Unconfirmed")+COUNTIFS('2025'!$L$24:$L$112,A144&amp;" / "&amp;B144,'2025'!$B$24:$B$112,"Unconfirmed")</x:f>
        <x:v>0</x:v>
      </x:c>
    </x:row>
    <x:row r="145" ht="22" customHeight="1">
      <x:c r="A145" s="2" t="str">
        <x:v>Mark</x:v>
      </x:c>
      <x:c r="B145" s="2" t="str">
        <x:v>Troy</x:v>
      </x:c>
      <x:c r="C145" s="2" t="n">
        <x:f>COUNTIFS('2015'!$L$24:$L$96,A145&amp;" / "&amp;B145)+COUNTIFS('2016'!$L$24:$L$96,A145&amp;" / "&amp;B145)+COUNTIFS('2017'!$L$24:$L$106,A145&amp;" / "&amp;B145)+COUNTIFS('2018'!$L$24:$L$106,A145&amp;" / "&amp;B145)+COUNTIFS('2019'!$L$24:$L$106,A145&amp;" / "&amp;B145)+COUNTIFS('2020'!$L$24:$L$106,A145&amp;" / "&amp;B145)+COUNTIFS('2021'!$L$24:$L$112,A145&amp;" / "&amp;B145)+COUNTIFS('2022'!$L$24:$L$112,A145&amp;" / "&amp;B145)+COUNTIFS('2023'!$L$24:$L$112,A145&amp;" / "&amp;B145)+COUNTIFS('2024'!$L$24:$L$112,A145&amp;" / "&amp;B145)+COUNTIFS('2025'!$L$24:$L$112,A145&amp;" / "&amp;B145)</x:f>
        <x:v>1</x:v>
      </x:c>
      <x:c r="D145" s="2" t="n">
        <x:f>COUNTIFS('2015'!$L$24:$L$96,A145&amp;" / "&amp;B145,'2015'!$I$24:$I$96,A145)+COUNTIFS('2016'!$L$24:$L$96,A145&amp;" / "&amp;B145,'2016'!$I$24:$I$96,A145)+COUNTIFS('2017'!$L$24:$L$106,A145&amp;" / "&amp;B145,'2017'!$I$24:$I$106,A145)+COUNTIFS('2018'!$L$24:$L$106,A145&amp;" / "&amp;B145,'2018'!$I$24:$I$106,A145)+COUNTIFS('2019'!$L$24:$L$106,A145&amp;" / "&amp;B145,'2019'!$I$24:$I$106,A145)+COUNTIFS('2020'!$L$24:$L$106,A145&amp;" / "&amp;B145,'2020'!$I$24:$I$106,A145)+COUNTIFS('2021'!$L$24:$L$112,A145&amp;" / "&amp;B145,'2021'!$I$24:$I$112,A145)+COUNTIFS('2022'!$L$24:$L$112,A145&amp;" / "&amp;B145,'2022'!$I$24:$I$112,A145)+COUNTIFS('2023'!$L$24:$L$112,A145&amp;" / "&amp;B145,'2023'!$I$24:$I$112,A145)+COUNTIFS('2024'!$L$24:$L$112,A145&amp;" / "&amp;B145,'2024'!$I$24:$I$112,A145)+COUNTIFS('2025'!$L$24:$L$112,A145&amp;" / "&amp;B145,'2025'!$I$24:$I$112,A145)</x:f>
        <x:v>1</x:v>
      </x:c>
      <x:c r="E145" s="2" t="n">
        <x:f>COUNTIFS('2015'!$L$24:$L$96,A145&amp;" / "&amp;B145,'2015'!$I$24:$I$96,B145)+COUNTIFS('2016'!$L$24:$L$96,A145&amp;" / "&amp;B145,'2016'!$I$24:$I$96,B145)+COUNTIFS('2017'!$L$24:$L$106,A145&amp;" / "&amp;B145,'2017'!$I$24:$I$106,B145)+COUNTIFS('2018'!$L$24:$L$106,A145&amp;" / "&amp;B145,'2018'!$I$24:$I$106,B145)+COUNTIFS('2019'!$L$24:$L$106,A145&amp;" / "&amp;B145,'2019'!$I$24:$I$106,B145)+COUNTIFS('2020'!$L$24:$L$106,A145&amp;" / "&amp;B145,'2020'!$I$24:$I$106,B145)+COUNTIFS('2021'!$L$24:$L$112,A145&amp;" / "&amp;B145,'2021'!$I$24:$I$112,B145)+COUNTIFS('2022'!$L$24:$L$112,A145&amp;" / "&amp;B145,'2022'!$I$24:$I$112,B145)+COUNTIFS('2023'!$L$24:$L$112,A145&amp;" / "&amp;B145,'2023'!$I$24:$I$112,B145)+COUNTIFS('2024'!$L$24:$L$112,A145&amp;" / "&amp;B145,'2024'!$I$24:$I$112,B145)+COUNTIFS('2025'!$L$24:$L$112,A145&amp;" / "&amp;B145,'2025'!$I$24:$I$112,B145)</x:f>
        <x:v>0</x:v>
      </x:c>
      <x:c r="F145" s="2" t="n">
        <x:f>COUNTIFS('2015'!$L$24:$L$96,A145&amp;" / "&amp;B145,'2015'!$K$24:$K$96,1)+COUNTIFS('2016'!$L$24:$L$96,A145&amp;" / "&amp;B145,'2016'!$K$24:$K$96,1)+COUNTIFS('2017'!$L$24:$L$106,A145&amp;" / "&amp;B145,'2017'!$K$24:$K$106,1)+COUNTIFS('2018'!$L$24:$L$106,A145&amp;" / "&amp;B145,'2018'!$K$24:$K$106,1)+COUNTIFS('2019'!$L$24:$L$106,A145&amp;" / "&amp;B145,'2019'!$K$24:$K$106,1)+COUNTIFS('2020'!$L$24:$L$106,A145&amp;" / "&amp;B145,'2020'!$K$24:$K$106,1)+COUNTIFS('2021'!$L$24:$L$112,A145&amp;" / "&amp;B145,'2021'!$K$24:$K$112,1)+COUNTIFS('2022'!$L$24:$L$112,A145&amp;" / "&amp;B145,'2022'!$K$24:$K$112,1)+COUNTIFS('2023'!$L$24:$L$112,A145&amp;" / "&amp;B145,'2023'!$K$24:$K$112,1)+COUNTIFS('2024'!$L$24:$L$112,A145&amp;" / "&amp;B145,'2024'!$K$24:$K$112,1)+COUNTIFS('2025'!$L$24:$L$112,A145&amp;" / "&amp;B145,'2025'!$K$24:$K$112,1)</x:f>
        <x:v>0</x:v>
      </x:c>
      <x:c r="G145" s="25" t="n">
        <x:f>SUMIFS('2015'!$E$24:$E$96,'2015'!$L$24:$L$96,A145&amp;" / "&amp;B145,'2015'!$C$24:$C$96,A145)+SUMIFS('2015'!$H$24:$H$96,'2015'!$L$24:$L$96,A145&amp;" / "&amp;B145,'2015'!$F$24:$F$96,A145)+SUMIFS('2016'!$E$24:$E$96,'2016'!$L$24:$L$96,A145&amp;" / "&amp;B145,'2016'!$C$24:$C$96,A145)+SUMIFS('2016'!$H$24:$H$96,'2016'!$L$24:$L$96,A145&amp;" / "&amp;B145,'2016'!$F$24:$F$96,A145)+SUMIFS('2017'!$E$24:$E$106,'2017'!$L$24:$L$106,A145&amp;" / "&amp;B145,'2017'!$C$24:$C$106,A145)+SUMIFS('2017'!$H$24:$H$106,'2017'!$L$24:$L$106,A145&amp;" / "&amp;B145,'2017'!$F$24:$F$106,A145)+SUMIFS('2018'!$E$24:$E$106,'2018'!$L$24:$L$106,A145&amp;" / "&amp;B145,'2018'!$C$24:$C$106,A145)+SUMIFS('2018'!$H$24:$H$106,'2018'!$L$24:$L$106,A145&amp;" / "&amp;B145,'2018'!$F$24:$F$106,A145)+SUMIFS('2019'!$E$24:$E$106,'2019'!$L$24:$L$106,A145&amp;" / "&amp;B145,'2019'!$C$24:$C$106,A145)+SUMIFS('2019'!$H$24:$H$106,'2019'!$L$24:$L$106,A145&amp;" / "&amp;B145,'2019'!$F$24:$F$106,A145)+SUMIFS('2020'!$E$24:$E$106,'2020'!$L$24:$L$106,A145&amp;" / "&amp;B145,'2020'!$C$24:$C$106,A145)+SUMIFS('2020'!$H$24:$H$106,'2020'!$L$24:$L$106,A145&amp;" / "&amp;B145,'2020'!$F$24:$F$106,A145)+SUMIFS('2021'!$E$24:$E$112,'2021'!$L$24:$L$112,A145&amp;" / "&amp;B145,'2021'!$C$24:$C$112,A145)+SUMIFS('2021'!$H$24:$H$112,'2021'!$L$24:$L$112,A145&amp;" / "&amp;B145,'2021'!$F$24:$F$112,A145)+SUMIFS('2022'!$E$24:$E$112,'2022'!$L$24:$L$112,A145&amp;" / "&amp;B145,'2022'!$C$24:$C$112,A145)+SUMIFS('2022'!$H$24:$H$112,'2022'!$L$24:$L$112,A145&amp;" / "&amp;B145,'2022'!$F$24:$F$112,A145)+SUMIFS('2023'!$E$24:$E$112,'2023'!$L$24:$L$112,A145&amp;" / "&amp;B145,'2023'!$C$24:$C$112,A145)+SUMIFS('2023'!$H$24:$H$112,'2023'!$L$24:$L$112,A145&amp;" / "&amp;B145,'2023'!$F$24:$F$112,A145)+SUMIFS('2024'!$E$24:$E$112,'2024'!$L$24:$L$112,A145&amp;" / "&amp;B145,'2024'!$C$24:$C$112,A145)+SUMIFS('2024'!$H$24:$H$112,'2024'!$L$24:$L$112,A145&amp;" / "&amp;B145,'2024'!$F$24:$F$112,A145)+SUMIFS('2025'!$E$24:$E$112,'2025'!$L$24:$L$112,A145&amp;" / "&amp;B145,'2025'!$C$24:$C$112,A145)+SUMIFS('2025'!$H$24:$H$112,'2025'!$L$24:$L$112,A145&amp;" / "&amp;B145,'2025'!$F$24:$F$112,A145)</x:f>
        <x:v>112</x:v>
      </x:c>
      <x:c r="H145" s="25" t="n">
        <x:f>SUMIFS('2015'!$E$24:$E$96,'2015'!$L$24:$L$96,A145&amp;" / "&amp;B145,'2015'!$C$24:$C$96,B145)+SUMIFS('2015'!$H$24:$H$96,'2015'!$L$24:$L$96,A145&amp;" / "&amp;B145,'2015'!$F$24:$F$96,B145)+SUMIFS('2016'!$E$24:$E$96,'2016'!$L$24:$L$96,A145&amp;" / "&amp;B145,'2016'!$C$24:$C$96,B145)+SUMIFS('2016'!$H$24:$H$96,'2016'!$L$24:$L$96,A145&amp;" / "&amp;B145,'2016'!$F$24:$F$96,B145)+SUMIFS('2017'!$E$24:$E$106,'2017'!$L$24:$L$106,A145&amp;" / "&amp;B145,'2017'!$C$24:$C$106,B145)+SUMIFS('2017'!$H$24:$H$106,'2017'!$L$24:$L$106,A145&amp;" / "&amp;B145,'2017'!$F$24:$F$106,B145)+SUMIFS('2018'!$E$24:$E$106,'2018'!$L$24:$L$106,A145&amp;" / "&amp;B145,'2018'!$C$24:$C$106,B145)+SUMIFS('2018'!$H$24:$H$106,'2018'!$L$24:$L$106,A145&amp;" / "&amp;B145,'2018'!$F$24:$F$106,B145)+SUMIFS('2019'!$E$24:$E$106,'2019'!$L$24:$L$106,A145&amp;" / "&amp;B145,'2019'!$C$24:$C$106,B145)+SUMIFS('2019'!$H$24:$H$106,'2019'!$L$24:$L$106,A145&amp;" / "&amp;B145,'2019'!$F$24:$F$106,B145)+SUMIFS('2020'!$E$24:$E$106,'2020'!$L$24:$L$106,A145&amp;" / "&amp;B145,'2020'!$C$24:$C$106,B145)+SUMIFS('2020'!$H$24:$H$106,'2020'!$L$24:$L$106,A145&amp;" / "&amp;B145,'2020'!$F$24:$F$106,B145)+SUMIFS('2021'!$E$24:$E$112,'2021'!$L$24:$L$112,A145&amp;" / "&amp;B145,'2021'!$C$24:$C$112,B145)+SUMIFS('2021'!$H$24:$H$112,'2021'!$L$24:$L$112,A145&amp;" / "&amp;B145,'2021'!$F$24:$F$112,B145)+SUMIFS('2022'!$E$24:$E$112,'2022'!$L$24:$L$112,A145&amp;" / "&amp;B145,'2022'!$C$24:$C$112,B145)+SUMIFS('2022'!$H$24:$H$112,'2022'!$L$24:$L$112,A145&amp;" / "&amp;B145,'2022'!$F$24:$F$112,B145)+SUMIFS('2023'!$E$24:$E$112,'2023'!$L$24:$L$112,A145&amp;" / "&amp;B145,'2023'!$C$24:$C$112,B145)+SUMIFS('2023'!$H$24:$H$112,'2023'!$L$24:$L$112,A145&amp;" / "&amp;B145,'2023'!$F$24:$F$112,B145)+SUMIFS('2024'!$E$24:$E$112,'2024'!$L$24:$L$112,A145&amp;" / "&amp;B145,'2024'!$C$24:$C$112,B145)+SUMIFS('2024'!$H$24:$H$112,'2024'!$L$24:$L$112,A145&amp;" / "&amp;B145,'2024'!$F$24:$F$112,B145)+SUMIFS('2025'!$E$24:$E$112,'2025'!$L$24:$L$112,A145&amp;" / "&amp;B145,'2025'!$C$24:$C$112,B145)+SUMIFS('2025'!$H$24:$H$112,'2025'!$L$24:$L$112,A145&amp;" / "&amp;B145,'2025'!$F$24:$F$112,B145)</x:f>
        <x:v>101</x:v>
      </x:c>
      <x:c r="I145" s="11" t="n">
        <x:f>IF(C145=0,0,(D145+0.5*F145)/C145)</x:f>
        <x:v>1</x:v>
      </x:c>
      <x:c r="J145" s="2" t="n">
        <x:f>COUNTIFS('2015'!$L$24:$L$96,A145&amp;" / "&amp;B145,'2015'!$B$24:$B$96,"Regular")+COUNTIFS('2016'!$L$24:$L$96,A145&amp;" / "&amp;B145,'2016'!$B$24:$B$96,"Regular")+COUNTIFS('2017'!$L$24:$L$106,A145&amp;" / "&amp;B145,'2017'!$B$24:$B$106,"Regular")+COUNTIFS('2018'!$L$24:$L$106,A145&amp;" / "&amp;B145,'2018'!$B$24:$B$106,"Regular")+COUNTIFS('2019'!$L$24:$L$106,A145&amp;" / "&amp;B145,'2019'!$B$24:$B$106,"Regular")+COUNTIFS('2020'!$L$24:$L$106,A145&amp;" / "&amp;B145,'2020'!$B$24:$B$106,"Regular")+COUNTIFS('2021'!$L$24:$L$112,A145&amp;" / "&amp;B145,'2021'!$B$24:$B$112,"Regular")+COUNTIFS('2022'!$L$24:$L$112,A145&amp;" / "&amp;B145,'2022'!$B$24:$B$112,"Regular")+COUNTIFS('2023'!$L$24:$L$112,A145&amp;" / "&amp;B145,'2023'!$B$24:$B$112,"Regular")+COUNTIFS('2024'!$L$24:$L$112,A145&amp;" / "&amp;B145,'2024'!$B$24:$B$112,"Regular")+COUNTIFS('2025'!$L$24:$L$112,A145&amp;" / "&amp;B145,'2025'!$B$24:$B$112,"Regular")</x:f>
        <x:v>1</x:v>
      </x:c>
      <x:c r="K145" s="2" t="n">
        <x:f>COUNTIFS('2015'!$L$24:$L$96,A145&amp;" / "&amp;B145,'2015'!$B$24:$B$96,"Playoffs")+COUNTIFS('2016'!$L$24:$L$96,A145&amp;" / "&amp;B145,'2016'!$B$24:$B$96,"Playoffs")+COUNTIFS('2017'!$L$24:$L$106,A145&amp;" / "&amp;B145,'2017'!$B$24:$B$106,"Playoffs")+COUNTIFS('2018'!$L$24:$L$106,A145&amp;" / "&amp;B145,'2018'!$B$24:$B$106,"Playoffs")+COUNTIFS('2019'!$L$24:$L$106,A145&amp;" / "&amp;B145,'2019'!$B$24:$B$106,"Playoffs")+COUNTIFS('2020'!$L$24:$L$106,A145&amp;" / "&amp;B145,'2020'!$B$24:$B$106,"Playoffs")+COUNTIFS('2021'!$L$24:$L$112,A145&amp;" / "&amp;B145,'2021'!$B$24:$B$112,"Playoffs")+COUNTIFS('2022'!$L$24:$L$112,A145&amp;" / "&amp;B145,'2022'!$B$24:$B$112,"Playoffs")+COUNTIFS('2023'!$L$24:$L$112,A145&amp;" / "&amp;B145,'2023'!$B$24:$B$112,"Playoffs")+COUNTIFS('2024'!$L$24:$L$112,A145&amp;" / "&amp;B145,'2024'!$B$24:$B$112,"Playoffs")+COUNTIFS('2025'!$L$24:$L$112,A145&amp;" / "&amp;B145,'2025'!$B$24:$B$112,"Playoffs")</x:f>
        <x:v>0</x:v>
      </x:c>
      <x:c r="L145" s="2" t="n">
        <x:f>COUNTIFS('2015'!$L$24:$L$96,A145&amp;" / "&amp;B145,'2015'!$B$24:$B$96,"Unconfirmed")+COUNTIFS('2016'!$L$24:$L$96,A145&amp;" / "&amp;B145,'2016'!$B$24:$B$96,"Unconfirmed")+COUNTIFS('2017'!$L$24:$L$106,A145&amp;" / "&amp;B145,'2017'!$B$24:$B$106,"Unconfirmed")+COUNTIFS('2018'!$L$24:$L$106,A145&amp;" / "&amp;B145,'2018'!$B$24:$B$106,"Unconfirmed")+COUNTIFS('2019'!$L$24:$L$106,A145&amp;" / "&amp;B145,'2019'!$B$24:$B$106,"Unconfirmed")+COUNTIFS('2020'!$L$24:$L$106,A145&amp;" / "&amp;B145,'2020'!$B$24:$B$106,"Unconfirmed")+COUNTIFS('2021'!$L$24:$L$112,A145&amp;" / "&amp;B145,'2021'!$B$24:$B$112,"Unconfirmed")+COUNTIFS('2022'!$L$24:$L$112,A145&amp;" / "&amp;B145,'2022'!$B$24:$B$112,"Unconfirmed")+COUNTIFS('2023'!$L$24:$L$112,A145&amp;" / "&amp;B145,'2023'!$B$24:$B$112,"Unconfirmed")+COUNTIFS('2024'!$L$24:$L$112,A145&amp;" / "&amp;B145,'2024'!$B$24:$B$112,"Unconfirmed")+COUNTIFS('2025'!$L$24:$L$112,A145&amp;" / "&amp;B145,'2025'!$B$24:$B$112,"Unconfirmed")</x:f>
        <x:v>0</x:v>
      </x:c>
    </x:row>
    <x:row r="146" ht="22" customHeight="1">
      <x:c r="A146" s="2" t="str">
        <x:v>Matt</x:v>
      </x:c>
      <x:c r="B146" s="2" t="str">
        <x:v>Michael</x:v>
      </x:c>
      <x:c r="C146" s="2" t="n">
        <x:f>COUNTIFS('2015'!$L$24:$L$96,A146&amp;" / "&amp;B146)+COUNTIFS('2016'!$L$24:$L$96,A146&amp;" / "&amp;B146)+COUNTIFS('2017'!$L$24:$L$106,A146&amp;" / "&amp;B146)+COUNTIFS('2018'!$L$24:$L$106,A146&amp;" / "&amp;B146)+COUNTIFS('2019'!$L$24:$L$106,A146&amp;" / "&amp;B146)+COUNTIFS('2020'!$L$24:$L$106,A146&amp;" / "&amp;B146)+COUNTIFS('2021'!$L$24:$L$112,A146&amp;" / "&amp;B146)+COUNTIFS('2022'!$L$24:$L$112,A146&amp;" / "&amp;B146)+COUNTIFS('2023'!$L$24:$L$112,A146&amp;" / "&amp;B146)+COUNTIFS('2024'!$L$24:$L$112,A146&amp;" / "&amp;B146)+COUNTIFS('2025'!$L$24:$L$112,A146&amp;" / "&amp;B146)</x:f>
        <x:v>4</x:v>
      </x:c>
      <x:c r="D146" s="2" t="n">
        <x:f>COUNTIFS('2015'!$L$24:$L$96,A146&amp;" / "&amp;B146,'2015'!$I$24:$I$96,A146)+COUNTIFS('2016'!$L$24:$L$96,A146&amp;" / "&amp;B146,'2016'!$I$24:$I$96,A146)+COUNTIFS('2017'!$L$24:$L$106,A146&amp;" / "&amp;B146,'2017'!$I$24:$I$106,A146)+COUNTIFS('2018'!$L$24:$L$106,A146&amp;" / "&amp;B146,'2018'!$I$24:$I$106,A146)+COUNTIFS('2019'!$L$24:$L$106,A146&amp;" / "&amp;B146,'2019'!$I$24:$I$106,A146)+COUNTIFS('2020'!$L$24:$L$106,A146&amp;" / "&amp;B146,'2020'!$I$24:$I$106,A146)+COUNTIFS('2021'!$L$24:$L$112,A146&amp;" / "&amp;B146,'2021'!$I$24:$I$112,A146)+COUNTIFS('2022'!$L$24:$L$112,A146&amp;" / "&amp;B146,'2022'!$I$24:$I$112,A146)+COUNTIFS('2023'!$L$24:$L$112,A146&amp;" / "&amp;B146,'2023'!$I$24:$I$112,A146)+COUNTIFS('2024'!$L$24:$L$112,A146&amp;" / "&amp;B146,'2024'!$I$24:$I$112,A146)+COUNTIFS('2025'!$L$24:$L$112,A146&amp;" / "&amp;B146,'2025'!$I$24:$I$112,A146)</x:f>
        <x:v>2</x:v>
      </x:c>
      <x:c r="E146" s="2" t="n">
        <x:f>COUNTIFS('2015'!$L$24:$L$96,A146&amp;" / "&amp;B146,'2015'!$I$24:$I$96,B146)+COUNTIFS('2016'!$L$24:$L$96,A146&amp;" / "&amp;B146,'2016'!$I$24:$I$96,B146)+COUNTIFS('2017'!$L$24:$L$106,A146&amp;" / "&amp;B146,'2017'!$I$24:$I$106,B146)+COUNTIFS('2018'!$L$24:$L$106,A146&amp;" / "&amp;B146,'2018'!$I$24:$I$106,B146)+COUNTIFS('2019'!$L$24:$L$106,A146&amp;" / "&amp;B146,'2019'!$I$24:$I$106,B146)+COUNTIFS('2020'!$L$24:$L$106,A146&amp;" / "&amp;B146,'2020'!$I$24:$I$106,B146)+COUNTIFS('2021'!$L$24:$L$112,A146&amp;" / "&amp;B146,'2021'!$I$24:$I$112,B146)+COUNTIFS('2022'!$L$24:$L$112,A146&amp;" / "&amp;B146,'2022'!$I$24:$I$112,B146)+COUNTIFS('2023'!$L$24:$L$112,A146&amp;" / "&amp;B146,'2023'!$I$24:$I$112,B146)+COUNTIFS('2024'!$L$24:$L$112,A146&amp;" / "&amp;B146,'2024'!$I$24:$I$112,B146)+COUNTIFS('2025'!$L$24:$L$112,A146&amp;" / "&amp;B146,'2025'!$I$24:$I$112,B146)</x:f>
        <x:v>2</x:v>
      </x:c>
      <x:c r="F146" s="2" t="n">
        <x:f>COUNTIFS('2015'!$L$24:$L$96,A146&amp;" / "&amp;B146,'2015'!$K$24:$K$96,1)+COUNTIFS('2016'!$L$24:$L$96,A146&amp;" / "&amp;B146,'2016'!$K$24:$K$96,1)+COUNTIFS('2017'!$L$24:$L$106,A146&amp;" / "&amp;B146,'2017'!$K$24:$K$106,1)+COUNTIFS('2018'!$L$24:$L$106,A146&amp;" / "&amp;B146,'2018'!$K$24:$K$106,1)+COUNTIFS('2019'!$L$24:$L$106,A146&amp;" / "&amp;B146,'2019'!$K$24:$K$106,1)+COUNTIFS('2020'!$L$24:$L$106,A146&amp;" / "&amp;B146,'2020'!$K$24:$K$106,1)+COUNTIFS('2021'!$L$24:$L$112,A146&amp;" / "&amp;B146,'2021'!$K$24:$K$112,1)+COUNTIFS('2022'!$L$24:$L$112,A146&amp;" / "&amp;B146,'2022'!$K$24:$K$112,1)+COUNTIFS('2023'!$L$24:$L$112,A146&amp;" / "&amp;B146,'2023'!$K$24:$K$112,1)+COUNTIFS('2024'!$L$24:$L$112,A146&amp;" / "&amp;B146,'2024'!$K$24:$K$112,1)+COUNTIFS('2025'!$L$24:$L$112,A146&amp;" / "&amp;B146,'2025'!$K$24:$K$112,1)</x:f>
        <x:v>0</x:v>
      </x:c>
      <x:c r="G146" s="25" t="n">
        <x:f>SUMIFS('2015'!$E$24:$E$96,'2015'!$L$24:$L$96,A146&amp;" / "&amp;B146,'2015'!$C$24:$C$96,A146)+SUMIFS('2015'!$H$24:$H$96,'2015'!$L$24:$L$96,A146&amp;" / "&amp;B146,'2015'!$F$24:$F$96,A146)+SUMIFS('2016'!$E$24:$E$96,'2016'!$L$24:$L$96,A146&amp;" / "&amp;B146,'2016'!$C$24:$C$96,A146)+SUMIFS('2016'!$H$24:$H$96,'2016'!$L$24:$L$96,A146&amp;" / "&amp;B146,'2016'!$F$24:$F$96,A146)+SUMIFS('2017'!$E$24:$E$106,'2017'!$L$24:$L$106,A146&amp;" / "&amp;B146,'2017'!$C$24:$C$106,A146)+SUMIFS('2017'!$H$24:$H$106,'2017'!$L$24:$L$106,A146&amp;" / "&amp;B146,'2017'!$F$24:$F$106,A146)+SUMIFS('2018'!$E$24:$E$106,'2018'!$L$24:$L$106,A146&amp;" / "&amp;B146,'2018'!$C$24:$C$106,A146)+SUMIFS('2018'!$H$24:$H$106,'2018'!$L$24:$L$106,A146&amp;" / "&amp;B146,'2018'!$F$24:$F$106,A146)+SUMIFS('2019'!$E$24:$E$106,'2019'!$L$24:$L$106,A146&amp;" / "&amp;B146,'2019'!$C$24:$C$106,A146)+SUMIFS('2019'!$H$24:$H$106,'2019'!$L$24:$L$106,A146&amp;" / "&amp;B146,'2019'!$F$24:$F$106,A146)+SUMIFS('2020'!$E$24:$E$106,'2020'!$L$24:$L$106,A146&amp;" / "&amp;B146,'2020'!$C$24:$C$106,A146)+SUMIFS('2020'!$H$24:$H$106,'2020'!$L$24:$L$106,A146&amp;" / "&amp;B146,'2020'!$F$24:$F$106,A146)+SUMIFS('2021'!$E$24:$E$112,'2021'!$L$24:$L$112,A146&amp;" / "&amp;B146,'2021'!$C$24:$C$112,A146)+SUMIFS('2021'!$H$24:$H$112,'2021'!$L$24:$L$112,A146&amp;" / "&amp;B146,'2021'!$F$24:$F$112,A146)+SUMIFS('2022'!$E$24:$E$112,'2022'!$L$24:$L$112,A146&amp;" / "&amp;B146,'2022'!$C$24:$C$112,A146)+SUMIFS('2022'!$H$24:$H$112,'2022'!$L$24:$L$112,A146&amp;" / "&amp;B146,'2022'!$F$24:$F$112,A146)+SUMIFS('2023'!$E$24:$E$112,'2023'!$L$24:$L$112,A146&amp;" / "&amp;B146,'2023'!$C$24:$C$112,A146)+SUMIFS('2023'!$H$24:$H$112,'2023'!$L$24:$L$112,A146&amp;" / "&amp;B146,'2023'!$F$24:$F$112,A146)+SUMIFS('2024'!$E$24:$E$112,'2024'!$L$24:$L$112,A146&amp;" / "&amp;B146,'2024'!$C$24:$C$112,A146)+SUMIFS('2024'!$H$24:$H$112,'2024'!$L$24:$L$112,A146&amp;" / "&amp;B146,'2024'!$F$24:$F$112,A146)+SUMIFS('2025'!$E$24:$E$112,'2025'!$L$24:$L$112,A146&amp;" / "&amp;B146,'2025'!$C$24:$C$112,A146)+SUMIFS('2025'!$H$24:$H$112,'2025'!$L$24:$L$112,A146&amp;" / "&amp;B146,'2025'!$F$24:$F$112,A146)</x:f>
        <x:v>450.75</x:v>
      </x:c>
      <x:c r="H146" s="25" t="n">
        <x:f>SUMIFS('2015'!$E$24:$E$96,'2015'!$L$24:$L$96,A146&amp;" / "&amp;B146,'2015'!$C$24:$C$96,B146)+SUMIFS('2015'!$H$24:$H$96,'2015'!$L$24:$L$96,A146&amp;" / "&amp;B146,'2015'!$F$24:$F$96,B146)+SUMIFS('2016'!$E$24:$E$96,'2016'!$L$24:$L$96,A146&amp;" / "&amp;B146,'2016'!$C$24:$C$96,B146)+SUMIFS('2016'!$H$24:$H$96,'2016'!$L$24:$L$96,A146&amp;" / "&amp;B146,'2016'!$F$24:$F$96,B146)+SUMIFS('2017'!$E$24:$E$106,'2017'!$L$24:$L$106,A146&amp;" / "&amp;B146,'2017'!$C$24:$C$106,B146)+SUMIFS('2017'!$H$24:$H$106,'2017'!$L$24:$L$106,A146&amp;" / "&amp;B146,'2017'!$F$24:$F$106,B146)+SUMIFS('2018'!$E$24:$E$106,'2018'!$L$24:$L$106,A146&amp;" / "&amp;B146,'2018'!$C$24:$C$106,B146)+SUMIFS('2018'!$H$24:$H$106,'2018'!$L$24:$L$106,A146&amp;" / "&amp;B146,'2018'!$F$24:$F$106,B146)+SUMIFS('2019'!$E$24:$E$106,'2019'!$L$24:$L$106,A146&amp;" / "&amp;B146,'2019'!$C$24:$C$106,B146)+SUMIFS('2019'!$H$24:$H$106,'2019'!$L$24:$L$106,A146&amp;" / "&amp;B146,'2019'!$F$24:$F$106,B146)+SUMIFS('2020'!$E$24:$E$106,'2020'!$L$24:$L$106,A146&amp;" / "&amp;B146,'2020'!$C$24:$C$106,B146)+SUMIFS('2020'!$H$24:$H$106,'2020'!$L$24:$L$106,A146&amp;" / "&amp;B146,'2020'!$F$24:$F$106,B146)+SUMIFS('2021'!$E$24:$E$112,'2021'!$L$24:$L$112,A146&amp;" / "&amp;B146,'2021'!$C$24:$C$112,B146)+SUMIFS('2021'!$H$24:$H$112,'2021'!$L$24:$L$112,A146&amp;" / "&amp;B146,'2021'!$F$24:$F$112,B146)+SUMIFS('2022'!$E$24:$E$112,'2022'!$L$24:$L$112,A146&amp;" / "&amp;B146,'2022'!$C$24:$C$112,B146)+SUMIFS('2022'!$H$24:$H$112,'2022'!$L$24:$L$112,A146&amp;" / "&amp;B146,'2022'!$F$24:$F$112,B146)+SUMIFS('2023'!$E$24:$E$112,'2023'!$L$24:$L$112,A146&amp;" / "&amp;B146,'2023'!$C$24:$C$112,B146)+SUMIFS('2023'!$H$24:$H$112,'2023'!$L$24:$L$112,A146&amp;" / "&amp;B146,'2023'!$F$24:$F$112,B146)+SUMIFS('2024'!$E$24:$E$112,'2024'!$L$24:$L$112,A146&amp;" / "&amp;B146,'2024'!$C$24:$C$112,B146)+SUMIFS('2024'!$H$24:$H$112,'2024'!$L$24:$L$112,A146&amp;" / "&amp;B146,'2024'!$F$24:$F$112,B146)+SUMIFS('2025'!$E$24:$E$112,'2025'!$L$24:$L$112,A146&amp;" / "&amp;B146,'2025'!$C$24:$C$112,B146)+SUMIFS('2025'!$H$24:$H$112,'2025'!$L$24:$L$112,A146&amp;" / "&amp;B146,'2025'!$F$24:$F$112,B146)</x:f>
        <x:v>387.55</x:v>
      </x:c>
      <x:c r="I146" s="11" t="n">
        <x:f>IF(C146=0,0,(D146+0.5*F146)/C146)</x:f>
        <x:v>0.5</x:v>
      </x:c>
      <x:c r="J146" s="2" t="n">
        <x:f>COUNTIFS('2015'!$L$24:$L$96,A146&amp;" / "&amp;B146,'2015'!$B$24:$B$96,"Regular")+COUNTIFS('2016'!$L$24:$L$96,A146&amp;" / "&amp;B146,'2016'!$B$24:$B$96,"Regular")+COUNTIFS('2017'!$L$24:$L$106,A146&amp;" / "&amp;B146,'2017'!$B$24:$B$106,"Regular")+COUNTIFS('2018'!$L$24:$L$106,A146&amp;" / "&amp;B146,'2018'!$B$24:$B$106,"Regular")+COUNTIFS('2019'!$L$24:$L$106,A146&amp;" / "&amp;B146,'2019'!$B$24:$B$106,"Regular")+COUNTIFS('2020'!$L$24:$L$106,A146&amp;" / "&amp;B146,'2020'!$B$24:$B$106,"Regular")+COUNTIFS('2021'!$L$24:$L$112,A146&amp;" / "&amp;B146,'2021'!$B$24:$B$112,"Regular")+COUNTIFS('2022'!$L$24:$L$112,A146&amp;" / "&amp;B146,'2022'!$B$24:$B$112,"Regular")+COUNTIFS('2023'!$L$24:$L$112,A146&amp;" / "&amp;B146,'2023'!$B$24:$B$112,"Regular")+COUNTIFS('2024'!$L$24:$L$112,A146&amp;" / "&amp;B146,'2024'!$B$24:$B$112,"Regular")+COUNTIFS('2025'!$L$24:$L$112,A146&amp;" / "&amp;B146,'2025'!$B$24:$B$112,"Regular")</x:f>
        <x:v>4</x:v>
      </x:c>
      <x:c r="K146" s="2" t="n">
        <x:f>COUNTIFS('2015'!$L$24:$L$96,A146&amp;" / "&amp;B146,'2015'!$B$24:$B$96,"Playoffs")+COUNTIFS('2016'!$L$24:$L$96,A146&amp;" / "&amp;B146,'2016'!$B$24:$B$96,"Playoffs")+COUNTIFS('2017'!$L$24:$L$106,A146&amp;" / "&amp;B146,'2017'!$B$24:$B$106,"Playoffs")+COUNTIFS('2018'!$L$24:$L$106,A146&amp;" / "&amp;B146,'2018'!$B$24:$B$106,"Playoffs")+COUNTIFS('2019'!$L$24:$L$106,A146&amp;" / "&amp;B146,'2019'!$B$24:$B$106,"Playoffs")+COUNTIFS('2020'!$L$24:$L$106,A146&amp;" / "&amp;B146,'2020'!$B$24:$B$106,"Playoffs")+COUNTIFS('2021'!$L$24:$L$112,A146&amp;" / "&amp;B146,'2021'!$B$24:$B$112,"Playoffs")+COUNTIFS('2022'!$L$24:$L$112,A146&amp;" / "&amp;B146,'2022'!$B$24:$B$112,"Playoffs")+COUNTIFS('2023'!$L$24:$L$112,A146&amp;" / "&amp;B146,'2023'!$B$24:$B$112,"Playoffs")+COUNTIFS('2024'!$L$24:$L$112,A146&amp;" / "&amp;B146,'2024'!$B$24:$B$112,"Playoffs")+COUNTIFS('2025'!$L$24:$L$112,A146&amp;" / "&amp;B146,'2025'!$B$24:$B$112,"Playoffs")</x:f>
        <x:v>0</x:v>
      </x:c>
      <x:c r="L146" s="2" t="n">
        <x:f>COUNTIFS('2015'!$L$24:$L$96,A146&amp;" / "&amp;B146,'2015'!$B$24:$B$96,"Unconfirmed")+COUNTIFS('2016'!$L$24:$L$96,A146&amp;" / "&amp;B146,'2016'!$B$24:$B$96,"Unconfirmed")+COUNTIFS('2017'!$L$24:$L$106,A146&amp;" / "&amp;B146,'2017'!$B$24:$B$106,"Unconfirmed")+COUNTIFS('2018'!$L$24:$L$106,A146&amp;" / "&amp;B146,'2018'!$B$24:$B$106,"Unconfirmed")+COUNTIFS('2019'!$L$24:$L$106,A146&amp;" / "&amp;B146,'2019'!$B$24:$B$106,"Unconfirmed")+COUNTIFS('2020'!$L$24:$L$106,A146&amp;" / "&amp;B146,'2020'!$B$24:$B$106,"Unconfirmed")+COUNTIFS('2021'!$L$24:$L$112,A146&amp;" / "&amp;B146,'2021'!$B$24:$B$112,"Unconfirmed")+COUNTIFS('2022'!$L$24:$L$112,A146&amp;" / "&amp;B146,'2022'!$B$24:$B$112,"Unconfirmed")+COUNTIFS('2023'!$L$24:$L$112,A146&amp;" / "&amp;B146,'2023'!$B$24:$B$112,"Unconfirmed")+COUNTIFS('2024'!$L$24:$L$112,A146&amp;" / "&amp;B146,'2024'!$B$24:$B$112,"Unconfirmed")+COUNTIFS('2025'!$L$24:$L$112,A146&amp;" / "&amp;B146,'2025'!$B$24:$B$112,"Unconfirmed")</x:f>
        <x:v>0</x:v>
      </x:c>
    </x:row>
    <x:row r="147" ht="22" customHeight="1">
      <x:c r="A147" s="2" t="str">
        <x:v>Matt</x:v>
      </x:c>
      <x:c r="B147" s="2" t="str">
        <x:v>Mike</x:v>
      </x:c>
      <x:c r="C147" s="2" t="n">
        <x:f>COUNTIFS('2015'!$L$24:$L$96,A147&amp;" / "&amp;B147)+COUNTIFS('2016'!$L$24:$L$96,A147&amp;" / "&amp;B147)+COUNTIFS('2017'!$L$24:$L$106,A147&amp;" / "&amp;B147)+COUNTIFS('2018'!$L$24:$L$106,A147&amp;" / "&amp;B147)+COUNTIFS('2019'!$L$24:$L$106,A147&amp;" / "&amp;B147)+COUNTIFS('2020'!$L$24:$L$106,A147&amp;" / "&amp;B147)+COUNTIFS('2021'!$L$24:$L$112,A147&amp;" / "&amp;B147)+COUNTIFS('2022'!$L$24:$L$112,A147&amp;" / "&amp;B147)+COUNTIFS('2023'!$L$24:$L$112,A147&amp;" / "&amp;B147)+COUNTIFS('2024'!$L$24:$L$112,A147&amp;" / "&amp;B147)+COUNTIFS('2025'!$L$24:$L$112,A147&amp;" / "&amp;B147)</x:f>
        <x:v>10</x:v>
      </x:c>
      <x:c r="D147" s="2" t="n">
        <x:f>COUNTIFS('2015'!$L$24:$L$96,A147&amp;" / "&amp;B147,'2015'!$I$24:$I$96,A147)+COUNTIFS('2016'!$L$24:$L$96,A147&amp;" / "&amp;B147,'2016'!$I$24:$I$96,A147)+COUNTIFS('2017'!$L$24:$L$106,A147&amp;" / "&amp;B147,'2017'!$I$24:$I$106,A147)+COUNTIFS('2018'!$L$24:$L$106,A147&amp;" / "&amp;B147,'2018'!$I$24:$I$106,A147)+COUNTIFS('2019'!$L$24:$L$106,A147&amp;" / "&amp;B147,'2019'!$I$24:$I$106,A147)+COUNTIFS('2020'!$L$24:$L$106,A147&amp;" / "&amp;B147,'2020'!$I$24:$I$106,A147)+COUNTIFS('2021'!$L$24:$L$112,A147&amp;" / "&amp;B147,'2021'!$I$24:$I$112,A147)+COUNTIFS('2022'!$L$24:$L$112,A147&amp;" / "&amp;B147,'2022'!$I$24:$I$112,A147)+COUNTIFS('2023'!$L$24:$L$112,A147&amp;" / "&amp;B147,'2023'!$I$24:$I$112,A147)+COUNTIFS('2024'!$L$24:$L$112,A147&amp;" / "&amp;B147,'2024'!$I$24:$I$112,A147)+COUNTIFS('2025'!$L$24:$L$112,A147&amp;" / "&amp;B147,'2025'!$I$24:$I$112,A147)</x:f>
        <x:v>2</x:v>
      </x:c>
      <x:c r="E147" s="2" t="n">
        <x:f>COUNTIFS('2015'!$L$24:$L$96,A147&amp;" / "&amp;B147,'2015'!$I$24:$I$96,B147)+COUNTIFS('2016'!$L$24:$L$96,A147&amp;" / "&amp;B147,'2016'!$I$24:$I$96,B147)+COUNTIFS('2017'!$L$24:$L$106,A147&amp;" / "&amp;B147,'2017'!$I$24:$I$106,B147)+COUNTIFS('2018'!$L$24:$L$106,A147&amp;" / "&amp;B147,'2018'!$I$24:$I$106,B147)+COUNTIFS('2019'!$L$24:$L$106,A147&amp;" / "&amp;B147,'2019'!$I$24:$I$106,B147)+COUNTIFS('2020'!$L$24:$L$106,A147&amp;" / "&amp;B147,'2020'!$I$24:$I$106,B147)+COUNTIFS('2021'!$L$24:$L$112,A147&amp;" / "&amp;B147,'2021'!$I$24:$I$112,B147)+COUNTIFS('2022'!$L$24:$L$112,A147&amp;" / "&amp;B147,'2022'!$I$24:$I$112,B147)+COUNTIFS('2023'!$L$24:$L$112,A147&amp;" / "&amp;B147,'2023'!$I$24:$I$112,B147)+COUNTIFS('2024'!$L$24:$L$112,A147&amp;" / "&amp;B147,'2024'!$I$24:$I$112,B147)+COUNTIFS('2025'!$L$24:$L$112,A147&amp;" / "&amp;B147,'2025'!$I$24:$I$112,B147)</x:f>
        <x:v>7</x:v>
      </x:c>
      <x:c r="F147" s="2" t="n">
        <x:f>COUNTIFS('2015'!$L$24:$L$96,A147&amp;" / "&amp;B147,'2015'!$K$24:$K$96,1)+COUNTIFS('2016'!$L$24:$L$96,A147&amp;" / "&amp;B147,'2016'!$K$24:$K$96,1)+COUNTIFS('2017'!$L$24:$L$106,A147&amp;" / "&amp;B147,'2017'!$K$24:$K$106,1)+COUNTIFS('2018'!$L$24:$L$106,A147&amp;" / "&amp;B147,'2018'!$K$24:$K$106,1)+COUNTIFS('2019'!$L$24:$L$106,A147&amp;" / "&amp;B147,'2019'!$K$24:$K$106,1)+COUNTIFS('2020'!$L$24:$L$106,A147&amp;" / "&amp;B147,'2020'!$K$24:$K$106,1)+COUNTIFS('2021'!$L$24:$L$112,A147&amp;" / "&amp;B147,'2021'!$K$24:$K$112,1)+COUNTIFS('2022'!$L$24:$L$112,A147&amp;" / "&amp;B147,'2022'!$K$24:$K$112,1)+COUNTIFS('2023'!$L$24:$L$112,A147&amp;" / "&amp;B147,'2023'!$K$24:$K$112,1)+COUNTIFS('2024'!$L$24:$L$112,A147&amp;" / "&amp;B147,'2024'!$K$24:$K$112,1)+COUNTIFS('2025'!$L$24:$L$112,A147&amp;" / "&amp;B147,'2025'!$K$24:$K$112,1)</x:f>
        <x:v>1</x:v>
      </x:c>
      <x:c r="G147" s="25" t="n">
        <x:f>SUMIFS('2015'!$E$24:$E$96,'2015'!$L$24:$L$96,A147&amp;" / "&amp;B147,'2015'!$C$24:$C$96,A147)+SUMIFS('2015'!$H$24:$H$96,'2015'!$L$24:$L$96,A147&amp;" / "&amp;B147,'2015'!$F$24:$F$96,A147)+SUMIFS('2016'!$E$24:$E$96,'2016'!$L$24:$L$96,A147&amp;" / "&amp;B147,'2016'!$C$24:$C$96,A147)+SUMIFS('2016'!$H$24:$H$96,'2016'!$L$24:$L$96,A147&amp;" / "&amp;B147,'2016'!$F$24:$F$96,A147)+SUMIFS('2017'!$E$24:$E$106,'2017'!$L$24:$L$106,A147&amp;" / "&amp;B147,'2017'!$C$24:$C$106,A147)+SUMIFS('2017'!$H$24:$H$106,'2017'!$L$24:$L$106,A147&amp;" / "&amp;B147,'2017'!$F$24:$F$106,A147)+SUMIFS('2018'!$E$24:$E$106,'2018'!$L$24:$L$106,A147&amp;" / "&amp;B147,'2018'!$C$24:$C$106,A147)+SUMIFS('2018'!$H$24:$H$106,'2018'!$L$24:$L$106,A147&amp;" / "&amp;B147,'2018'!$F$24:$F$106,A147)+SUMIFS('2019'!$E$24:$E$106,'2019'!$L$24:$L$106,A147&amp;" / "&amp;B147,'2019'!$C$24:$C$106,A147)+SUMIFS('2019'!$H$24:$H$106,'2019'!$L$24:$L$106,A147&amp;" / "&amp;B147,'2019'!$F$24:$F$106,A147)+SUMIFS('2020'!$E$24:$E$106,'2020'!$L$24:$L$106,A147&amp;" / "&amp;B147,'2020'!$C$24:$C$106,A147)+SUMIFS('2020'!$H$24:$H$106,'2020'!$L$24:$L$106,A147&amp;" / "&amp;B147,'2020'!$F$24:$F$106,A147)+SUMIFS('2021'!$E$24:$E$112,'2021'!$L$24:$L$112,A147&amp;" / "&amp;B147,'2021'!$C$24:$C$112,A147)+SUMIFS('2021'!$H$24:$H$112,'2021'!$L$24:$L$112,A147&amp;" / "&amp;B147,'2021'!$F$24:$F$112,A147)+SUMIFS('2022'!$E$24:$E$112,'2022'!$L$24:$L$112,A147&amp;" / "&amp;B147,'2022'!$C$24:$C$112,A147)+SUMIFS('2022'!$H$24:$H$112,'2022'!$L$24:$L$112,A147&amp;" / "&amp;B147,'2022'!$F$24:$F$112,A147)+SUMIFS('2023'!$E$24:$E$112,'2023'!$L$24:$L$112,A147&amp;" / "&amp;B147,'2023'!$C$24:$C$112,A147)+SUMIFS('2023'!$H$24:$H$112,'2023'!$L$24:$L$112,A147&amp;" / "&amp;B147,'2023'!$F$24:$F$112,A147)+SUMIFS('2024'!$E$24:$E$112,'2024'!$L$24:$L$112,A147&amp;" / "&amp;B147,'2024'!$C$24:$C$112,A147)+SUMIFS('2024'!$H$24:$H$112,'2024'!$L$24:$L$112,A147&amp;" / "&amp;B147,'2024'!$F$24:$F$112,A147)+SUMIFS('2025'!$E$24:$E$112,'2025'!$L$24:$L$112,A147&amp;" / "&amp;B147,'2025'!$C$24:$C$112,A147)+SUMIFS('2025'!$H$24:$H$112,'2025'!$L$24:$L$112,A147&amp;" / "&amp;B147,'2025'!$F$24:$F$112,A147)</x:f>
        <x:v>1140.35</x:v>
      </x:c>
      <x:c r="H147" s="25" t="n">
        <x:f>SUMIFS('2015'!$E$24:$E$96,'2015'!$L$24:$L$96,A147&amp;" / "&amp;B147,'2015'!$C$24:$C$96,B147)+SUMIFS('2015'!$H$24:$H$96,'2015'!$L$24:$L$96,A147&amp;" / "&amp;B147,'2015'!$F$24:$F$96,B147)+SUMIFS('2016'!$E$24:$E$96,'2016'!$L$24:$L$96,A147&amp;" / "&amp;B147,'2016'!$C$24:$C$96,B147)+SUMIFS('2016'!$H$24:$H$96,'2016'!$L$24:$L$96,A147&amp;" / "&amp;B147,'2016'!$F$24:$F$96,B147)+SUMIFS('2017'!$E$24:$E$106,'2017'!$L$24:$L$106,A147&amp;" / "&amp;B147,'2017'!$C$24:$C$106,B147)+SUMIFS('2017'!$H$24:$H$106,'2017'!$L$24:$L$106,A147&amp;" / "&amp;B147,'2017'!$F$24:$F$106,B147)+SUMIFS('2018'!$E$24:$E$106,'2018'!$L$24:$L$106,A147&amp;" / "&amp;B147,'2018'!$C$24:$C$106,B147)+SUMIFS('2018'!$H$24:$H$106,'2018'!$L$24:$L$106,A147&amp;" / "&amp;B147,'2018'!$F$24:$F$106,B147)+SUMIFS('2019'!$E$24:$E$106,'2019'!$L$24:$L$106,A147&amp;" / "&amp;B147,'2019'!$C$24:$C$106,B147)+SUMIFS('2019'!$H$24:$H$106,'2019'!$L$24:$L$106,A147&amp;" / "&amp;B147,'2019'!$F$24:$F$106,B147)+SUMIFS('2020'!$E$24:$E$106,'2020'!$L$24:$L$106,A147&amp;" / "&amp;B147,'2020'!$C$24:$C$106,B147)+SUMIFS('2020'!$H$24:$H$106,'2020'!$L$24:$L$106,A147&amp;" / "&amp;B147,'2020'!$F$24:$F$106,B147)+SUMIFS('2021'!$E$24:$E$112,'2021'!$L$24:$L$112,A147&amp;" / "&amp;B147,'2021'!$C$24:$C$112,B147)+SUMIFS('2021'!$H$24:$H$112,'2021'!$L$24:$L$112,A147&amp;" / "&amp;B147,'2021'!$F$24:$F$112,B147)+SUMIFS('2022'!$E$24:$E$112,'2022'!$L$24:$L$112,A147&amp;" / "&amp;B147,'2022'!$C$24:$C$112,B147)+SUMIFS('2022'!$H$24:$H$112,'2022'!$L$24:$L$112,A147&amp;" / "&amp;B147,'2022'!$F$24:$F$112,B147)+SUMIFS('2023'!$E$24:$E$112,'2023'!$L$24:$L$112,A147&amp;" / "&amp;B147,'2023'!$C$24:$C$112,B147)+SUMIFS('2023'!$H$24:$H$112,'2023'!$L$24:$L$112,A147&amp;" / "&amp;B147,'2023'!$F$24:$F$112,B147)+SUMIFS('2024'!$E$24:$E$112,'2024'!$L$24:$L$112,A147&amp;" / "&amp;B147,'2024'!$C$24:$C$112,B147)+SUMIFS('2024'!$H$24:$H$112,'2024'!$L$24:$L$112,A147&amp;" / "&amp;B147,'2024'!$F$24:$F$112,B147)+SUMIFS('2025'!$E$24:$E$112,'2025'!$L$24:$L$112,A147&amp;" / "&amp;B147,'2025'!$C$24:$C$112,B147)+SUMIFS('2025'!$H$24:$H$112,'2025'!$L$24:$L$112,A147&amp;" / "&amp;B147,'2025'!$F$24:$F$112,B147)</x:f>
        <x:v>1295.4999999999998</x:v>
      </x:c>
      <x:c r="I147" s="11" t="n">
        <x:f>IF(C147=0,0,(D147+0.5*F147)/C147)</x:f>
        <x:v>0.25</x:v>
      </x:c>
      <x:c r="J147" s="2" t="n">
        <x:f>COUNTIFS('2015'!$L$24:$L$96,A147&amp;" / "&amp;B147,'2015'!$B$24:$B$96,"Regular")+COUNTIFS('2016'!$L$24:$L$96,A147&amp;" / "&amp;B147,'2016'!$B$24:$B$96,"Regular")+COUNTIFS('2017'!$L$24:$L$106,A147&amp;" / "&amp;B147,'2017'!$B$24:$B$106,"Regular")+COUNTIFS('2018'!$L$24:$L$106,A147&amp;" / "&amp;B147,'2018'!$B$24:$B$106,"Regular")+COUNTIFS('2019'!$L$24:$L$106,A147&amp;" / "&amp;B147,'2019'!$B$24:$B$106,"Regular")+COUNTIFS('2020'!$L$24:$L$106,A147&amp;" / "&amp;B147,'2020'!$B$24:$B$106,"Regular")+COUNTIFS('2021'!$L$24:$L$112,A147&amp;" / "&amp;B147,'2021'!$B$24:$B$112,"Regular")+COUNTIFS('2022'!$L$24:$L$112,A147&amp;" / "&amp;B147,'2022'!$B$24:$B$112,"Regular")+COUNTIFS('2023'!$L$24:$L$112,A147&amp;" / "&amp;B147,'2023'!$B$24:$B$112,"Regular")+COUNTIFS('2024'!$L$24:$L$112,A147&amp;" / "&amp;B147,'2024'!$B$24:$B$112,"Regular")+COUNTIFS('2025'!$L$24:$L$112,A147&amp;" / "&amp;B147,'2025'!$B$24:$B$112,"Regular")</x:f>
        <x:v>10</x:v>
      </x:c>
      <x:c r="K147" s="2" t="n">
        <x:f>COUNTIFS('2015'!$L$24:$L$96,A147&amp;" / "&amp;B147,'2015'!$B$24:$B$96,"Playoffs")+COUNTIFS('2016'!$L$24:$L$96,A147&amp;" / "&amp;B147,'2016'!$B$24:$B$96,"Playoffs")+COUNTIFS('2017'!$L$24:$L$106,A147&amp;" / "&amp;B147,'2017'!$B$24:$B$106,"Playoffs")+COUNTIFS('2018'!$L$24:$L$106,A147&amp;" / "&amp;B147,'2018'!$B$24:$B$106,"Playoffs")+COUNTIFS('2019'!$L$24:$L$106,A147&amp;" / "&amp;B147,'2019'!$B$24:$B$106,"Playoffs")+COUNTIFS('2020'!$L$24:$L$106,A147&amp;" / "&amp;B147,'2020'!$B$24:$B$106,"Playoffs")+COUNTIFS('2021'!$L$24:$L$112,A147&amp;" / "&amp;B147,'2021'!$B$24:$B$112,"Playoffs")+COUNTIFS('2022'!$L$24:$L$112,A147&amp;" / "&amp;B147,'2022'!$B$24:$B$112,"Playoffs")+COUNTIFS('2023'!$L$24:$L$112,A147&amp;" / "&amp;B147,'2023'!$B$24:$B$112,"Playoffs")+COUNTIFS('2024'!$L$24:$L$112,A147&amp;" / "&amp;B147,'2024'!$B$24:$B$112,"Playoffs")+COUNTIFS('2025'!$L$24:$L$112,A147&amp;" / "&amp;B147,'2025'!$B$24:$B$112,"Playoffs")</x:f>
        <x:v>0</x:v>
      </x:c>
      <x:c r="L147" s="2" t="n">
        <x:f>COUNTIFS('2015'!$L$24:$L$96,A147&amp;" / "&amp;B147,'2015'!$B$24:$B$96,"Unconfirmed")+COUNTIFS('2016'!$L$24:$L$96,A147&amp;" / "&amp;B147,'2016'!$B$24:$B$96,"Unconfirmed")+COUNTIFS('2017'!$L$24:$L$106,A147&amp;" / "&amp;B147,'2017'!$B$24:$B$106,"Unconfirmed")+COUNTIFS('2018'!$L$24:$L$106,A147&amp;" / "&amp;B147,'2018'!$B$24:$B$106,"Unconfirmed")+COUNTIFS('2019'!$L$24:$L$106,A147&amp;" / "&amp;B147,'2019'!$B$24:$B$106,"Unconfirmed")+COUNTIFS('2020'!$L$24:$L$106,A147&amp;" / "&amp;B147,'2020'!$B$24:$B$106,"Unconfirmed")+COUNTIFS('2021'!$L$24:$L$112,A147&amp;" / "&amp;B147,'2021'!$B$24:$B$112,"Unconfirmed")+COUNTIFS('2022'!$L$24:$L$112,A147&amp;" / "&amp;B147,'2022'!$B$24:$B$112,"Unconfirmed")+COUNTIFS('2023'!$L$24:$L$112,A147&amp;" / "&amp;B147,'2023'!$B$24:$B$112,"Unconfirmed")+COUNTIFS('2024'!$L$24:$L$112,A147&amp;" / "&amp;B147,'2024'!$B$24:$B$112,"Unconfirmed")+COUNTIFS('2025'!$L$24:$L$112,A147&amp;" / "&amp;B147,'2025'!$B$24:$B$112,"Unconfirmed")</x:f>
        <x:v>0</x:v>
      </x:c>
    </x:row>
    <x:row r="148" ht="22" customHeight="1">
      <x:c r="A148" s="2" t="str">
        <x:v>Matt</x:v>
      </x:c>
      <x:c r="B148" s="2" t="str">
        <x:v>Nick</x:v>
      </x:c>
      <x:c r="C148" s="2" t="n">
        <x:f>COUNTIFS('2015'!$L$24:$L$96,A148&amp;" / "&amp;B148)+COUNTIFS('2016'!$L$24:$L$96,A148&amp;" / "&amp;B148)+COUNTIFS('2017'!$L$24:$L$106,A148&amp;" / "&amp;B148)+COUNTIFS('2018'!$L$24:$L$106,A148&amp;" / "&amp;B148)+COUNTIFS('2019'!$L$24:$L$106,A148&amp;" / "&amp;B148)+COUNTIFS('2020'!$L$24:$L$106,A148&amp;" / "&amp;B148)+COUNTIFS('2021'!$L$24:$L$112,A148&amp;" / "&amp;B148)+COUNTIFS('2022'!$L$24:$L$112,A148&amp;" / "&amp;B148)+COUNTIFS('2023'!$L$24:$L$112,A148&amp;" / "&amp;B148)+COUNTIFS('2024'!$L$24:$L$112,A148&amp;" / "&amp;B148)+COUNTIFS('2025'!$L$24:$L$112,A148&amp;" / "&amp;B148)</x:f>
        <x:v>6</x:v>
      </x:c>
      <x:c r="D148" s="2" t="n">
        <x:f>COUNTIFS('2015'!$L$24:$L$96,A148&amp;" / "&amp;B148,'2015'!$I$24:$I$96,A148)+COUNTIFS('2016'!$L$24:$L$96,A148&amp;" / "&amp;B148,'2016'!$I$24:$I$96,A148)+COUNTIFS('2017'!$L$24:$L$106,A148&amp;" / "&amp;B148,'2017'!$I$24:$I$106,A148)+COUNTIFS('2018'!$L$24:$L$106,A148&amp;" / "&amp;B148,'2018'!$I$24:$I$106,A148)+COUNTIFS('2019'!$L$24:$L$106,A148&amp;" / "&amp;B148,'2019'!$I$24:$I$106,A148)+COUNTIFS('2020'!$L$24:$L$106,A148&amp;" / "&amp;B148,'2020'!$I$24:$I$106,A148)+COUNTIFS('2021'!$L$24:$L$112,A148&amp;" / "&amp;B148,'2021'!$I$24:$I$112,A148)+COUNTIFS('2022'!$L$24:$L$112,A148&amp;" / "&amp;B148,'2022'!$I$24:$I$112,A148)+COUNTIFS('2023'!$L$24:$L$112,A148&amp;" / "&amp;B148,'2023'!$I$24:$I$112,A148)+COUNTIFS('2024'!$L$24:$L$112,A148&amp;" / "&amp;B148,'2024'!$I$24:$I$112,A148)+COUNTIFS('2025'!$L$24:$L$112,A148&amp;" / "&amp;B148,'2025'!$I$24:$I$112,A148)</x:f>
        <x:v>4</x:v>
      </x:c>
      <x:c r="E148" s="2" t="n">
        <x:f>COUNTIFS('2015'!$L$24:$L$96,A148&amp;" / "&amp;B148,'2015'!$I$24:$I$96,B148)+COUNTIFS('2016'!$L$24:$L$96,A148&amp;" / "&amp;B148,'2016'!$I$24:$I$96,B148)+COUNTIFS('2017'!$L$24:$L$106,A148&amp;" / "&amp;B148,'2017'!$I$24:$I$106,B148)+COUNTIFS('2018'!$L$24:$L$106,A148&amp;" / "&amp;B148,'2018'!$I$24:$I$106,B148)+COUNTIFS('2019'!$L$24:$L$106,A148&amp;" / "&amp;B148,'2019'!$I$24:$I$106,B148)+COUNTIFS('2020'!$L$24:$L$106,A148&amp;" / "&amp;B148,'2020'!$I$24:$I$106,B148)+COUNTIFS('2021'!$L$24:$L$112,A148&amp;" / "&amp;B148,'2021'!$I$24:$I$112,B148)+COUNTIFS('2022'!$L$24:$L$112,A148&amp;" / "&amp;B148,'2022'!$I$24:$I$112,B148)+COUNTIFS('2023'!$L$24:$L$112,A148&amp;" / "&amp;B148,'2023'!$I$24:$I$112,B148)+COUNTIFS('2024'!$L$24:$L$112,A148&amp;" / "&amp;B148,'2024'!$I$24:$I$112,B148)+COUNTIFS('2025'!$L$24:$L$112,A148&amp;" / "&amp;B148,'2025'!$I$24:$I$112,B148)</x:f>
        <x:v>2</x:v>
      </x:c>
      <x:c r="F148" s="2" t="n">
        <x:f>COUNTIFS('2015'!$L$24:$L$96,A148&amp;" / "&amp;B148,'2015'!$K$24:$K$96,1)+COUNTIFS('2016'!$L$24:$L$96,A148&amp;" / "&amp;B148,'2016'!$K$24:$K$96,1)+COUNTIFS('2017'!$L$24:$L$106,A148&amp;" / "&amp;B148,'2017'!$K$24:$K$106,1)+COUNTIFS('2018'!$L$24:$L$106,A148&amp;" / "&amp;B148,'2018'!$K$24:$K$106,1)+COUNTIFS('2019'!$L$24:$L$106,A148&amp;" / "&amp;B148,'2019'!$K$24:$K$106,1)+COUNTIFS('2020'!$L$24:$L$106,A148&amp;" / "&amp;B148,'2020'!$K$24:$K$106,1)+COUNTIFS('2021'!$L$24:$L$112,A148&amp;" / "&amp;B148,'2021'!$K$24:$K$112,1)+COUNTIFS('2022'!$L$24:$L$112,A148&amp;" / "&amp;B148,'2022'!$K$24:$K$112,1)+COUNTIFS('2023'!$L$24:$L$112,A148&amp;" / "&amp;B148,'2023'!$K$24:$K$112,1)+COUNTIFS('2024'!$L$24:$L$112,A148&amp;" / "&amp;B148,'2024'!$K$24:$K$112,1)+COUNTIFS('2025'!$L$24:$L$112,A148&amp;" / "&amp;B148,'2025'!$K$24:$K$112,1)</x:f>
        <x:v>0</x:v>
      </x:c>
      <x:c r="G148" s="25" t="n">
        <x:f>SUMIFS('2015'!$E$24:$E$96,'2015'!$L$24:$L$96,A148&amp;" / "&amp;B148,'2015'!$C$24:$C$96,A148)+SUMIFS('2015'!$H$24:$H$96,'2015'!$L$24:$L$96,A148&amp;" / "&amp;B148,'2015'!$F$24:$F$96,A148)+SUMIFS('2016'!$E$24:$E$96,'2016'!$L$24:$L$96,A148&amp;" / "&amp;B148,'2016'!$C$24:$C$96,A148)+SUMIFS('2016'!$H$24:$H$96,'2016'!$L$24:$L$96,A148&amp;" / "&amp;B148,'2016'!$F$24:$F$96,A148)+SUMIFS('2017'!$E$24:$E$106,'2017'!$L$24:$L$106,A148&amp;" / "&amp;B148,'2017'!$C$24:$C$106,A148)+SUMIFS('2017'!$H$24:$H$106,'2017'!$L$24:$L$106,A148&amp;" / "&amp;B148,'2017'!$F$24:$F$106,A148)+SUMIFS('2018'!$E$24:$E$106,'2018'!$L$24:$L$106,A148&amp;" / "&amp;B148,'2018'!$C$24:$C$106,A148)+SUMIFS('2018'!$H$24:$H$106,'2018'!$L$24:$L$106,A148&amp;" / "&amp;B148,'2018'!$F$24:$F$106,A148)+SUMIFS('2019'!$E$24:$E$106,'2019'!$L$24:$L$106,A148&amp;" / "&amp;B148,'2019'!$C$24:$C$106,A148)+SUMIFS('2019'!$H$24:$H$106,'2019'!$L$24:$L$106,A148&amp;" / "&amp;B148,'2019'!$F$24:$F$106,A148)+SUMIFS('2020'!$E$24:$E$106,'2020'!$L$24:$L$106,A148&amp;" / "&amp;B148,'2020'!$C$24:$C$106,A148)+SUMIFS('2020'!$H$24:$H$106,'2020'!$L$24:$L$106,A148&amp;" / "&amp;B148,'2020'!$F$24:$F$106,A148)+SUMIFS('2021'!$E$24:$E$112,'2021'!$L$24:$L$112,A148&amp;" / "&amp;B148,'2021'!$C$24:$C$112,A148)+SUMIFS('2021'!$H$24:$H$112,'2021'!$L$24:$L$112,A148&amp;" / "&amp;B148,'2021'!$F$24:$F$112,A148)+SUMIFS('2022'!$E$24:$E$112,'2022'!$L$24:$L$112,A148&amp;" / "&amp;B148,'2022'!$C$24:$C$112,A148)+SUMIFS('2022'!$H$24:$H$112,'2022'!$L$24:$L$112,A148&amp;" / "&amp;B148,'2022'!$F$24:$F$112,A148)+SUMIFS('2023'!$E$24:$E$112,'2023'!$L$24:$L$112,A148&amp;" / "&amp;B148,'2023'!$C$24:$C$112,A148)+SUMIFS('2023'!$H$24:$H$112,'2023'!$L$24:$L$112,A148&amp;" / "&amp;B148,'2023'!$F$24:$F$112,A148)+SUMIFS('2024'!$E$24:$E$112,'2024'!$L$24:$L$112,A148&amp;" / "&amp;B148,'2024'!$C$24:$C$112,A148)+SUMIFS('2024'!$H$24:$H$112,'2024'!$L$24:$L$112,A148&amp;" / "&amp;B148,'2024'!$F$24:$F$112,A148)+SUMIFS('2025'!$E$24:$E$112,'2025'!$L$24:$L$112,A148&amp;" / "&amp;B148,'2025'!$C$24:$C$112,A148)+SUMIFS('2025'!$H$24:$H$112,'2025'!$L$24:$L$112,A148&amp;" / "&amp;B148,'2025'!$F$24:$F$112,A148)</x:f>
        <x:v>688.25</x:v>
      </x:c>
      <x:c r="H148" s="25" t="n">
        <x:f>SUMIFS('2015'!$E$24:$E$96,'2015'!$L$24:$L$96,A148&amp;" / "&amp;B148,'2015'!$C$24:$C$96,B148)+SUMIFS('2015'!$H$24:$H$96,'2015'!$L$24:$L$96,A148&amp;" / "&amp;B148,'2015'!$F$24:$F$96,B148)+SUMIFS('2016'!$E$24:$E$96,'2016'!$L$24:$L$96,A148&amp;" / "&amp;B148,'2016'!$C$24:$C$96,B148)+SUMIFS('2016'!$H$24:$H$96,'2016'!$L$24:$L$96,A148&amp;" / "&amp;B148,'2016'!$F$24:$F$96,B148)+SUMIFS('2017'!$E$24:$E$106,'2017'!$L$24:$L$106,A148&amp;" / "&amp;B148,'2017'!$C$24:$C$106,B148)+SUMIFS('2017'!$H$24:$H$106,'2017'!$L$24:$L$106,A148&amp;" / "&amp;B148,'2017'!$F$24:$F$106,B148)+SUMIFS('2018'!$E$24:$E$106,'2018'!$L$24:$L$106,A148&amp;" / "&amp;B148,'2018'!$C$24:$C$106,B148)+SUMIFS('2018'!$H$24:$H$106,'2018'!$L$24:$L$106,A148&amp;" / "&amp;B148,'2018'!$F$24:$F$106,B148)+SUMIFS('2019'!$E$24:$E$106,'2019'!$L$24:$L$106,A148&amp;" / "&amp;B148,'2019'!$C$24:$C$106,B148)+SUMIFS('2019'!$H$24:$H$106,'2019'!$L$24:$L$106,A148&amp;" / "&amp;B148,'2019'!$F$24:$F$106,B148)+SUMIFS('2020'!$E$24:$E$106,'2020'!$L$24:$L$106,A148&amp;" / "&amp;B148,'2020'!$C$24:$C$106,B148)+SUMIFS('2020'!$H$24:$H$106,'2020'!$L$24:$L$106,A148&amp;" / "&amp;B148,'2020'!$F$24:$F$106,B148)+SUMIFS('2021'!$E$24:$E$112,'2021'!$L$24:$L$112,A148&amp;" / "&amp;B148,'2021'!$C$24:$C$112,B148)+SUMIFS('2021'!$H$24:$H$112,'2021'!$L$24:$L$112,A148&amp;" / "&amp;B148,'2021'!$F$24:$F$112,B148)+SUMIFS('2022'!$E$24:$E$112,'2022'!$L$24:$L$112,A148&amp;" / "&amp;B148,'2022'!$C$24:$C$112,B148)+SUMIFS('2022'!$H$24:$H$112,'2022'!$L$24:$L$112,A148&amp;" / "&amp;B148,'2022'!$F$24:$F$112,B148)+SUMIFS('2023'!$E$24:$E$112,'2023'!$L$24:$L$112,A148&amp;" / "&amp;B148,'2023'!$C$24:$C$112,B148)+SUMIFS('2023'!$H$24:$H$112,'2023'!$L$24:$L$112,A148&amp;" / "&amp;B148,'2023'!$F$24:$F$112,B148)+SUMIFS('2024'!$E$24:$E$112,'2024'!$L$24:$L$112,A148&amp;" / "&amp;B148,'2024'!$C$24:$C$112,B148)+SUMIFS('2024'!$H$24:$H$112,'2024'!$L$24:$L$112,A148&amp;" / "&amp;B148,'2024'!$F$24:$F$112,B148)+SUMIFS('2025'!$E$24:$E$112,'2025'!$L$24:$L$112,A148&amp;" / "&amp;B148,'2025'!$C$24:$C$112,B148)+SUMIFS('2025'!$H$24:$H$112,'2025'!$L$24:$L$112,A148&amp;" / "&amp;B148,'2025'!$F$24:$F$112,B148)</x:f>
        <x:v>662.55</x:v>
      </x:c>
      <x:c r="I148" s="11" t="n">
        <x:f>IF(C148=0,0,(D148+0.5*F148)/C148)</x:f>
        <x:v>0.6666666666666666</x:v>
      </x:c>
      <x:c r="J148" s="2" t="n">
        <x:f>COUNTIFS('2015'!$L$24:$L$96,A148&amp;" / "&amp;B148,'2015'!$B$24:$B$96,"Regular")+COUNTIFS('2016'!$L$24:$L$96,A148&amp;" / "&amp;B148,'2016'!$B$24:$B$96,"Regular")+COUNTIFS('2017'!$L$24:$L$106,A148&amp;" / "&amp;B148,'2017'!$B$24:$B$106,"Regular")+COUNTIFS('2018'!$L$24:$L$106,A148&amp;" / "&amp;B148,'2018'!$B$24:$B$106,"Regular")+COUNTIFS('2019'!$L$24:$L$106,A148&amp;" / "&amp;B148,'2019'!$B$24:$B$106,"Regular")+COUNTIFS('2020'!$L$24:$L$106,A148&amp;" / "&amp;B148,'2020'!$B$24:$B$106,"Regular")+COUNTIFS('2021'!$L$24:$L$112,A148&amp;" / "&amp;B148,'2021'!$B$24:$B$112,"Regular")+COUNTIFS('2022'!$L$24:$L$112,A148&amp;" / "&amp;B148,'2022'!$B$24:$B$112,"Regular")+COUNTIFS('2023'!$L$24:$L$112,A148&amp;" / "&amp;B148,'2023'!$B$24:$B$112,"Regular")+COUNTIFS('2024'!$L$24:$L$112,A148&amp;" / "&amp;B148,'2024'!$B$24:$B$112,"Regular")+COUNTIFS('2025'!$L$24:$L$112,A148&amp;" / "&amp;B148,'2025'!$B$24:$B$112,"Regular")</x:f>
        <x:v>6</x:v>
      </x:c>
      <x:c r="K148" s="2" t="n">
        <x:f>COUNTIFS('2015'!$L$24:$L$96,A148&amp;" / "&amp;B148,'2015'!$B$24:$B$96,"Playoffs")+COUNTIFS('2016'!$L$24:$L$96,A148&amp;" / "&amp;B148,'2016'!$B$24:$B$96,"Playoffs")+COUNTIFS('2017'!$L$24:$L$106,A148&amp;" / "&amp;B148,'2017'!$B$24:$B$106,"Playoffs")+COUNTIFS('2018'!$L$24:$L$106,A148&amp;" / "&amp;B148,'2018'!$B$24:$B$106,"Playoffs")+COUNTIFS('2019'!$L$24:$L$106,A148&amp;" / "&amp;B148,'2019'!$B$24:$B$106,"Playoffs")+COUNTIFS('2020'!$L$24:$L$106,A148&amp;" / "&amp;B148,'2020'!$B$24:$B$106,"Playoffs")+COUNTIFS('2021'!$L$24:$L$112,A148&amp;" / "&amp;B148,'2021'!$B$24:$B$112,"Playoffs")+COUNTIFS('2022'!$L$24:$L$112,A148&amp;" / "&amp;B148,'2022'!$B$24:$B$112,"Playoffs")+COUNTIFS('2023'!$L$24:$L$112,A148&amp;" / "&amp;B148,'2023'!$B$24:$B$112,"Playoffs")+COUNTIFS('2024'!$L$24:$L$112,A148&amp;" / "&amp;B148,'2024'!$B$24:$B$112,"Playoffs")+COUNTIFS('2025'!$L$24:$L$112,A148&amp;" / "&amp;B148,'2025'!$B$24:$B$112,"Playoffs")</x:f>
        <x:v>0</x:v>
      </x:c>
      <x:c r="L148" s="2" t="n">
        <x:f>COUNTIFS('2015'!$L$24:$L$96,A148&amp;" / "&amp;B148,'2015'!$B$24:$B$96,"Unconfirmed")+COUNTIFS('2016'!$L$24:$L$96,A148&amp;" / "&amp;B148,'2016'!$B$24:$B$96,"Unconfirmed")+COUNTIFS('2017'!$L$24:$L$106,A148&amp;" / "&amp;B148,'2017'!$B$24:$B$106,"Unconfirmed")+COUNTIFS('2018'!$L$24:$L$106,A148&amp;" / "&amp;B148,'2018'!$B$24:$B$106,"Unconfirmed")+COUNTIFS('2019'!$L$24:$L$106,A148&amp;" / "&amp;B148,'2019'!$B$24:$B$106,"Unconfirmed")+COUNTIFS('2020'!$L$24:$L$106,A148&amp;" / "&amp;B148,'2020'!$B$24:$B$106,"Unconfirmed")+COUNTIFS('2021'!$L$24:$L$112,A148&amp;" / "&amp;B148,'2021'!$B$24:$B$112,"Unconfirmed")+COUNTIFS('2022'!$L$24:$L$112,A148&amp;" / "&amp;B148,'2022'!$B$24:$B$112,"Unconfirmed")+COUNTIFS('2023'!$L$24:$L$112,A148&amp;" / "&amp;B148,'2023'!$B$24:$B$112,"Unconfirmed")+COUNTIFS('2024'!$L$24:$L$112,A148&amp;" / "&amp;B148,'2024'!$B$24:$B$112,"Unconfirmed")+COUNTIFS('2025'!$L$24:$L$112,A148&amp;" / "&amp;B148,'2025'!$B$24:$B$112,"Unconfirmed")</x:f>
        <x:v>0</x:v>
      </x:c>
    </x:row>
    <x:row r="149" ht="22" customHeight="1">
      <x:c r="A149" s="2" t="str">
        <x:v>Matt</x:v>
      </x:c>
      <x:c r="B149" s="2" t="str">
        <x:v>Paul</x:v>
      </x:c>
      <x:c r="C149" s="2" t="n">
        <x:f>COUNTIFS('2015'!$L$24:$L$96,A149&amp;" / "&amp;B149)+COUNTIFS('2016'!$L$24:$L$96,A149&amp;" / "&amp;B149)+COUNTIFS('2017'!$L$24:$L$106,A149&amp;" / "&amp;B149)+COUNTIFS('2018'!$L$24:$L$106,A149&amp;" / "&amp;B149)+COUNTIFS('2019'!$L$24:$L$106,A149&amp;" / "&amp;B149)+COUNTIFS('2020'!$L$24:$L$106,A149&amp;" / "&amp;B149)+COUNTIFS('2021'!$L$24:$L$112,A149&amp;" / "&amp;B149)+COUNTIFS('2022'!$L$24:$L$112,A149&amp;" / "&amp;B149)+COUNTIFS('2023'!$L$24:$L$112,A149&amp;" / "&amp;B149)+COUNTIFS('2024'!$L$24:$L$112,A149&amp;" / "&amp;B149)+COUNTIFS('2025'!$L$24:$L$112,A149&amp;" / "&amp;B149)</x:f>
        <x:v>9</x:v>
      </x:c>
      <x:c r="D149" s="2" t="n">
        <x:f>COUNTIFS('2015'!$L$24:$L$96,A149&amp;" / "&amp;B149,'2015'!$I$24:$I$96,A149)+COUNTIFS('2016'!$L$24:$L$96,A149&amp;" / "&amp;B149,'2016'!$I$24:$I$96,A149)+COUNTIFS('2017'!$L$24:$L$106,A149&amp;" / "&amp;B149,'2017'!$I$24:$I$106,A149)+COUNTIFS('2018'!$L$24:$L$106,A149&amp;" / "&amp;B149,'2018'!$I$24:$I$106,A149)+COUNTIFS('2019'!$L$24:$L$106,A149&amp;" / "&amp;B149,'2019'!$I$24:$I$106,A149)+COUNTIFS('2020'!$L$24:$L$106,A149&amp;" / "&amp;B149,'2020'!$I$24:$I$106,A149)+COUNTIFS('2021'!$L$24:$L$112,A149&amp;" / "&amp;B149,'2021'!$I$24:$I$112,A149)+COUNTIFS('2022'!$L$24:$L$112,A149&amp;" / "&amp;B149,'2022'!$I$24:$I$112,A149)+COUNTIFS('2023'!$L$24:$L$112,A149&amp;" / "&amp;B149,'2023'!$I$24:$I$112,A149)+COUNTIFS('2024'!$L$24:$L$112,A149&amp;" / "&amp;B149,'2024'!$I$24:$I$112,A149)+COUNTIFS('2025'!$L$24:$L$112,A149&amp;" / "&amp;B149,'2025'!$I$24:$I$112,A149)</x:f>
        <x:v>4</x:v>
      </x:c>
      <x:c r="E149" s="2" t="n">
        <x:f>COUNTIFS('2015'!$L$24:$L$96,A149&amp;" / "&amp;B149,'2015'!$I$24:$I$96,B149)+COUNTIFS('2016'!$L$24:$L$96,A149&amp;" / "&amp;B149,'2016'!$I$24:$I$96,B149)+COUNTIFS('2017'!$L$24:$L$106,A149&amp;" / "&amp;B149,'2017'!$I$24:$I$106,B149)+COUNTIFS('2018'!$L$24:$L$106,A149&amp;" / "&amp;B149,'2018'!$I$24:$I$106,B149)+COUNTIFS('2019'!$L$24:$L$106,A149&amp;" / "&amp;B149,'2019'!$I$24:$I$106,B149)+COUNTIFS('2020'!$L$24:$L$106,A149&amp;" / "&amp;B149,'2020'!$I$24:$I$106,B149)+COUNTIFS('2021'!$L$24:$L$112,A149&amp;" / "&amp;B149,'2021'!$I$24:$I$112,B149)+COUNTIFS('2022'!$L$24:$L$112,A149&amp;" / "&amp;B149,'2022'!$I$24:$I$112,B149)+COUNTIFS('2023'!$L$24:$L$112,A149&amp;" / "&amp;B149,'2023'!$I$24:$I$112,B149)+COUNTIFS('2024'!$L$24:$L$112,A149&amp;" / "&amp;B149,'2024'!$I$24:$I$112,B149)+COUNTIFS('2025'!$L$24:$L$112,A149&amp;" / "&amp;B149,'2025'!$I$24:$I$112,B149)</x:f>
        <x:v>5</x:v>
      </x:c>
      <x:c r="F149" s="2" t="n">
        <x:f>COUNTIFS('2015'!$L$24:$L$96,A149&amp;" / "&amp;B149,'2015'!$K$24:$K$96,1)+COUNTIFS('2016'!$L$24:$L$96,A149&amp;" / "&amp;B149,'2016'!$K$24:$K$96,1)+COUNTIFS('2017'!$L$24:$L$106,A149&amp;" / "&amp;B149,'2017'!$K$24:$K$106,1)+COUNTIFS('2018'!$L$24:$L$106,A149&amp;" / "&amp;B149,'2018'!$K$24:$K$106,1)+COUNTIFS('2019'!$L$24:$L$106,A149&amp;" / "&amp;B149,'2019'!$K$24:$K$106,1)+COUNTIFS('2020'!$L$24:$L$106,A149&amp;" / "&amp;B149,'2020'!$K$24:$K$106,1)+COUNTIFS('2021'!$L$24:$L$112,A149&amp;" / "&amp;B149,'2021'!$K$24:$K$112,1)+COUNTIFS('2022'!$L$24:$L$112,A149&amp;" / "&amp;B149,'2022'!$K$24:$K$112,1)+COUNTIFS('2023'!$L$24:$L$112,A149&amp;" / "&amp;B149,'2023'!$K$24:$K$112,1)+COUNTIFS('2024'!$L$24:$L$112,A149&amp;" / "&amp;B149,'2024'!$K$24:$K$112,1)+COUNTIFS('2025'!$L$24:$L$112,A149&amp;" / "&amp;B149,'2025'!$K$24:$K$112,1)</x:f>
        <x:v>0</x:v>
      </x:c>
      <x:c r="G149" s="25" t="n">
        <x:f>SUMIFS('2015'!$E$24:$E$96,'2015'!$L$24:$L$96,A149&amp;" / "&amp;B149,'2015'!$C$24:$C$96,A149)+SUMIFS('2015'!$H$24:$H$96,'2015'!$L$24:$L$96,A149&amp;" / "&amp;B149,'2015'!$F$24:$F$96,A149)+SUMIFS('2016'!$E$24:$E$96,'2016'!$L$24:$L$96,A149&amp;" / "&amp;B149,'2016'!$C$24:$C$96,A149)+SUMIFS('2016'!$H$24:$H$96,'2016'!$L$24:$L$96,A149&amp;" / "&amp;B149,'2016'!$F$24:$F$96,A149)+SUMIFS('2017'!$E$24:$E$106,'2017'!$L$24:$L$106,A149&amp;" / "&amp;B149,'2017'!$C$24:$C$106,A149)+SUMIFS('2017'!$H$24:$H$106,'2017'!$L$24:$L$106,A149&amp;" / "&amp;B149,'2017'!$F$24:$F$106,A149)+SUMIFS('2018'!$E$24:$E$106,'2018'!$L$24:$L$106,A149&amp;" / "&amp;B149,'2018'!$C$24:$C$106,A149)+SUMIFS('2018'!$H$24:$H$106,'2018'!$L$24:$L$106,A149&amp;" / "&amp;B149,'2018'!$F$24:$F$106,A149)+SUMIFS('2019'!$E$24:$E$106,'2019'!$L$24:$L$106,A149&amp;" / "&amp;B149,'2019'!$C$24:$C$106,A149)+SUMIFS('2019'!$H$24:$H$106,'2019'!$L$24:$L$106,A149&amp;" / "&amp;B149,'2019'!$F$24:$F$106,A149)+SUMIFS('2020'!$E$24:$E$106,'2020'!$L$24:$L$106,A149&amp;" / "&amp;B149,'2020'!$C$24:$C$106,A149)+SUMIFS('2020'!$H$24:$H$106,'2020'!$L$24:$L$106,A149&amp;" / "&amp;B149,'2020'!$F$24:$F$106,A149)+SUMIFS('2021'!$E$24:$E$112,'2021'!$L$24:$L$112,A149&amp;" / "&amp;B149,'2021'!$C$24:$C$112,A149)+SUMIFS('2021'!$H$24:$H$112,'2021'!$L$24:$L$112,A149&amp;" / "&amp;B149,'2021'!$F$24:$F$112,A149)+SUMIFS('2022'!$E$24:$E$112,'2022'!$L$24:$L$112,A149&amp;" / "&amp;B149,'2022'!$C$24:$C$112,A149)+SUMIFS('2022'!$H$24:$H$112,'2022'!$L$24:$L$112,A149&amp;" / "&amp;B149,'2022'!$F$24:$F$112,A149)+SUMIFS('2023'!$E$24:$E$112,'2023'!$L$24:$L$112,A149&amp;" / "&amp;B149,'2023'!$C$24:$C$112,A149)+SUMIFS('2023'!$H$24:$H$112,'2023'!$L$24:$L$112,A149&amp;" / "&amp;B149,'2023'!$F$24:$F$112,A149)+SUMIFS('2024'!$E$24:$E$112,'2024'!$L$24:$L$112,A149&amp;" / "&amp;B149,'2024'!$C$24:$C$112,A149)+SUMIFS('2024'!$H$24:$H$112,'2024'!$L$24:$L$112,A149&amp;" / "&amp;B149,'2024'!$F$24:$F$112,A149)+SUMIFS('2025'!$E$24:$E$112,'2025'!$L$24:$L$112,A149&amp;" / "&amp;B149,'2025'!$C$24:$C$112,A149)+SUMIFS('2025'!$H$24:$H$112,'2025'!$L$24:$L$112,A149&amp;" / "&amp;B149,'2025'!$F$24:$F$112,A149)</x:f>
        <x:v>1121.8</x:v>
      </x:c>
      <x:c r="H149" s="25" t="n">
        <x:f>SUMIFS('2015'!$E$24:$E$96,'2015'!$L$24:$L$96,A149&amp;" / "&amp;B149,'2015'!$C$24:$C$96,B149)+SUMIFS('2015'!$H$24:$H$96,'2015'!$L$24:$L$96,A149&amp;" / "&amp;B149,'2015'!$F$24:$F$96,B149)+SUMIFS('2016'!$E$24:$E$96,'2016'!$L$24:$L$96,A149&amp;" / "&amp;B149,'2016'!$C$24:$C$96,B149)+SUMIFS('2016'!$H$24:$H$96,'2016'!$L$24:$L$96,A149&amp;" / "&amp;B149,'2016'!$F$24:$F$96,B149)+SUMIFS('2017'!$E$24:$E$106,'2017'!$L$24:$L$106,A149&amp;" / "&amp;B149,'2017'!$C$24:$C$106,B149)+SUMIFS('2017'!$H$24:$H$106,'2017'!$L$24:$L$106,A149&amp;" / "&amp;B149,'2017'!$F$24:$F$106,B149)+SUMIFS('2018'!$E$24:$E$106,'2018'!$L$24:$L$106,A149&amp;" / "&amp;B149,'2018'!$C$24:$C$106,B149)+SUMIFS('2018'!$H$24:$H$106,'2018'!$L$24:$L$106,A149&amp;" / "&amp;B149,'2018'!$F$24:$F$106,B149)+SUMIFS('2019'!$E$24:$E$106,'2019'!$L$24:$L$106,A149&amp;" / "&amp;B149,'2019'!$C$24:$C$106,B149)+SUMIFS('2019'!$H$24:$H$106,'2019'!$L$24:$L$106,A149&amp;" / "&amp;B149,'2019'!$F$24:$F$106,B149)+SUMIFS('2020'!$E$24:$E$106,'2020'!$L$24:$L$106,A149&amp;" / "&amp;B149,'2020'!$C$24:$C$106,B149)+SUMIFS('2020'!$H$24:$H$106,'2020'!$L$24:$L$106,A149&amp;" / "&amp;B149,'2020'!$F$24:$F$106,B149)+SUMIFS('2021'!$E$24:$E$112,'2021'!$L$24:$L$112,A149&amp;" / "&amp;B149,'2021'!$C$24:$C$112,B149)+SUMIFS('2021'!$H$24:$H$112,'2021'!$L$24:$L$112,A149&amp;" / "&amp;B149,'2021'!$F$24:$F$112,B149)+SUMIFS('2022'!$E$24:$E$112,'2022'!$L$24:$L$112,A149&amp;" / "&amp;B149,'2022'!$C$24:$C$112,B149)+SUMIFS('2022'!$H$24:$H$112,'2022'!$L$24:$L$112,A149&amp;" / "&amp;B149,'2022'!$F$24:$F$112,B149)+SUMIFS('2023'!$E$24:$E$112,'2023'!$L$24:$L$112,A149&amp;" / "&amp;B149,'2023'!$C$24:$C$112,B149)+SUMIFS('2023'!$H$24:$H$112,'2023'!$L$24:$L$112,A149&amp;" / "&amp;B149,'2023'!$F$24:$F$112,B149)+SUMIFS('2024'!$E$24:$E$112,'2024'!$L$24:$L$112,A149&amp;" / "&amp;B149,'2024'!$C$24:$C$112,B149)+SUMIFS('2024'!$H$24:$H$112,'2024'!$L$24:$L$112,A149&amp;" / "&amp;B149,'2024'!$F$24:$F$112,B149)+SUMIFS('2025'!$E$24:$E$112,'2025'!$L$24:$L$112,A149&amp;" / "&amp;B149,'2025'!$C$24:$C$112,B149)+SUMIFS('2025'!$H$24:$H$112,'2025'!$L$24:$L$112,A149&amp;" / "&amp;B149,'2025'!$F$24:$F$112,B149)</x:f>
        <x:v>1099.6499999999999</x:v>
      </x:c>
      <x:c r="I149" s="11" t="n">
        <x:f>IF(C149=0,0,(D149+0.5*F149)/C149)</x:f>
        <x:v>0.4444444444444444</x:v>
      </x:c>
      <x:c r="J149" s="2" t="n">
        <x:f>COUNTIFS('2015'!$L$24:$L$96,A149&amp;" / "&amp;B149,'2015'!$B$24:$B$96,"Regular")+COUNTIFS('2016'!$L$24:$L$96,A149&amp;" / "&amp;B149,'2016'!$B$24:$B$96,"Regular")+COUNTIFS('2017'!$L$24:$L$106,A149&amp;" / "&amp;B149,'2017'!$B$24:$B$106,"Regular")+COUNTIFS('2018'!$L$24:$L$106,A149&amp;" / "&amp;B149,'2018'!$B$24:$B$106,"Regular")+COUNTIFS('2019'!$L$24:$L$106,A149&amp;" / "&amp;B149,'2019'!$B$24:$B$106,"Regular")+COUNTIFS('2020'!$L$24:$L$106,A149&amp;" / "&amp;B149,'2020'!$B$24:$B$106,"Regular")+COUNTIFS('2021'!$L$24:$L$112,A149&amp;" / "&amp;B149,'2021'!$B$24:$B$112,"Regular")+COUNTIFS('2022'!$L$24:$L$112,A149&amp;" / "&amp;B149,'2022'!$B$24:$B$112,"Regular")+COUNTIFS('2023'!$L$24:$L$112,A149&amp;" / "&amp;B149,'2023'!$B$24:$B$112,"Regular")+COUNTIFS('2024'!$L$24:$L$112,A149&amp;" / "&amp;B149,'2024'!$B$24:$B$112,"Regular")+COUNTIFS('2025'!$L$24:$L$112,A149&amp;" / "&amp;B149,'2025'!$B$24:$B$112,"Regular")</x:f>
        <x:v>9</x:v>
      </x:c>
      <x:c r="K149" s="2" t="n">
        <x:f>COUNTIFS('2015'!$L$24:$L$96,A149&amp;" / "&amp;B149,'2015'!$B$24:$B$96,"Playoffs")+COUNTIFS('2016'!$L$24:$L$96,A149&amp;" / "&amp;B149,'2016'!$B$24:$B$96,"Playoffs")+COUNTIFS('2017'!$L$24:$L$106,A149&amp;" / "&amp;B149,'2017'!$B$24:$B$106,"Playoffs")+COUNTIFS('2018'!$L$24:$L$106,A149&amp;" / "&amp;B149,'2018'!$B$24:$B$106,"Playoffs")+COUNTIFS('2019'!$L$24:$L$106,A149&amp;" / "&amp;B149,'2019'!$B$24:$B$106,"Playoffs")+COUNTIFS('2020'!$L$24:$L$106,A149&amp;" / "&amp;B149,'2020'!$B$24:$B$106,"Playoffs")+COUNTIFS('2021'!$L$24:$L$112,A149&amp;" / "&amp;B149,'2021'!$B$24:$B$112,"Playoffs")+COUNTIFS('2022'!$L$24:$L$112,A149&amp;" / "&amp;B149,'2022'!$B$24:$B$112,"Playoffs")+COUNTIFS('2023'!$L$24:$L$112,A149&amp;" / "&amp;B149,'2023'!$B$24:$B$112,"Playoffs")+COUNTIFS('2024'!$L$24:$L$112,A149&amp;" / "&amp;B149,'2024'!$B$24:$B$112,"Playoffs")+COUNTIFS('2025'!$L$24:$L$112,A149&amp;" / "&amp;B149,'2025'!$B$24:$B$112,"Playoffs")</x:f>
        <x:v>0</x:v>
      </x:c>
      <x:c r="L149" s="2" t="n">
        <x:f>COUNTIFS('2015'!$L$24:$L$96,A149&amp;" / "&amp;B149,'2015'!$B$24:$B$96,"Unconfirmed")+COUNTIFS('2016'!$L$24:$L$96,A149&amp;" / "&amp;B149,'2016'!$B$24:$B$96,"Unconfirmed")+COUNTIFS('2017'!$L$24:$L$106,A149&amp;" / "&amp;B149,'2017'!$B$24:$B$106,"Unconfirmed")+COUNTIFS('2018'!$L$24:$L$106,A149&amp;" / "&amp;B149,'2018'!$B$24:$B$106,"Unconfirmed")+COUNTIFS('2019'!$L$24:$L$106,A149&amp;" / "&amp;B149,'2019'!$B$24:$B$106,"Unconfirmed")+COUNTIFS('2020'!$L$24:$L$106,A149&amp;" / "&amp;B149,'2020'!$B$24:$B$106,"Unconfirmed")+COUNTIFS('2021'!$L$24:$L$112,A149&amp;" / "&amp;B149,'2021'!$B$24:$B$112,"Unconfirmed")+COUNTIFS('2022'!$L$24:$L$112,A149&amp;" / "&amp;B149,'2022'!$B$24:$B$112,"Unconfirmed")+COUNTIFS('2023'!$L$24:$L$112,A149&amp;" / "&amp;B149,'2023'!$B$24:$B$112,"Unconfirmed")+COUNTIFS('2024'!$L$24:$L$112,A149&amp;" / "&amp;B149,'2024'!$B$24:$B$112,"Unconfirmed")+COUNTIFS('2025'!$L$24:$L$112,A149&amp;" / "&amp;B149,'2025'!$B$24:$B$112,"Unconfirmed")</x:f>
        <x:v>0</x:v>
      </x:c>
    </x:row>
    <x:row r="150" ht="22" customHeight="1">
      <x:c r="A150" s="2" t="str">
        <x:v>Matt</x:v>
      </x:c>
      <x:c r="B150" s="2" t="str">
        <x:v>Poker Dude</x:v>
      </x:c>
      <x:c r="C150" s="2" t="n">
        <x:f>COUNTIFS('2015'!$L$24:$L$96,A150&amp;" / "&amp;B150)+COUNTIFS('2016'!$L$24:$L$96,A150&amp;" / "&amp;B150)+COUNTIFS('2017'!$L$24:$L$106,A150&amp;" / "&amp;B150)+COUNTIFS('2018'!$L$24:$L$106,A150&amp;" / "&amp;B150)+COUNTIFS('2019'!$L$24:$L$106,A150&amp;" / "&amp;B150)+COUNTIFS('2020'!$L$24:$L$106,A150&amp;" / "&amp;B150)+COUNTIFS('2021'!$L$24:$L$112,A150&amp;" / "&amp;B150)+COUNTIFS('2022'!$L$24:$L$112,A150&amp;" / "&amp;B150)+COUNTIFS('2023'!$L$24:$L$112,A150&amp;" / "&amp;B150)+COUNTIFS('2024'!$L$24:$L$112,A150&amp;" / "&amp;B150)+COUNTIFS('2025'!$L$24:$L$112,A150&amp;" / "&amp;B150)</x:f>
        <x:v>6</x:v>
      </x:c>
      <x:c r="D150" s="2" t="n">
        <x:f>COUNTIFS('2015'!$L$24:$L$96,A150&amp;" / "&amp;B150,'2015'!$I$24:$I$96,A150)+COUNTIFS('2016'!$L$24:$L$96,A150&amp;" / "&amp;B150,'2016'!$I$24:$I$96,A150)+COUNTIFS('2017'!$L$24:$L$106,A150&amp;" / "&amp;B150,'2017'!$I$24:$I$106,A150)+COUNTIFS('2018'!$L$24:$L$106,A150&amp;" / "&amp;B150,'2018'!$I$24:$I$106,A150)+COUNTIFS('2019'!$L$24:$L$106,A150&amp;" / "&amp;B150,'2019'!$I$24:$I$106,A150)+COUNTIFS('2020'!$L$24:$L$106,A150&amp;" / "&amp;B150,'2020'!$I$24:$I$106,A150)+COUNTIFS('2021'!$L$24:$L$112,A150&amp;" / "&amp;B150,'2021'!$I$24:$I$112,A150)+COUNTIFS('2022'!$L$24:$L$112,A150&amp;" / "&amp;B150,'2022'!$I$24:$I$112,A150)+COUNTIFS('2023'!$L$24:$L$112,A150&amp;" / "&amp;B150,'2023'!$I$24:$I$112,A150)+COUNTIFS('2024'!$L$24:$L$112,A150&amp;" / "&amp;B150,'2024'!$I$24:$I$112,A150)+COUNTIFS('2025'!$L$24:$L$112,A150&amp;" / "&amp;B150,'2025'!$I$24:$I$112,A150)</x:f>
        <x:v>4</x:v>
      </x:c>
      <x:c r="E150" s="2" t="n">
        <x:f>COUNTIFS('2015'!$L$24:$L$96,A150&amp;" / "&amp;B150,'2015'!$I$24:$I$96,B150)+COUNTIFS('2016'!$L$24:$L$96,A150&amp;" / "&amp;B150,'2016'!$I$24:$I$96,B150)+COUNTIFS('2017'!$L$24:$L$106,A150&amp;" / "&amp;B150,'2017'!$I$24:$I$106,B150)+COUNTIFS('2018'!$L$24:$L$106,A150&amp;" / "&amp;B150,'2018'!$I$24:$I$106,B150)+COUNTIFS('2019'!$L$24:$L$106,A150&amp;" / "&amp;B150,'2019'!$I$24:$I$106,B150)+COUNTIFS('2020'!$L$24:$L$106,A150&amp;" / "&amp;B150,'2020'!$I$24:$I$106,B150)+COUNTIFS('2021'!$L$24:$L$112,A150&amp;" / "&amp;B150,'2021'!$I$24:$I$112,B150)+COUNTIFS('2022'!$L$24:$L$112,A150&amp;" / "&amp;B150,'2022'!$I$24:$I$112,B150)+COUNTIFS('2023'!$L$24:$L$112,A150&amp;" / "&amp;B150,'2023'!$I$24:$I$112,B150)+COUNTIFS('2024'!$L$24:$L$112,A150&amp;" / "&amp;B150,'2024'!$I$24:$I$112,B150)+COUNTIFS('2025'!$L$24:$L$112,A150&amp;" / "&amp;B150,'2025'!$I$24:$I$112,B150)</x:f>
        <x:v>2</x:v>
      </x:c>
      <x:c r="F150" s="2" t="n">
        <x:f>COUNTIFS('2015'!$L$24:$L$96,A150&amp;" / "&amp;B150,'2015'!$K$24:$K$96,1)+COUNTIFS('2016'!$L$24:$L$96,A150&amp;" / "&amp;B150,'2016'!$K$24:$K$96,1)+COUNTIFS('2017'!$L$24:$L$106,A150&amp;" / "&amp;B150,'2017'!$K$24:$K$106,1)+COUNTIFS('2018'!$L$24:$L$106,A150&amp;" / "&amp;B150,'2018'!$K$24:$K$106,1)+COUNTIFS('2019'!$L$24:$L$106,A150&amp;" / "&amp;B150,'2019'!$K$24:$K$106,1)+COUNTIFS('2020'!$L$24:$L$106,A150&amp;" / "&amp;B150,'2020'!$K$24:$K$106,1)+COUNTIFS('2021'!$L$24:$L$112,A150&amp;" / "&amp;B150,'2021'!$K$24:$K$112,1)+COUNTIFS('2022'!$L$24:$L$112,A150&amp;" / "&amp;B150,'2022'!$K$24:$K$112,1)+COUNTIFS('2023'!$L$24:$L$112,A150&amp;" / "&amp;B150,'2023'!$K$24:$K$112,1)+COUNTIFS('2024'!$L$24:$L$112,A150&amp;" / "&amp;B150,'2024'!$K$24:$K$112,1)+COUNTIFS('2025'!$L$24:$L$112,A150&amp;" / "&amp;B150,'2025'!$K$24:$K$112,1)</x:f>
        <x:v>0</x:v>
      </x:c>
      <x:c r="G150" s="25" t="n">
        <x:f>SUMIFS('2015'!$E$24:$E$96,'2015'!$L$24:$L$96,A150&amp;" / "&amp;B150,'2015'!$C$24:$C$96,A150)+SUMIFS('2015'!$H$24:$H$96,'2015'!$L$24:$L$96,A150&amp;" / "&amp;B150,'2015'!$F$24:$F$96,A150)+SUMIFS('2016'!$E$24:$E$96,'2016'!$L$24:$L$96,A150&amp;" / "&amp;B150,'2016'!$C$24:$C$96,A150)+SUMIFS('2016'!$H$24:$H$96,'2016'!$L$24:$L$96,A150&amp;" / "&amp;B150,'2016'!$F$24:$F$96,A150)+SUMIFS('2017'!$E$24:$E$106,'2017'!$L$24:$L$106,A150&amp;" / "&amp;B150,'2017'!$C$24:$C$106,A150)+SUMIFS('2017'!$H$24:$H$106,'2017'!$L$24:$L$106,A150&amp;" / "&amp;B150,'2017'!$F$24:$F$106,A150)+SUMIFS('2018'!$E$24:$E$106,'2018'!$L$24:$L$106,A150&amp;" / "&amp;B150,'2018'!$C$24:$C$106,A150)+SUMIFS('2018'!$H$24:$H$106,'2018'!$L$24:$L$106,A150&amp;" / "&amp;B150,'2018'!$F$24:$F$106,A150)+SUMIFS('2019'!$E$24:$E$106,'2019'!$L$24:$L$106,A150&amp;" / "&amp;B150,'2019'!$C$24:$C$106,A150)+SUMIFS('2019'!$H$24:$H$106,'2019'!$L$24:$L$106,A150&amp;" / "&amp;B150,'2019'!$F$24:$F$106,A150)+SUMIFS('2020'!$E$24:$E$106,'2020'!$L$24:$L$106,A150&amp;" / "&amp;B150,'2020'!$C$24:$C$106,A150)+SUMIFS('2020'!$H$24:$H$106,'2020'!$L$24:$L$106,A150&amp;" / "&amp;B150,'2020'!$F$24:$F$106,A150)+SUMIFS('2021'!$E$24:$E$112,'2021'!$L$24:$L$112,A150&amp;" / "&amp;B150,'2021'!$C$24:$C$112,A150)+SUMIFS('2021'!$H$24:$H$112,'2021'!$L$24:$L$112,A150&amp;" / "&amp;B150,'2021'!$F$24:$F$112,A150)+SUMIFS('2022'!$E$24:$E$112,'2022'!$L$24:$L$112,A150&amp;" / "&amp;B150,'2022'!$C$24:$C$112,A150)+SUMIFS('2022'!$H$24:$H$112,'2022'!$L$24:$L$112,A150&amp;" / "&amp;B150,'2022'!$F$24:$F$112,A150)+SUMIFS('2023'!$E$24:$E$112,'2023'!$L$24:$L$112,A150&amp;" / "&amp;B150,'2023'!$C$24:$C$112,A150)+SUMIFS('2023'!$H$24:$H$112,'2023'!$L$24:$L$112,A150&amp;" / "&amp;B150,'2023'!$F$24:$F$112,A150)+SUMIFS('2024'!$E$24:$E$112,'2024'!$L$24:$L$112,A150&amp;" / "&amp;B150,'2024'!$C$24:$C$112,A150)+SUMIFS('2024'!$H$24:$H$112,'2024'!$L$24:$L$112,A150&amp;" / "&amp;B150,'2024'!$F$24:$F$112,A150)+SUMIFS('2025'!$E$24:$E$112,'2025'!$L$24:$L$112,A150&amp;" / "&amp;B150,'2025'!$C$24:$C$112,A150)+SUMIFS('2025'!$H$24:$H$112,'2025'!$L$24:$L$112,A150&amp;" / "&amp;B150,'2025'!$F$24:$F$112,A150)</x:f>
        <x:v>729.0500000000001</x:v>
      </x:c>
      <x:c r="H150" s="25" t="n">
        <x:f>SUMIFS('2015'!$E$24:$E$96,'2015'!$L$24:$L$96,A150&amp;" / "&amp;B150,'2015'!$C$24:$C$96,B150)+SUMIFS('2015'!$H$24:$H$96,'2015'!$L$24:$L$96,A150&amp;" / "&amp;B150,'2015'!$F$24:$F$96,B150)+SUMIFS('2016'!$E$24:$E$96,'2016'!$L$24:$L$96,A150&amp;" / "&amp;B150,'2016'!$C$24:$C$96,B150)+SUMIFS('2016'!$H$24:$H$96,'2016'!$L$24:$L$96,A150&amp;" / "&amp;B150,'2016'!$F$24:$F$96,B150)+SUMIFS('2017'!$E$24:$E$106,'2017'!$L$24:$L$106,A150&amp;" / "&amp;B150,'2017'!$C$24:$C$106,B150)+SUMIFS('2017'!$H$24:$H$106,'2017'!$L$24:$L$106,A150&amp;" / "&amp;B150,'2017'!$F$24:$F$106,B150)+SUMIFS('2018'!$E$24:$E$106,'2018'!$L$24:$L$106,A150&amp;" / "&amp;B150,'2018'!$C$24:$C$106,B150)+SUMIFS('2018'!$H$24:$H$106,'2018'!$L$24:$L$106,A150&amp;" / "&amp;B150,'2018'!$F$24:$F$106,B150)+SUMIFS('2019'!$E$24:$E$106,'2019'!$L$24:$L$106,A150&amp;" / "&amp;B150,'2019'!$C$24:$C$106,B150)+SUMIFS('2019'!$H$24:$H$106,'2019'!$L$24:$L$106,A150&amp;" / "&amp;B150,'2019'!$F$24:$F$106,B150)+SUMIFS('2020'!$E$24:$E$106,'2020'!$L$24:$L$106,A150&amp;" / "&amp;B150,'2020'!$C$24:$C$106,B150)+SUMIFS('2020'!$H$24:$H$106,'2020'!$L$24:$L$106,A150&amp;" / "&amp;B150,'2020'!$F$24:$F$106,B150)+SUMIFS('2021'!$E$24:$E$112,'2021'!$L$24:$L$112,A150&amp;" / "&amp;B150,'2021'!$C$24:$C$112,B150)+SUMIFS('2021'!$H$24:$H$112,'2021'!$L$24:$L$112,A150&amp;" / "&amp;B150,'2021'!$F$24:$F$112,B150)+SUMIFS('2022'!$E$24:$E$112,'2022'!$L$24:$L$112,A150&amp;" / "&amp;B150,'2022'!$C$24:$C$112,B150)+SUMIFS('2022'!$H$24:$H$112,'2022'!$L$24:$L$112,A150&amp;" / "&amp;B150,'2022'!$F$24:$F$112,B150)+SUMIFS('2023'!$E$24:$E$112,'2023'!$L$24:$L$112,A150&amp;" / "&amp;B150,'2023'!$C$24:$C$112,B150)+SUMIFS('2023'!$H$24:$H$112,'2023'!$L$24:$L$112,A150&amp;" / "&amp;B150,'2023'!$F$24:$F$112,B150)+SUMIFS('2024'!$E$24:$E$112,'2024'!$L$24:$L$112,A150&amp;" / "&amp;B150,'2024'!$C$24:$C$112,B150)+SUMIFS('2024'!$H$24:$H$112,'2024'!$L$24:$L$112,A150&amp;" / "&amp;B150,'2024'!$F$24:$F$112,B150)+SUMIFS('2025'!$E$24:$E$112,'2025'!$L$24:$L$112,A150&amp;" / "&amp;B150,'2025'!$C$24:$C$112,B150)+SUMIFS('2025'!$H$24:$H$112,'2025'!$L$24:$L$112,A150&amp;" / "&amp;B150,'2025'!$F$24:$F$112,B150)</x:f>
        <x:v>750.75</x:v>
      </x:c>
      <x:c r="I150" s="11" t="n">
        <x:f>IF(C150=0,0,(D150+0.5*F150)/C150)</x:f>
        <x:v>0.6666666666666666</x:v>
      </x:c>
      <x:c r="J150" s="2" t="n">
        <x:f>COUNTIFS('2015'!$L$24:$L$96,A150&amp;" / "&amp;B150,'2015'!$B$24:$B$96,"Regular")+COUNTIFS('2016'!$L$24:$L$96,A150&amp;" / "&amp;B150,'2016'!$B$24:$B$96,"Regular")+COUNTIFS('2017'!$L$24:$L$106,A150&amp;" / "&amp;B150,'2017'!$B$24:$B$106,"Regular")+COUNTIFS('2018'!$L$24:$L$106,A150&amp;" / "&amp;B150,'2018'!$B$24:$B$106,"Regular")+COUNTIFS('2019'!$L$24:$L$106,A150&amp;" / "&amp;B150,'2019'!$B$24:$B$106,"Regular")+COUNTIFS('2020'!$L$24:$L$106,A150&amp;" / "&amp;B150,'2020'!$B$24:$B$106,"Regular")+COUNTIFS('2021'!$L$24:$L$112,A150&amp;" / "&amp;B150,'2021'!$B$24:$B$112,"Regular")+COUNTIFS('2022'!$L$24:$L$112,A150&amp;" / "&amp;B150,'2022'!$B$24:$B$112,"Regular")+COUNTIFS('2023'!$L$24:$L$112,A150&amp;" / "&amp;B150,'2023'!$B$24:$B$112,"Regular")+COUNTIFS('2024'!$L$24:$L$112,A150&amp;" / "&amp;B150,'2024'!$B$24:$B$112,"Regular")+COUNTIFS('2025'!$L$24:$L$112,A150&amp;" / "&amp;B150,'2025'!$B$24:$B$112,"Regular")</x:f>
        <x:v>5</x:v>
      </x:c>
      <x:c r="K150" s="2" t="n">
        <x:f>COUNTIFS('2015'!$L$24:$L$96,A150&amp;" / "&amp;B150,'2015'!$B$24:$B$96,"Playoffs")+COUNTIFS('2016'!$L$24:$L$96,A150&amp;" / "&amp;B150,'2016'!$B$24:$B$96,"Playoffs")+COUNTIFS('2017'!$L$24:$L$106,A150&amp;" / "&amp;B150,'2017'!$B$24:$B$106,"Playoffs")+COUNTIFS('2018'!$L$24:$L$106,A150&amp;" / "&amp;B150,'2018'!$B$24:$B$106,"Playoffs")+COUNTIFS('2019'!$L$24:$L$106,A150&amp;" / "&amp;B150,'2019'!$B$24:$B$106,"Playoffs")+COUNTIFS('2020'!$L$24:$L$106,A150&amp;" / "&amp;B150,'2020'!$B$24:$B$106,"Playoffs")+COUNTIFS('2021'!$L$24:$L$112,A150&amp;" / "&amp;B150,'2021'!$B$24:$B$112,"Playoffs")+COUNTIFS('2022'!$L$24:$L$112,A150&amp;" / "&amp;B150,'2022'!$B$24:$B$112,"Playoffs")+COUNTIFS('2023'!$L$24:$L$112,A150&amp;" / "&amp;B150,'2023'!$B$24:$B$112,"Playoffs")+COUNTIFS('2024'!$L$24:$L$112,A150&amp;" / "&amp;B150,'2024'!$B$24:$B$112,"Playoffs")+COUNTIFS('2025'!$L$24:$L$112,A150&amp;" / "&amp;B150,'2025'!$B$24:$B$112,"Playoffs")</x:f>
        <x:v>1</x:v>
      </x:c>
      <x:c r="L150" s="2" t="n">
        <x:f>COUNTIFS('2015'!$L$24:$L$96,A150&amp;" / "&amp;B150,'2015'!$B$24:$B$96,"Unconfirmed")+COUNTIFS('2016'!$L$24:$L$96,A150&amp;" / "&amp;B150,'2016'!$B$24:$B$96,"Unconfirmed")+COUNTIFS('2017'!$L$24:$L$106,A150&amp;" / "&amp;B150,'2017'!$B$24:$B$106,"Unconfirmed")+COUNTIFS('2018'!$L$24:$L$106,A150&amp;" / "&amp;B150,'2018'!$B$24:$B$106,"Unconfirmed")+COUNTIFS('2019'!$L$24:$L$106,A150&amp;" / "&amp;B150,'2019'!$B$24:$B$106,"Unconfirmed")+COUNTIFS('2020'!$L$24:$L$106,A150&amp;" / "&amp;B150,'2020'!$B$24:$B$106,"Unconfirmed")+COUNTIFS('2021'!$L$24:$L$112,A150&amp;" / "&amp;B150,'2021'!$B$24:$B$112,"Unconfirmed")+COUNTIFS('2022'!$L$24:$L$112,A150&amp;" / "&amp;B150,'2022'!$B$24:$B$112,"Unconfirmed")+COUNTIFS('2023'!$L$24:$L$112,A150&amp;" / "&amp;B150,'2023'!$B$24:$B$112,"Unconfirmed")+COUNTIFS('2024'!$L$24:$L$112,A150&amp;" / "&amp;B150,'2024'!$B$24:$B$112,"Unconfirmed")+COUNTIFS('2025'!$L$24:$L$112,A150&amp;" / "&amp;B150,'2025'!$B$24:$B$112,"Unconfirmed")</x:f>
        <x:v>0</x:v>
      </x:c>
    </x:row>
    <x:row r="151" ht="22" customHeight="1">
      <x:c r="A151" s="2" t="str">
        <x:v>Matt</x:v>
      </x:c>
      <x:c r="B151" s="2" t="str">
        <x:v>Ryan</x:v>
      </x:c>
      <x:c r="C151" s="2" t="n">
        <x:f>COUNTIFS('2015'!$L$24:$L$96,A151&amp;" / "&amp;B151)+COUNTIFS('2016'!$L$24:$L$96,A151&amp;" / "&amp;B151)+COUNTIFS('2017'!$L$24:$L$106,A151&amp;" / "&amp;B151)+COUNTIFS('2018'!$L$24:$L$106,A151&amp;" / "&amp;B151)+COUNTIFS('2019'!$L$24:$L$106,A151&amp;" / "&amp;B151)+COUNTIFS('2020'!$L$24:$L$106,A151&amp;" / "&amp;B151)+COUNTIFS('2021'!$L$24:$L$112,A151&amp;" / "&amp;B151)+COUNTIFS('2022'!$L$24:$L$112,A151&amp;" / "&amp;B151)+COUNTIFS('2023'!$L$24:$L$112,A151&amp;" / "&amp;B151)+COUNTIFS('2024'!$L$24:$L$112,A151&amp;" / "&amp;B151)+COUNTIFS('2025'!$L$24:$L$112,A151&amp;" / "&amp;B151)</x:f>
        <x:v>2</x:v>
      </x:c>
      <x:c r="D151" s="2" t="n">
        <x:f>COUNTIFS('2015'!$L$24:$L$96,A151&amp;" / "&amp;B151,'2015'!$I$24:$I$96,A151)+COUNTIFS('2016'!$L$24:$L$96,A151&amp;" / "&amp;B151,'2016'!$I$24:$I$96,A151)+COUNTIFS('2017'!$L$24:$L$106,A151&amp;" / "&amp;B151,'2017'!$I$24:$I$106,A151)+COUNTIFS('2018'!$L$24:$L$106,A151&amp;" / "&amp;B151,'2018'!$I$24:$I$106,A151)+COUNTIFS('2019'!$L$24:$L$106,A151&amp;" / "&amp;B151,'2019'!$I$24:$I$106,A151)+COUNTIFS('2020'!$L$24:$L$106,A151&amp;" / "&amp;B151,'2020'!$I$24:$I$106,A151)+COUNTIFS('2021'!$L$24:$L$112,A151&amp;" / "&amp;B151,'2021'!$I$24:$I$112,A151)+COUNTIFS('2022'!$L$24:$L$112,A151&amp;" / "&amp;B151,'2022'!$I$24:$I$112,A151)+COUNTIFS('2023'!$L$24:$L$112,A151&amp;" / "&amp;B151,'2023'!$I$24:$I$112,A151)+COUNTIFS('2024'!$L$24:$L$112,A151&amp;" / "&amp;B151,'2024'!$I$24:$I$112,A151)+COUNTIFS('2025'!$L$24:$L$112,A151&amp;" / "&amp;B151,'2025'!$I$24:$I$112,A151)</x:f>
        <x:v>1</x:v>
      </x:c>
      <x:c r="E151" s="2" t="n">
        <x:f>COUNTIFS('2015'!$L$24:$L$96,A151&amp;" / "&amp;B151,'2015'!$I$24:$I$96,B151)+COUNTIFS('2016'!$L$24:$L$96,A151&amp;" / "&amp;B151,'2016'!$I$24:$I$96,B151)+COUNTIFS('2017'!$L$24:$L$106,A151&amp;" / "&amp;B151,'2017'!$I$24:$I$106,B151)+COUNTIFS('2018'!$L$24:$L$106,A151&amp;" / "&amp;B151,'2018'!$I$24:$I$106,B151)+COUNTIFS('2019'!$L$24:$L$106,A151&amp;" / "&amp;B151,'2019'!$I$24:$I$106,B151)+COUNTIFS('2020'!$L$24:$L$106,A151&amp;" / "&amp;B151,'2020'!$I$24:$I$106,B151)+COUNTIFS('2021'!$L$24:$L$112,A151&amp;" / "&amp;B151,'2021'!$I$24:$I$112,B151)+COUNTIFS('2022'!$L$24:$L$112,A151&amp;" / "&amp;B151,'2022'!$I$24:$I$112,B151)+COUNTIFS('2023'!$L$24:$L$112,A151&amp;" / "&amp;B151,'2023'!$I$24:$I$112,B151)+COUNTIFS('2024'!$L$24:$L$112,A151&amp;" / "&amp;B151,'2024'!$I$24:$I$112,B151)+COUNTIFS('2025'!$L$24:$L$112,A151&amp;" / "&amp;B151,'2025'!$I$24:$I$112,B151)</x:f>
        <x:v>1</x:v>
      </x:c>
      <x:c r="F151" s="2" t="n">
        <x:f>COUNTIFS('2015'!$L$24:$L$96,A151&amp;" / "&amp;B151,'2015'!$K$24:$K$96,1)+COUNTIFS('2016'!$L$24:$L$96,A151&amp;" / "&amp;B151,'2016'!$K$24:$K$96,1)+COUNTIFS('2017'!$L$24:$L$106,A151&amp;" / "&amp;B151,'2017'!$K$24:$K$106,1)+COUNTIFS('2018'!$L$24:$L$106,A151&amp;" / "&amp;B151,'2018'!$K$24:$K$106,1)+COUNTIFS('2019'!$L$24:$L$106,A151&amp;" / "&amp;B151,'2019'!$K$24:$K$106,1)+COUNTIFS('2020'!$L$24:$L$106,A151&amp;" / "&amp;B151,'2020'!$K$24:$K$106,1)+COUNTIFS('2021'!$L$24:$L$112,A151&amp;" / "&amp;B151,'2021'!$K$24:$K$112,1)+COUNTIFS('2022'!$L$24:$L$112,A151&amp;" / "&amp;B151,'2022'!$K$24:$K$112,1)+COUNTIFS('2023'!$L$24:$L$112,A151&amp;" / "&amp;B151,'2023'!$K$24:$K$112,1)+COUNTIFS('2024'!$L$24:$L$112,A151&amp;" / "&amp;B151,'2024'!$K$24:$K$112,1)+COUNTIFS('2025'!$L$24:$L$112,A151&amp;" / "&amp;B151,'2025'!$K$24:$K$112,1)</x:f>
        <x:v>0</x:v>
      </x:c>
      <x:c r="G151" s="25" t="n">
        <x:f>SUMIFS('2015'!$E$24:$E$96,'2015'!$L$24:$L$96,A151&amp;" / "&amp;B151,'2015'!$C$24:$C$96,A151)+SUMIFS('2015'!$H$24:$H$96,'2015'!$L$24:$L$96,A151&amp;" / "&amp;B151,'2015'!$F$24:$F$96,A151)+SUMIFS('2016'!$E$24:$E$96,'2016'!$L$24:$L$96,A151&amp;" / "&amp;B151,'2016'!$C$24:$C$96,A151)+SUMIFS('2016'!$H$24:$H$96,'2016'!$L$24:$L$96,A151&amp;" / "&amp;B151,'2016'!$F$24:$F$96,A151)+SUMIFS('2017'!$E$24:$E$106,'2017'!$L$24:$L$106,A151&amp;" / "&amp;B151,'2017'!$C$24:$C$106,A151)+SUMIFS('2017'!$H$24:$H$106,'2017'!$L$24:$L$106,A151&amp;" / "&amp;B151,'2017'!$F$24:$F$106,A151)+SUMIFS('2018'!$E$24:$E$106,'2018'!$L$24:$L$106,A151&amp;" / "&amp;B151,'2018'!$C$24:$C$106,A151)+SUMIFS('2018'!$H$24:$H$106,'2018'!$L$24:$L$106,A151&amp;" / "&amp;B151,'2018'!$F$24:$F$106,A151)+SUMIFS('2019'!$E$24:$E$106,'2019'!$L$24:$L$106,A151&amp;" / "&amp;B151,'2019'!$C$24:$C$106,A151)+SUMIFS('2019'!$H$24:$H$106,'2019'!$L$24:$L$106,A151&amp;" / "&amp;B151,'2019'!$F$24:$F$106,A151)+SUMIFS('2020'!$E$24:$E$106,'2020'!$L$24:$L$106,A151&amp;" / "&amp;B151,'2020'!$C$24:$C$106,A151)+SUMIFS('2020'!$H$24:$H$106,'2020'!$L$24:$L$106,A151&amp;" / "&amp;B151,'2020'!$F$24:$F$106,A151)+SUMIFS('2021'!$E$24:$E$112,'2021'!$L$24:$L$112,A151&amp;" / "&amp;B151,'2021'!$C$24:$C$112,A151)+SUMIFS('2021'!$H$24:$H$112,'2021'!$L$24:$L$112,A151&amp;" / "&amp;B151,'2021'!$F$24:$F$112,A151)+SUMIFS('2022'!$E$24:$E$112,'2022'!$L$24:$L$112,A151&amp;" / "&amp;B151,'2022'!$C$24:$C$112,A151)+SUMIFS('2022'!$H$24:$H$112,'2022'!$L$24:$L$112,A151&amp;" / "&amp;B151,'2022'!$F$24:$F$112,A151)+SUMIFS('2023'!$E$24:$E$112,'2023'!$L$24:$L$112,A151&amp;" / "&amp;B151,'2023'!$C$24:$C$112,A151)+SUMIFS('2023'!$H$24:$H$112,'2023'!$L$24:$L$112,A151&amp;" / "&amp;B151,'2023'!$F$24:$F$112,A151)+SUMIFS('2024'!$E$24:$E$112,'2024'!$L$24:$L$112,A151&amp;" / "&amp;B151,'2024'!$C$24:$C$112,A151)+SUMIFS('2024'!$H$24:$H$112,'2024'!$L$24:$L$112,A151&amp;" / "&amp;B151,'2024'!$F$24:$F$112,A151)+SUMIFS('2025'!$E$24:$E$112,'2025'!$L$24:$L$112,A151&amp;" / "&amp;B151,'2025'!$C$24:$C$112,A151)+SUMIFS('2025'!$H$24:$H$112,'2025'!$L$24:$L$112,A151&amp;" / "&amp;B151,'2025'!$F$24:$F$112,A151)</x:f>
        <x:v>216</x:v>
      </x:c>
      <x:c r="H151" s="25" t="n">
        <x:f>SUMIFS('2015'!$E$24:$E$96,'2015'!$L$24:$L$96,A151&amp;" / "&amp;B151,'2015'!$C$24:$C$96,B151)+SUMIFS('2015'!$H$24:$H$96,'2015'!$L$24:$L$96,A151&amp;" / "&amp;B151,'2015'!$F$24:$F$96,B151)+SUMIFS('2016'!$E$24:$E$96,'2016'!$L$24:$L$96,A151&amp;" / "&amp;B151,'2016'!$C$24:$C$96,B151)+SUMIFS('2016'!$H$24:$H$96,'2016'!$L$24:$L$96,A151&amp;" / "&amp;B151,'2016'!$F$24:$F$96,B151)+SUMIFS('2017'!$E$24:$E$106,'2017'!$L$24:$L$106,A151&amp;" / "&amp;B151,'2017'!$C$24:$C$106,B151)+SUMIFS('2017'!$H$24:$H$106,'2017'!$L$24:$L$106,A151&amp;" / "&amp;B151,'2017'!$F$24:$F$106,B151)+SUMIFS('2018'!$E$24:$E$106,'2018'!$L$24:$L$106,A151&amp;" / "&amp;B151,'2018'!$C$24:$C$106,B151)+SUMIFS('2018'!$H$24:$H$106,'2018'!$L$24:$L$106,A151&amp;" / "&amp;B151,'2018'!$F$24:$F$106,B151)+SUMIFS('2019'!$E$24:$E$106,'2019'!$L$24:$L$106,A151&amp;" / "&amp;B151,'2019'!$C$24:$C$106,B151)+SUMIFS('2019'!$H$24:$H$106,'2019'!$L$24:$L$106,A151&amp;" / "&amp;B151,'2019'!$F$24:$F$106,B151)+SUMIFS('2020'!$E$24:$E$106,'2020'!$L$24:$L$106,A151&amp;" / "&amp;B151,'2020'!$C$24:$C$106,B151)+SUMIFS('2020'!$H$24:$H$106,'2020'!$L$24:$L$106,A151&amp;" / "&amp;B151,'2020'!$F$24:$F$106,B151)+SUMIFS('2021'!$E$24:$E$112,'2021'!$L$24:$L$112,A151&amp;" / "&amp;B151,'2021'!$C$24:$C$112,B151)+SUMIFS('2021'!$H$24:$H$112,'2021'!$L$24:$L$112,A151&amp;" / "&amp;B151,'2021'!$F$24:$F$112,B151)+SUMIFS('2022'!$E$24:$E$112,'2022'!$L$24:$L$112,A151&amp;" / "&amp;B151,'2022'!$C$24:$C$112,B151)+SUMIFS('2022'!$H$24:$H$112,'2022'!$L$24:$L$112,A151&amp;" / "&amp;B151,'2022'!$F$24:$F$112,B151)+SUMIFS('2023'!$E$24:$E$112,'2023'!$L$24:$L$112,A151&amp;" / "&amp;B151,'2023'!$C$24:$C$112,B151)+SUMIFS('2023'!$H$24:$H$112,'2023'!$L$24:$L$112,A151&amp;" / "&amp;B151,'2023'!$F$24:$F$112,B151)+SUMIFS('2024'!$E$24:$E$112,'2024'!$L$24:$L$112,A151&amp;" / "&amp;B151,'2024'!$C$24:$C$112,B151)+SUMIFS('2024'!$H$24:$H$112,'2024'!$L$24:$L$112,A151&amp;" / "&amp;B151,'2024'!$F$24:$F$112,B151)+SUMIFS('2025'!$E$24:$E$112,'2025'!$L$24:$L$112,A151&amp;" / "&amp;B151,'2025'!$C$24:$C$112,B151)+SUMIFS('2025'!$H$24:$H$112,'2025'!$L$24:$L$112,A151&amp;" / "&amp;B151,'2025'!$F$24:$F$112,B151)</x:f>
        <x:v>203.8</x:v>
      </x:c>
      <x:c r="I151" s="11" t="n">
        <x:f>IF(C151=0,0,(D151+0.5*F151)/C151)</x:f>
        <x:v>0.5</x:v>
      </x:c>
      <x:c r="J151" s="2" t="n">
        <x:f>COUNTIFS('2015'!$L$24:$L$96,A151&amp;" / "&amp;B151,'2015'!$B$24:$B$96,"Regular")+COUNTIFS('2016'!$L$24:$L$96,A151&amp;" / "&amp;B151,'2016'!$B$24:$B$96,"Regular")+COUNTIFS('2017'!$L$24:$L$106,A151&amp;" / "&amp;B151,'2017'!$B$24:$B$106,"Regular")+COUNTIFS('2018'!$L$24:$L$106,A151&amp;" / "&amp;B151,'2018'!$B$24:$B$106,"Regular")+COUNTIFS('2019'!$L$24:$L$106,A151&amp;" / "&amp;B151,'2019'!$B$24:$B$106,"Regular")+COUNTIFS('2020'!$L$24:$L$106,A151&amp;" / "&amp;B151,'2020'!$B$24:$B$106,"Regular")+COUNTIFS('2021'!$L$24:$L$112,A151&amp;" / "&amp;B151,'2021'!$B$24:$B$112,"Regular")+COUNTIFS('2022'!$L$24:$L$112,A151&amp;" / "&amp;B151,'2022'!$B$24:$B$112,"Regular")+COUNTIFS('2023'!$L$24:$L$112,A151&amp;" / "&amp;B151,'2023'!$B$24:$B$112,"Regular")+COUNTIFS('2024'!$L$24:$L$112,A151&amp;" / "&amp;B151,'2024'!$B$24:$B$112,"Regular")+COUNTIFS('2025'!$L$24:$L$112,A151&amp;" / "&amp;B151,'2025'!$B$24:$B$112,"Regular")</x:f>
        <x:v>2</x:v>
      </x:c>
      <x:c r="K151" s="2" t="n">
        <x:f>COUNTIFS('2015'!$L$24:$L$96,A151&amp;" / "&amp;B151,'2015'!$B$24:$B$96,"Playoffs")+COUNTIFS('2016'!$L$24:$L$96,A151&amp;" / "&amp;B151,'2016'!$B$24:$B$96,"Playoffs")+COUNTIFS('2017'!$L$24:$L$106,A151&amp;" / "&amp;B151,'2017'!$B$24:$B$106,"Playoffs")+COUNTIFS('2018'!$L$24:$L$106,A151&amp;" / "&amp;B151,'2018'!$B$24:$B$106,"Playoffs")+COUNTIFS('2019'!$L$24:$L$106,A151&amp;" / "&amp;B151,'2019'!$B$24:$B$106,"Playoffs")+COUNTIFS('2020'!$L$24:$L$106,A151&amp;" / "&amp;B151,'2020'!$B$24:$B$106,"Playoffs")+COUNTIFS('2021'!$L$24:$L$112,A151&amp;" / "&amp;B151,'2021'!$B$24:$B$112,"Playoffs")+COUNTIFS('2022'!$L$24:$L$112,A151&amp;" / "&amp;B151,'2022'!$B$24:$B$112,"Playoffs")+COUNTIFS('2023'!$L$24:$L$112,A151&amp;" / "&amp;B151,'2023'!$B$24:$B$112,"Playoffs")+COUNTIFS('2024'!$L$24:$L$112,A151&amp;" / "&amp;B151,'2024'!$B$24:$B$112,"Playoffs")+COUNTIFS('2025'!$L$24:$L$112,A151&amp;" / "&amp;B151,'2025'!$B$24:$B$112,"Playoffs")</x:f>
        <x:v>0</x:v>
      </x:c>
      <x:c r="L151" s="2" t="n">
        <x:f>COUNTIFS('2015'!$L$24:$L$96,A151&amp;" / "&amp;B151,'2015'!$B$24:$B$96,"Unconfirmed")+COUNTIFS('2016'!$L$24:$L$96,A151&amp;" / "&amp;B151,'2016'!$B$24:$B$96,"Unconfirmed")+COUNTIFS('2017'!$L$24:$L$106,A151&amp;" / "&amp;B151,'2017'!$B$24:$B$106,"Unconfirmed")+COUNTIFS('2018'!$L$24:$L$106,A151&amp;" / "&amp;B151,'2018'!$B$24:$B$106,"Unconfirmed")+COUNTIFS('2019'!$L$24:$L$106,A151&amp;" / "&amp;B151,'2019'!$B$24:$B$106,"Unconfirmed")+COUNTIFS('2020'!$L$24:$L$106,A151&amp;" / "&amp;B151,'2020'!$B$24:$B$106,"Unconfirmed")+COUNTIFS('2021'!$L$24:$L$112,A151&amp;" / "&amp;B151,'2021'!$B$24:$B$112,"Unconfirmed")+COUNTIFS('2022'!$L$24:$L$112,A151&amp;" / "&amp;B151,'2022'!$B$24:$B$112,"Unconfirmed")+COUNTIFS('2023'!$L$24:$L$112,A151&amp;" / "&amp;B151,'2023'!$B$24:$B$112,"Unconfirmed")+COUNTIFS('2024'!$L$24:$L$112,A151&amp;" / "&amp;B151,'2024'!$B$24:$B$112,"Unconfirmed")+COUNTIFS('2025'!$L$24:$L$112,A151&amp;" / "&amp;B151,'2025'!$B$24:$B$112,"Unconfirmed")</x:f>
        <x:v>0</x:v>
      </x:c>
    </x:row>
    <x:row r="152" ht="22" customHeight="1">
      <x:c r="A152" s="2" t="str">
        <x:v>Matt</x:v>
      </x:c>
      <x:c r="B152" s="2" t="str">
        <x:v>Taylor</x:v>
      </x:c>
      <x:c r="C152" s="2" t="n">
        <x:f>COUNTIFS('2015'!$L$24:$L$96,A152&amp;" / "&amp;B152)+COUNTIFS('2016'!$L$24:$L$96,A152&amp;" / "&amp;B152)+COUNTIFS('2017'!$L$24:$L$106,A152&amp;" / "&amp;B152)+COUNTIFS('2018'!$L$24:$L$106,A152&amp;" / "&amp;B152)+COUNTIFS('2019'!$L$24:$L$106,A152&amp;" / "&amp;B152)+COUNTIFS('2020'!$L$24:$L$106,A152&amp;" / "&amp;B152)+COUNTIFS('2021'!$L$24:$L$112,A152&amp;" / "&amp;B152)+COUNTIFS('2022'!$L$24:$L$112,A152&amp;" / "&amp;B152)+COUNTIFS('2023'!$L$24:$L$112,A152&amp;" / "&amp;B152)+COUNTIFS('2024'!$L$24:$L$112,A152&amp;" / "&amp;B152)+COUNTIFS('2025'!$L$24:$L$112,A152&amp;" / "&amp;B152)</x:f>
        <x:v>6</x:v>
      </x:c>
      <x:c r="D152" s="2" t="n">
        <x:f>COUNTIFS('2015'!$L$24:$L$96,A152&amp;" / "&amp;B152,'2015'!$I$24:$I$96,A152)+COUNTIFS('2016'!$L$24:$L$96,A152&amp;" / "&amp;B152,'2016'!$I$24:$I$96,A152)+COUNTIFS('2017'!$L$24:$L$106,A152&amp;" / "&amp;B152,'2017'!$I$24:$I$106,A152)+COUNTIFS('2018'!$L$24:$L$106,A152&amp;" / "&amp;B152,'2018'!$I$24:$I$106,A152)+COUNTIFS('2019'!$L$24:$L$106,A152&amp;" / "&amp;B152,'2019'!$I$24:$I$106,A152)+COUNTIFS('2020'!$L$24:$L$106,A152&amp;" / "&amp;B152,'2020'!$I$24:$I$106,A152)+COUNTIFS('2021'!$L$24:$L$112,A152&amp;" / "&amp;B152,'2021'!$I$24:$I$112,A152)+COUNTIFS('2022'!$L$24:$L$112,A152&amp;" / "&amp;B152,'2022'!$I$24:$I$112,A152)+COUNTIFS('2023'!$L$24:$L$112,A152&amp;" / "&amp;B152,'2023'!$I$24:$I$112,A152)+COUNTIFS('2024'!$L$24:$L$112,A152&amp;" / "&amp;B152,'2024'!$I$24:$I$112,A152)+COUNTIFS('2025'!$L$24:$L$112,A152&amp;" / "&amp;B152,'2025'!$I$24:$I$112,A152)</x:f>
        <x:v>2</x:v>
      </x:c>
      <x:c r="E152" s="2" t="n">
        <x:f>COUNTIFS('2015'!$L$24:$L$96,A152&amp;" / "&amp;B152,'2015'!$I$24:$I$96,B152)+COUNTIFS('2016'!$L$24:$L$96,A152&amp;" / "&amp;B152,'2016'!$I$24:$I$96,B152)+COUNTIFS('2017'!$L$24:$L$106,A152&amp;" / "&amp;B152,'2017'!$I$24:$I$106,B152)+COUNTIFS('2018'!$L$24:$L$106,A152&amp;" / "&amp;B152,'2018'!$I$24:$I$106,B152)+COUNTIFS('2019'!$L$24:$L$106,A152&amp;" / "&amp;B152,'2019'!$I$24:$I$106,B152)+COUNTIFS('2020'!$L$24:$L$106,A152&amp;" / "&amp;B152,'2020'!$I$24:$I$106,B152)+COUNTIFS('2021'!$L$24:$L$112,A152&amp;" / "&amp;B152,'2021'!$I$24:$I$112,B152)+COUNTIFS('2022'!$L$24:$L$112,A152&amp;" / "&amp;B152,'2022'!$I$24:$I$112,B152)+COUNTIFS('2023'!$L$24:$L$112,A152&amp;" / "&amp;B152,'2023'!$I$24:$I$112,B152)+COUNTIFS('2024'!$L$24:$L$112,A152&amp;" / "&amp;B152,'2024'!$I$24:$I$112,B152)+COUNTIFS('2025'!$L$24:$L$112,A152&amp;" / "&amp;B152,'2025'!$I$24:$I$112,B152)</x:f>
        <x:v>4</x:v>
      </x:c>
      <x:c r="F152" s="2" t="n">
        <x:f>COUNTIFS('2015'!$L$24:$L$96,A152&amp;" / "&amp;B152,'2015'!$K$24:$K$96,1)+COUNTIFS('2016'!$L$24:$L$96,A152&amp;" / "&amp;B152,'2016'!$K$24:$K$96,1)+COUNTIFS('2017'!$L$24:$L$106,A152&amp;" / "&amp;B152,'2017'!$K$24:$K$106,1)+COUNTIFS('2018'!$L$24:$L$106,A152&amp;" / "&amp;B152,'2018'!$K$24:$K$106,1)+COUNTIFS('2019'!$L$24:$L$106,A152&amp;" / "&amp;B152,'2019'!$K$24:$K$106,1)+COUNTIFS('2020'!$L$24:$L$106,A152&amp;" / "&amp;B152,'2020'!$K$24:$K$106,1)+COUNTIFS('2021'!$L$24:$L$112,A152&amp;" / "&amp;B152,'2021'!$K$24:$K$112,1)+COUNTIFS('2022'!$L$24:$L$112,A152&amp;" / "&amp;B152,'2022'!$K$24:$K$112,1)+COUNTIFS('2023'!$L$24:$L$112,A152&amp;" / "&amp;B152,'2023'!$K$24:$K$112,1)+COUNTIFS('2024'!$L$24:$L$112,A152&amp;" / "&amp;B152,'2024'!$K$24:$K$112,1)+COUNTIFS('2025'!$L$24:$L$112,A152&amp;" / "&amp;B152,'2025'!$K$24:$K$112,1)</x:f>
        <x:v>0</x:v>
      </x:c>
      <x:c r="G152" s="25" t="n">
        <x:f>SUMIFS('2015'!$E$24:$E$96,'2015'!$L$24:$L$96,A152&amp;" / "&amp;B152,'2015'!$C$24:$C$96,A152)+SUMIFS('2015'!$H$24:$H$96,'2015'!$L$24:$L$96,A152&amp;" / "&amp;B152,'2015'!$F$24:$F$96,A152)+SUMIFS('2016'!$E$24:$E$96,'2016'!$L$24:$L$96,A152&amp;" / "&amp;B152,'2016'!$C$24:$C$96,A152)+SUMIFS('2016'!$H$24:$H$96,'2016'!$L$24:$L$96,A152&amp;" / "&amp;B152,'2016'!$F$24:$F$96,A152)+SUMIFS('2017'!$E$24:$E$106,'2017'!$L$24:$L$106,A152&amp;" / "&amp;B152,'2017'!$C$24:$C$106,A152)+SUMIFS('2017'!$H$24:$H$106,'2017'!$L$24:$L$106,A152&amp;" / "&amp;B152,'2017'!$F$24:$F$106,A152)+SUMIFS('2018'!$E$24:$E$106,'2018'!$L$24:$L$106,A152&amp;" / "&amp;B152,'2018'!$C$24:$C$106,A152)+SUMIFS('2018'!$H$24:$H$106,'2018'!$L$24:$L$106,A152&amp;" / "&amp;B152,'2018'!$F$24:$F$106,A152)+SUMIFS('2019'!$E$24:$E$106,'2019'!$L$24:$L$106,A152&amp;" / "&amp;B152,'2019'!$C$24:$C$106,A152)+SUMIFS('2019'!$H$24:$H$106,'2019'!$L$24:$L$106,A152&amp;" / "&amp;B152,'2019'!$F$24:$F$106,A152)+SUMIFS('2020'!$E$24:$E$106,'2020'!$L$24:$L$106,A152&amp;" / "&amp;B152,'2020'!$C$24:$C$106,A152)+SUMIFS('2020'!$H$24:$H$106,'2020'!$L$24:$L$106,A152&amp;" / "&amp;B152,'2020'!$F$24:$F$106,A152)+SUMIFS('2021'!$E$24:$E$112,'2021'!$L$24:$L$112,A152&amp;" / "&amp;B152,'2021'!$C$24:$C$112,A152)+SUMIFS('2021'!$H$24:$H$112,'2021'!$L$24:$L$112,A152&amp;" / "&amp;B152,'2021'!$F$24:$F$112,A152)+SUMIFS('2022'!$E$24:$E$112,'2022'!$L$24:$L$112,A152&amp;" / "&amp;B152,'2022'!$C$24:$C$112,A152)+SUMIFS('2022'!$H$24:$H$112,'2022'!$L$24:$L$112,A152&amp;" / "&amp;B152,'2022'!$F$24:$F$112,A152)+SUMIFS('2023'!$E$24:$E$112,'2023'!$L$24:$L$112,A152&amp;" / "&amp;B152,'2023'!$C$24:$C$112,A152)+SUMIFS('2023'!$H$24:$H$112,'2023'!$L$24:$L$112,A152&amp;" / "&amp;B152,'2023'!$F$24:$F$112,A152)+SUMIFS('2024'!$E$24:$E$112,'2024'!$L$24:$L$112,A152&amp;" / "&amp;B152,'2024'!$C$24:$C$112,A152)+SUMIFS('2024'!$H$24:$H$112,'2024'!$L$24:$L$112,A152&amp;" / "&amp;B152,'2024'!$F$24:$F$112,A152)+SUMIFS('2025'!$E$24:$E$112,'2025'!$L$24:$L$112,A152&amp;" / "&amp;B152,'2025'!$C$24:$C$112,A152)+SUMIFS('2025'!$H$24:$H$112,'2025'!$L$24:$L$112,A152&amp;" / "&amp;B152,'2025'!$F$24:$F$112,A152)</x:f>
        <x:v>737</x:v>
      </x:c>
      <x:c r="H152" s="25" t="n">
        <x:f>SUMIFS('2015'!$E$24:$E$96,'2015'!$L$24:$L$96,A152&amp;" / "&amp;B152,'2015'!$C$24:$C$96,B152)+SUMIFS('2015'!$H$24:$H$96,'2015'!$L$24:$L$96,A152&amp;" / "&amp;B152,'2015'!$F$24:$F$96,B152)+SUMIFS('2016'!$E$24:$E$96,'2016'!$L$24:$L$96,A152&amp;" / "&amp;B152,'2016'!$C$24:$C$96,B152)+SUMIFS('2016'!$H$24:$H$96,'2016'!$L$24:$L$96,A152&amp;" / "&amp;B152,'2016'!$F$24:$F$96,B152)+SUMIFS('2017'!$E$24:$E$106,'2017'!$L$24:$L$106,A152&amp;" / "&amp;B152,'2017'!$C$24:$C$106,B152)+SUMIFS('2017'!$H$24:$H$106,'2017'!$L$24:$L$106,A152&amp;" / "&amp;B152,'2017'!$F$24:$F$106,B152)+SUMIFS('2018'!$E$24:$E$106,'2018'!$L$24:$L$106,A152&amp;" / "&amp;B152,'2018'!$C$24:$C$106,B152)+SUMIFS('2018'!$H$24:$H$106,'2018'!$L$24:$L$106,A152&amp;" / "&amp;B152,'2018'!$F$24:$F$106,B152)+SUMIFS('2019'!$E$24:$E$106,'2019'!$L$24:$L$106,A152&amp;" / "&amp;B152,'2019'!$C$24:$C$106,B152)+SUMIFS('2019'!$H$24:$H$106,'2019'!$L$24:$L$106,A152&amp;" / "&amp;B152,'2019'!$F$24:$F$106,B152)+SUMIFS('2020'!$E$24:$E$106,'2020'!$L$24:$L$106,A152&amp;" / "&amp;B152,'2020'!$C$24:$C$106,B152)+SUMIFS('2020'!$H$24:$H$106,'2020'!$L$24:$L$106,A152&amp;" / "&amp;B152,'2020'!$F$24:$F$106,B152)+SUMIFS('2021'!$E$24:$E$112,'2021'!$L$24:$L$112,A152&amp;" / "&amp;B152,'2021'!$C$24:$C$112,B152)+SUMIFS('2021'!$H$24:$H$112,'2021'!$L$24:$L$112,A152&amp;" / "&amp;B152,'2021'!$F$24:$F$112,B152)+SUMIFS('2022'!$E$24:$E$112,'2022'!$L$24:$L$112,A152&amp;" / "&amp;B152,'2022'!$C$24:$C$112,B152)+SUMIFS('2022'!$H$24:$H$112,'2022'!$L$24:$L$112,A152&amp;" / "&amp;B152,'2022'!$F$24:$F$112,B152)+SUMIFS('2023'!$E$24:$E$112,'2023'!$L$24:$L$112,A152&amp;" / "&amp;B152,'2023'!$C$24:$C$112,B152)+SUMIFS('2023'!$H$24:$H$112,'2023'!$L$24:$L$112,A152&amp;" / "&amp;B152,'2023'!$F$24:$F$112,B152)+SUMIFS('2024'!$E$24:$E$112,'2024'!$L$24:$L$112,A152&amp;" / "&amp;B152,'2024'!$C$24:$C$112,B152)+SUMIFS('2024'!$H$24:$H$112,'2024'!$L$24:$L$112,A152&amp;" / "&amp;B152,'2024'!$F$24:$F$112,B152)+SUMIFS('2025'!$E$24:$E$112,'2025'!$L$24:$L$112,A152&amp;" / "&amp;B152,'2025'!$C$24:$C$112,B152)+SUMIFS('2025'!$H$24:$H$112,'2025'!$L$24:$L$112,A152&amp;" / "&amp;B152,'2025'!$F$24:$F$112,B152)</x:f>
        <x:v>774</x:v>
      </x:c>
      <x:c r="I152" s="11" t="n">
        <x:f>IF(C152=0,0,(D152+0.5*F152)/C152)</x:f>
        <x:v>0.3333333333333333</x:v>
      </x:c>
      <x:c r="J152" s="2" t="n">
        <x:f>COUNTIFS('2015'!$L$24:$L$96,A152&amp;" / "&amp;B152,'2015'!$B$24:$B$96,"Regular")+COUNTIFS('2016'!$L$24:$L$96,A152&amp;" / "&amp;B152,'2016'!$B$24:$B$96,"Regular")+COUNTIFS('2017'!$L$24:$L$106,A152&amp;" / "&amp;B152,'2017'!$B$24:$B$106,"Regular")+COUNTIFS('2018'!$L$24:$L$106,A152&amp;" / "&amp;B152,'2018'!$B$24:$B$106,"Regular")+COUNTIFS('2019'!$L$24:$L$106,A152&amp;" / "&amp;B152,'2019'!$B$24:$B$106,"Regular")+COUNTIFS('2020'!$L$24:$L$106,A152&amp;" / "&amp;B152,'2020'!$B$24:$B$106,"Regular")+COUNTIFS('2021'!$L$24:$L$112,A152&amp;" / "&amp;B152,'2021'!$B$24:$B$112,"Regular")+COUNTIFS('2022'!$L$24:$L$112,A152&amp;" / "&amp;B152,'2022'!$B$24:$B$112,"Regular")+COUNTIFS('2023'!$L$24:$L$112,A152&amp;" / "&amp;B152,'2023'!$B$24:$B$112,"Regular")+COUNTIFS('2024'!$L$24:$L$112,A152&amp;" / "&amp;B152,'2024'!$B$24:$B$112,"Regular")+COUNTIFS('2025'!$L$24:$L$112,A152&amp;" / "&amp;B152,'2025'!$B$24:$B$112,"Regular")</x:f>
        <x:v>6</x:v>
      </x:c>
      <x:c r="K152" s="2" t="n">
        <x:f>COUNTIFS('2015'!$L$24:$L$96,A152&amp;" / "&amp;B152,'2015'!$B$24:$B$96,"Playoffs")+COUNTIFS('2016'!$L$24:$L$96,A152&amp;" / "&amp;B152,'2016'!$B$24:$B$96,"Playoffs")+COUNTIFS('2017'!$L$24:$L$106,A152&amp;" / "&amp;B152,'2017'!$B$24:$B$106,"Playoffs")+COUNTIFS('2018'!$L$24:$L$106,A152&amp;" / "&amp;B152,'2018'!$B$24:$B$106,"Playoffs")+COUNTIFS('2019'!$L$24:$L$106,A152&amp;" / "&amp;B152,'2019'!$B$24:$B$106,"Playoffs")+COUNTIFS('2020'!$L$24:$L$106,A152&amp;" / "&amp;B152,'2020'!$B$24:$B$106,"Playoffs")+COUNTIFS('2021'!$L$24:$L$112,A152&amp;" / "&amp;B152,'2021'!$B$24:$B$112,"Playoffs")+COUNTIFS('2022'!$L$24:$L$112,A152&amp;" / "&amp;B152,'2022'!$B$24:$B$112,"Playoffs")+COUNTIFS('2023'!$L$24:$L$112,A152&amp;" / "&amp;B152,'2023'!$B$24:$B$112,"Playoffs")+COUNTIFS('2024'!$L$24:$L$112,A152&amp;" / "&amp;B152,'2024'!$B$24:$B$112,"Playoffs")+COUNTIFS('2025'!$L$24:$L$112,A152&amp;" / "&amp;B152,'2025'!$B$24:$B$112,"Playoffs")</x:f>
        <x:v>0</x:v>
      </x:c>
      <x:c r="L152" s="2" t="n">
        <x:f>COUNTIFS('2015'!$L$24:$L$96,A152&amp;" / "&amp;B152,'2015'!$B$24:$B$96,"Unconfirmed")+COUNTIFS('2016'!$L$24:$L$96,A152&amp;" / "&amp;B152,'2016'!$B$24:$B$96,"Unconfirmed")+COUNTIFS('2017'!$L$24:$L$106,A152&amp;" / "&amp;B152,'2017'!$B$24:$B$106,"Unconfirmed")+COUNTIFS('2018'!$L$24:$L$106,A152&amp;" / "&amp;B152,'2018'!$B$24:$B$106,"Unconfirmed")+COUNTIFS('2019'!$L$24:$L$106,A152&amp;" / "&amp;B152,'2019'!$B$24:$B$106,"Unconfirmed")+COUNTIFS('2020'!$L$24:$L$106,A152&amp;" / "&amp;B152,'2020'!$B$24:$B$106,"Unconfirmed")+COUNTIFS('2021'!$L$24:$L$112,A152&amp;" / "&amp;B152,'2021'!$B$24:$B$112,"Unconfirmed")+COUNTIFS('2022'!$L$24:$L$112,A152&amp;" / "&amp;B152,'2022'!$B$24:$B$112,"Unconfirmed")+COUNTIFS('2023'!$L$24:$L$112,A152&amp;" / "&amp;B152,'2023'!$B$24:$B$112,"Unconfirmed")+COUNTIFS('2024'!$L$24:$L$112,A152&amp;" / "&amp;B152,'2024'!$B$24:$B$112,"Unconfirmed")+COUNTIFS('2025'!$L$24:$L$112,A152&amp;" / "&amp;B152,'2025'!$B$24:$B$112,"Unconfirmed")</x:f>
        <x:v>0</x:v>
      </x:c>
    </x:row>
    <x:row r="153" ht="22" customHeight="1">
      <x:c r="A153" s="2" t="str">
        <x:v>Michael</x:v>
      </x:c>
      <x:c r="B153" s="2" t="str">
        <x:v>Mike</x:v>
      </x:c>
      <x:c r="C153" s="2" t="n">
        <x:f>COUNTIFS('2015'!$L$24:$L$96,A153&amp;" / "&amp;B153)+COUNTIFS('2016'!$L$24:$L$96,A153&amp;" / "&amp;B153)+COUNTIFS('2017'!$L$24:$L$106,A153&amp;" / "&amp;B153)+COUNTIFS('2018'!$L$24:$L$106,A153&amp;" / "&amp;B153)+COUNTIFS('2019'!$L$24:$L$106,A153&amp;" / "&amp;B153)+COUNTIFS('2020'!$L$24:$L$106,A153&amp;" / "&amp;B153)+COUNTIFS('2021'!$L$24:$L$112,A153&amp;" / "&amp;B153)+COUNTIFS('2022'!$L$24:$L$112,A153&amp;" / "&amp;B153)+COUNTIFS('2023'!$L$24:$L$112,A153&amp;" / "&amp;B153)+COUNTIFS('2024'!$L$24:$L$112,A153&amp;" / "&amp;B153)+COUNTIFS('2025'!$L$24:$L$112,A153&amp;" / "&amp;B153)</x:f>
        <x:v>4</x:v>
      </x:c>
      <x:c r="D153" s="2" t="n">
        <x:f>COUNTIFS('2015'!$L$24:$L$96,A153&amp;" / "&amp;B153,'2015'!$I$24:$I$96,A153)+COUNTIFS('2016'!$L$24:$L$96,A153&amp;" / "&amp;B153,'2016'!$I$24:$I$96,A153)+COUNTIFS('2017'!$L$24:$L$106,A153&amp;" / "&amp;B153,'2017'!$I$24:$I$106,A153)+COUNTIFS('2018'!$L$24:$L$106,A153&amp;" / "&amp;B153,'2018'!$I$24:$I$106,A153)+COUNTIFS('2019'!$L$24:$L$106,A153&amp;" / "&amp;B153,'2019'!$I$24:$I$106,A153)+COUNTIFS('2020'!$L$24:$L$106,A153&amp;" / "&amp;B153,'2020'!$I$24:$I$106,A153)+COUNTIFS('2021'!$L$24:$L$112,A153&amp;" / "&amp;B153,'2021'!$I$24:$I$112,A153)+COUNTIFS('2022'!$L$24:$L$112,A153&amp;" / "&amp;B153,'2022'!$I$24:$I$112,A153)+COUNTIFS('2023'!$L$24:$L$112,A153&amp;" / "&amp;B153,'2023'!$I$24:$I$112,A153)+COUNTIFS('2024'!$L$24:$L$112,A153&amp;" / "&amp;B153,'2024'!$I$24:$I$112,A153)+COUNTIFS('2025'!$L$24:$L$112,A153&amp;" / "&amp;B153,'2025'!$I$24:$I$112,A153)</x:f>
        <x:v>1</x:v>
      </x:c>
      <x:c r="E153" s="2" t="n">
        <x:f>COUNTIFS('2015'!$L$24:$L$96,A153&amp;" / "&amp;B153,'2015'!$I$24:$I$96,B153)+COUNTIFS('2016'!$L$24:$L$96,A153&amp;" / "&amp;B153,'2016'!$I$24:$I$96,B153)+COUNTIFS('2017'!$L$24:$L$106,A153&amp;" / "&amp;B153,'2017'!$I$24:$I$106,B153)+COUNTIFS('2018'!$L$24:$L$106,A153&amp;" / "&amp;B153,'2018'!$I$24:$I$106,B153)+COUNTIFS('2019'!$L$24:$L$106,A153&amp;" / "&amp;B153,'2019'!$I$24:$I$106,B153)+COUNTIFS('2020'!$L$24:$L$106,A153&amp;" / "&amp;B153,'2020'!$I$24:$I$106,B153)+COUNTIFS('2021'!$L$24:$L$112,A153&amp;" / "&amp;B153,'2021'!$I$24:$I$112,B153)+COUNTIFS('2022'!$L$24:$L$112,A153&amp;" / "&amp;B153,'2022'!$I$24:$I$112,B153)+COUNTIFS('2023'!$L$24:$L$112,A153&amp;" / "&amp;B153,'2023'!$I$24:$I$112,B153)+COUNTIFS('2024'!$L$24:$L$112,A153&amp;" / "&amp;B153,'2024'!$I$24:$I$112,B153)+COUNTIFS('2025'!$L$24:$L$112,A153&amp;" / "&amp;B153,'2025'!$I$24:$I$112,B153)</x:f>
        <x:v>3</x:v>
      </x:c>
      <x:c r="F153" s="2" t="n">
        <x:f>COUNTIFS('2015'!$L$24:$L$96,A153&amp;" / "&amp;B153,'2015'!$K$24:$K$96,1)+COUNTIFS('2016'!$L$24:$L$96,A153&amp;" / "&amp;B153,'2016'!$K$24:$K$96,1)+COUNTIFS('2017'!$L$24:$L$106,A153&amp;" / "&amp;B153,'2017'!$K$24:$K$106,1)+COUNTIFS('2018'!$L$24:$L$106,A153&amp;" / "&amp;B153,'2018'!$K$24:$K$106,1)+COUNTIFS('2019'!$L$24:$L$106,A153&amp;" / "&amp;B153,'2019'!$K$24:$K$106,1)+COUNTIFS('2020'!$L$24:$L$106,A153&amp;" / "&amp;B153,'2020'!$K$24:$K$106,1)+COUNTIFS('2021'!$L$24:$L$112,A153&amp;" / "&amp;B153,'2021'!$K$24:$K$112,1)+COUNTIFS('2022'!$L$24:$L$112,A153&amp;" / "&amp;B153,'2022'!$K$24:$K$112,1)+COUNTIFS('2023'!$L$24:$L$112,A153&amp;" / "&amp;B153,'2023'!$K$24:$K$112,1)+COUNTIFS('2024'!$L$24:$L$112,A153&amp;" / "&amp;B153,'2024'!$K$24:$K$112,1)+COUNTIFS('2025'!$L$24:$L$112,A153&amp;" / "&amp;B153,'2025'!$K$24:$K$112,1)</x:f>
        <x:v>0</x:v>
      </x:c>
      <x:c r="G153" s="25" t="n">
        <x:f>SUMIFS('2015'!$E$24:$E$96,'2015'!$L$24:$L$96,A153&amp;" / "&amp;B153,'2015'!$C$24:$C$96,A153)+SUMIFS('2015'!$H$24:$H$96,'2015'!$L$24:$L$96,A153&amp;" / "&amp;B153,'2015'!$F$24:$F$96,A153)+SUMIFS('2016'!$E$24:$E$96,'2016'!$L$24:$L$96,A153&amp;" / "&amp;B153,'2016'!$C$24:$C$96,A153)+SUMIFS('2016'!$H$24:$H$96,'2016'!$L$24:$L$96,A153&amp;" / "&amp;B153,'2016'!$F$24:$F$96,A153)+SUMIFS('2017'!$E$24:$E$106,'2017'!$L$24:$L$106,A153&amp;" / "&amp;B153,'2017'!$C$24:$C$106,A153)+SUMIFS('2017'!$H$24:$H$106,'2017'!$L$24:$L$106,A153&amp;" / "&amp;B153,'2017'!$F$24:$F$106,A153)+SUMIFS('2018'!$E$24:$E$106,'2018'!$L$24:$L$106,A153&amp;" / "&amp;B153,'2018'!$C$24:$C$106,A153)+SUMIFS('2018'!$H$24:$H$106,'2018'!$L$24:$L$106,A153&amp;" / "&amp;B153,'2018'!$F$24:$F$106,A153)+SUMIFS('2019'!$E$24:$E$106,'2019'!$L$24:$L$106,A153&amp;" / "&amp;B153,'2019'!$C$24:$C$106,A153)+SUMIFS('2019'!$H$24:$H$106,'2019'!$L$24:$L$106,A153&amp;" / "&amp;B153,'2019'!$F$24:$F$106,A153)+SUMIFS('2020'!$E$24:$E$106,'2020'!$L$24:$L$106,A153&amp;" / "&amp;B153,'2020'!$C$24:$C$106,A153)+SUMIFS('2020'!$H$24:$H$106,'2020'!$L$24:$L$106,A153&amp;" / "&amp;B153,'2020'!$F$24:$F$106,A153)+SUMIFS('2021'!$E$24:$E$112,'2021'!$L$24:$L$112,A153&amp;" / "&amp;B153,'2021'!$C$24:$C$112,A153)+SUMIFS('2021'!$H$24:$H$112,'2021'!$L$24:$L$112,A153&amp;" / "&amp;B153,'2021'!$F$24:$F$112,A153)+SUMIFS('2022'!$E$24:$E$112,'2022'!$L$24:$L$112,A153&amp;" / "&amp;B153,'2022'!$C$24:$C$112,A153)+SUMIFS('2022'!$H$24:$H$112,'2022'!$L$24:$L$112,A153&amp;" / "&amp;B153,'2022'!$F$24:$F$112,A153)+SUMIFS('2023'!$E$24:$E$112,'2023'!$L$24:$L$112,A153&amp;" / "&amp;B153,'2023'!$C$24:$C$112,A153)+SUMIFS('2023'!$H$24:$H$112,'2023'!$L$24:$L$112,A153&amp;" / "&amp;B153,'2023'!$F$24:$F$112,A153)+SUMIFS('2024'!$E$24:$E$112,'2024'!$L$24:$L$112,A153&amp;" / "&amp;B153,'2024'!$C$24:$C$112,A153)+SUMIFS('2024'!$H$24:$H$112,'2024'!$L$24:$L$112,A153&amp;" / "&amp;B153,'2024'!$F$24:$F$112,A153)+SUMIFS('2025'!$E$24:$E$112,'2025'!$L$24:$L$112,A153&amp;" / "&amp;B153,'2025'!$C$24:$C$112,A153)+SUMIFS('2025'!$H$24:$H$112,'2025'!$L$24:$L$112,A153&amp;" / "&amp;B153,'2025'!$F$24:$F$112,A153)</x:f>
        <x:v>433.1</x:v>
      </x:c>
      <x:c r="H153" s="25" t="n">
        <x:f>SUMIFS('2015'!$E$24:$E$96,'2015'!$L$24:$L$96,A153&amp;" / "&amp;B153,'2015'!$C$24:$C$96,B153)+SUMIFS('2015'!$H$24:$H$96,'2015'!$L$24:$L$96,A153&amp;" / "&amp;B153,'2015'!$F$24:$F$96,B153)+SUMIFS('2016'!$E$24:$E$96,'2016'!$L$24:$L$96,A153&amp;" / "&amp;B153,'2016'!$C$24:$C$96,B153)+SUMIFS('2016'!$H$24:$H$96,'2016'!$L$24:$L$96,A153&amp;" / "&amp;B153,'2016'!$F$24:$F$96,B153)+SUMIFS('2017'!$E$24:$E$106,'2017'!$L$24:$L$106,A153&amp;" / "&amp;B153,'2017'!$C$24:$C$106,B153)+SUMIFS('2017'!$H$24:$H$106,'2017'!$L$24:$L$106,A153&amp;" / "&amp;B153,'2017'!$F$24:$F$106,B153)+SUMIFS('2018'!$E$24:$E$106,'2018'!$L$24:$L$106,A153&amp;" / "&amp;B153,'2018'!$C$24:$C$106,B153)+SUMIFS('2018'!$H$24:$H$106,'2018'!$L$24:$L$106,A153&amp;" / "&amp;B153,'2018'!$F$24:$F$106,B153)+SUMIFS('2019'!$E$24:$E$106,'2019'!$L$24:$L$106,A153&amp;" / "&amp;B153,'2019'!$C$24:$C$106,B153)+SUMIFS('2019'!$H$24:$H$106,'2019'!$L$24:$L$106,A153&amp;" / "&amp;B153,'2019'!$F$24:$F$106,B153)+SUMIFS('2020'!$E$24:$E$106,'2020'!$L$24:$L$106,A153&amp;" / "&amp;B153,'2020'!$C$24:$C$106,B153)+SUMIFS('2020'!$H$24:$H$106,'2020'!$L$24:$L$106,A153&amp;" / "&amp;B153,'2020'!$F$24:$F$106,B153)+SUMIFS('2021'!$E$24:$E$112,'2021'!$L$24:$L$112,A153&amp;" / "&amp;B153,'2021'!$C$24:$C$112,B153)+SUMIFS('2021'!$H$24:$H$112,'2021'!$L$24:$L$112,A153&amp;" / "&amp;B153,'2021'!$F$24:$F$112,B153)+SUMIFS('2022'!$E$24:$E$112,'2022'!$L$24:$L$112,A153&amp;" / "&amp;B153,'2022'!$C$24:$C$112,B153)+SUMIFS('2022'!$H$24:$H$112,'2022'!$L$24:$L$112,A153&amp;" / "&amp;B153,'2022'!$F$24:$F$112,B153)+SUMIFS('2023'!$E$24:$E$112,'2023'!$L$24:$L$112,A153&amp;" / "&amp;B153,'2023'!$C$24:$C$112,B153)+SUMIFS('2023'!$H$24:$H$112,'2023'!$L$24:$L$112,A153&amp;" / "&amp;B153,'2023'!$F$24:$F$112,B153)+SUMIFS('2024'!$E$24:$E$112,'2024'!$L$24:$L$112,A153&amp;" / "&amp;B153,'2024'!$C$24:$C$112,B153)+SUMIFS('2024'!$H$24:$H$112,'2024'!$L$24:$L$112,A153&amp;" / "&amp;B153,'2024'!$F$24:$F$112,B153)+SUMIFS('2025'!$E$24:$E$112,'2025'!$L$24:$L$112,A153&amp;" / "&amp;B153,'2025'!$C$24:$C$112,B153)+SUMIFS('2025'!$H$24:$H$112,'2025'!$L$24:$L$112,A153&amp;" / "&amp;B153,'2025'!$F$24:$F$112,B153)</x:f>
        <x:v>511.15</x:v>
      </x:c>
      <x:c r="I153" s="11" t="n">
        <x:f>IF(C153=0,0,(D153+0.5*F153)/C153)</x:f>
        <x:v>0.25</x:v>
      </x:c>
      <x:c r="J153" s="2" t="n">
        <x:f>COUNTIFS('2015'!$L$24:$L$96,A153&amp;" / "&amp;B153,'2015'!$B$24:$B$96,"Regular")+COUNTIFS('2016'!$L$24:$L$96,A153&amp;" / "&amp;B153,'2016'!$B$24:$B$96,"Regular")+COUNTIFS('2017'!$L$24:$L$106,A153&amp;" / "&amp;B153,'2017'!$B$24:$B$106,"Regular")+COUNTIFS('2018'!$L$24:$L$106,A153&amp;" / "&amp;B153,'2018'!$B$24:$B$106,"Regular")+COUNTIFS('2019'!$L$24:$L$106,A153&amp;" / "&amp;B153,'2019'!$B$24:$B$106,"Regular")+COUNTIFS('2020'!$L$24:$L$106,A153&amp;" / "&amp;B153,'2020'!$B$24:$B$106,"Regular")+COUNTIFS('2021'!$L$24:$L$112,A153&amp;" / "&amp;B153,'2021'!$B$24:$B$112,"Regular")+COUNTIFS('2022'!$L$24:$L$112,A153&amp;" / "&amp;B153,'2022'!$B$24:$B$112,"Regular")+COUNTIFS('2023'!$L$24:$L$112,A153&amp;" / "&amp;B153,'2023'!$B$24:$B$112,"Regular")+COUNTIFS('2024'!$L$24:$L$112,A153&amp;" / "&amp;B153,'2024'!$B$24:$B$112,"Regular")+COUNTIFS('2025'!$L$24:$L$112,A153&amp;" / "&amp;B153,'2025'!$B$24:$B$112,"Regular")</x:f>
        <x:v>4</x:v>
      </x:c>
      <x:c r="K153" s="2" t="n">
        <x:f>COUNTIFS('2015'!$L$24:$L$96,A153&amp;" / "&amp;B153,'2015'!$B$24:$B$96,"Playoffs")+COUNTIFS('2016'!$L$24:$L$96,A153&amp;" / "&amp;B153,'2016'!$B$24:$B$96,"Playoffs")+COUNTIFS('2017'!$L$24:$L$106,A153&amp;" / "&amp;B153,'2017'!$B$24:$B$106,"Playoffs")+COUNTIFS('2018'!$L$24:$L$106,A153&amp;" / "&amp;B153,'2018'!$B$24:$B$106,"Playoffs")+COUNTIFS('2019'!$L$24:$L$106,A153&amp;" / "&amp;B153,'2019'!$B$24:$B$106,"Playoffs")+COUNTIFS('2020'!$L$24:$L$106,A153&amp;" / "&amp;B153,'2020'!$B$24:$B$106,"Playoffs")+COUNTIFS('2021'!$L$24:$L$112,A153&amp;" / "&amp;B153,'2021'!$B$24:$B$112,"Playoffs")+COUNTIFS('2022'!$L$24:$L$112,A153&amp;" / "&amp;B153,'2022'!$B$24:$B$112,"Playoffs")+COUNTIFS('2023'!$L$24:$L$112,A153&amp;" / "&amp;B153,'2023'!$B$24:$B$112,"Playoffs")+COUNTIFS('2024'!$L$24:$L$112,A153&amp;" / "&amp;B153,'2024'!$B$24:$B$112,"Playoffs")+COUNTIFS('2025'!$L$24:$L$112,A153&amp;" / "&amp;B153,'2025'!$B$24:$B$112,"Playoffs")</x:f>
        <x:v>0</x:v>
      </x:c>
      <x:c r="L153" s="2" t="n">
        <x:f>COUNTIFS('2015'!$L$24:$L$96,A153&amp;" / "&amp;B153,'2015'!$B$24:$B$96,"Unconfirmed")+COUNTIFS('2016'!$L$24:$L$96,A153&amp;" / "&amp;B153,'2016'!$B$24:$B$96,"Unconfirmed")+COUNTIFS('2017'!$L$24:$L$106,A153&amp;" / "&amp;B153,'2017'!$B$24:$B$106,"Unconfirmed")+COUNTIFS('2018'!$L$24:$L$106,A153&amp;" / "&amp;B153,'2018'!$B$24:$B$106,"Unconfirmed")+COUNTIFS('2019'!$L$24:$L$106,A153&amp;" / "&amp;B153,'2019'!$B$24:$B$106,"Unconfirmed")+COUNTIFS('2020'!$L$24:$L$106,A153&amp;" / "&amp;B153,'2020'!$B$24:$B$106,"Unconfirmed")+COUNTIFS('2021'!$L$24:$L$112,A153&amp;" / "&amp;B153,'2021'!$B$24:$B$112,"Unconfirmed")+COUNTIFS('2022'!$L$24:$L$112,A153&amp;" / "&amp;B153,'2022'!$B$24:$B$112,"Unconfirmed")+COUNTIFS('2023'!$L$24:$L$112,A153&amp;" / "&amp;B153,'2023'!$B$24:$B$112,"Unconfirmed")+COUNTIFS('2024'!$L$24:$L$112,A153&amp;" / "&amp;B153,'2024'!$B$24:$B$112,"Unconfirmed")+COUNTIFS('2025'!$L$24:$L$112,A153&amp;" / "&amp;B153,'2025'!$B$24:$B$112,"Unconfirmed")</x:f>
        <x:v>0</x:v>
      </x:c>
    </x:row>
    <x:row r="154" ht="22" customHeight="1">
      <x:c r="A154" s="2" t="str">
        <x:v>Michael</x:v>
      </x:c>
      <x:c r="B154" s="2" t="str">
        <x:v>Nick</x:v>
      </x:c>
      <x:c r="C154" s="2" t="n">
        <x:f>COUNTIFS('2015'!$L$24:$L$96,A154&amp;" / "&amp;B154)+COUNTIFS('2016'!$L$24:$L$96,A154&amp;" / "&amp;B154)+COUNTIFS('2017'!$L$24:$L$106,A154&amp;" / "&amp;B154)+COUNTIFS('2018'!$L$24:$L$106,A154&amp;" / "&amp;B154)+COUNTIFS('2019'!$L$24:$L$106,A154&amp;" / "&amp;B154)+COUNTIFS('2020'!$L$24:$L$106,A154&amp;" / "&amp;B154)+COUNTIFS('2021'!$L$24:$L$112,A154&amp;" / "&amp;B154)+COUNTIFS('2022'!$L$24:$L$112,A154&amp;" / "&amp;B154)+COUNTIFS('2023'!$L$24:$L$112,A154&amp;" / "&amp;B154)+COUNTIFS('2024'!$L$24:$L$112,A154&amp;" / "&amp;B154)+COUNTIFS('2025'!$L$24:$L$112,A154&amp;" / "&amp;B154)</x:f>
        <x:v>3</x:v>
      </x:c>
      <x:c r="D154" s="2" t="n">
        <x:f>COUNTIFS('2015'!$L$24:$L$96,A154&amp;" / "&amp;B154,'2015'!$I$24:$I$96,A154)+COUNTIFS('2016'!$L$24:$L$96,A154&amp;" / "&amp;B154,'2016'!$I$24:$I$96,A154)+COUNTIFS('2017'!$L$24:$L$106,A154&amp;" / "&amp;B154,'2017'!$I$24:$I$106,A154)+COUNTIFS('2018'!$L$24:$L$106,A154&amp;" / "&amp;B154,'2018'!$I$24:$I$106,A154)+COUNTIFS('2019'!$L$24:$L$106,A154&amp;" / "&amp;B154,'2019'!$I$24:$I$106,A154)+COUNTIFS('2020'!$L$24:$L$106,A154&amp;" / "&amp;B154,'2020'!$I$24:$I$106,A154)+COUNTIFS('2021'!$L$24:$L$112,A154&amp;" / "&amp;B154,'2021'!$I$24:$I$112,A154)+COUNTIFS('2022'!$L$24:$L$112,A154&amp;" / "&amp;B154,'2022'!$I$24:$I$112,A154)+COUNTIFS('2023'!$L$24:$L$112,A154&amp;" / "&amp;B154,'2023'!$I$24:$I$112,A154)+COUNTIFS('2024'!$L$24:$L$112,A154&amp;" / "&amp;B154,'2024'!$I$24:$I$112,A154)+COUNTIFS('2025'!$L$24:$L$112,A154&amp;" / "&amp;B154,'2025'!$I$24:$I$112,A154)</x:f>
        <x:v>1</x:v>
      </x:c>
      <x:c r="E154" s="2" t="n">
        <x:f>COUNTIFS('2015'!$L$24:$L$96,A154&amp;" / "&amp;B154,'2015'!$I$24:$I$96,B154)+COUNTIFS('2016'!$L$24:$L$96,A154&amp;" / "&amp;B154,'2016'!$I$24:$I$96,B154)+COUNTIFS('2017'!$L$24:$L$106,A154&amp;" / "&amp;B154,'2017'!$I$24:$I$106,B154)+COUNTIFS('2018'!$L$24:$L$106,A154&amp;" / "&amp;B154,'2018'!$I$24:$I$106,B154)+COUNTIFS('2019'!$L$24:$L$106,A154&amp;" / "&amp;B154,'2019'!$I$24:$I$106,B154)+COUNTIFS('2020'!$L$24:$L$106,A154&amp;" / "&amp;B154,'2020'!$I$24:$I$106,B154)+COUNTIFS('2021'!$L$24:$L$112,A154&amp;" / "&amp;B154,'2021'!$I$24:$I$112,B154)+COUNTIFS('2022'!$L$24:$L$112,A154&amp;" / "&amp;B154,'2022'!$I$24:$I$112,B154)+COUNTIFS('2023'!$L$24:$L$112,A154&amp;" / "&amp;B154,'2023'!$I$24:$I$112,B154)+COUNTIFS('2024'!$L$24:$L$112,A154&amp;" / "&amp;B154,'2024'!$I$24:$I$112,B154)+COUNTIFS('2025'!$L$24:$L$112,A154&amp;" / "&amp;B154,'2025'!$I$24:$I$112,B154)</x:f>
        <x:v>2</x:v>
      </x:c>
      <x:c r="F154" s="2" t="n">
        <x:f>COUNTIFS('2015'!$L$24:$L$96,A154&amp;" / "&amp;B154,'2015'!$K$24:$K$96,1)+COUNTIFS('2016'!$L$24:$L$96,A154&amp;" / "&amp;B154,'2016'!$K$24:$K$96,1)+COUNTIFS('2017'!$L$24:$L$106,A154&amp;" / "&amp;B154,'2017'!$K$24:$K$106,1)+COUNTIFS('2018'!$L$24:$L$106,A154&amp;" / "&amp;B154,'2018'!$K$24:$K$106,1)+COUNTIFS('2019'!$L$24:$L$106,A154&amp;" / "&amp;B154,'2019'!$K$24:$K$106,1)+COUNTIFS('2020'!$L$24:$L$106,A154&amp;" / "&amp;B154,'2020'!$K$24:$K$106,1)+COUNTIFS('2021'!$L$24:$L$112,A154&amp;" / "&amp;B154,'2021'!$K$24:$K$112,1)+COUNTIFS('2022'!$L$24:$L$112,A154&amp;" / "&amp;B154,'2022'!$K$24:$K$112,1)+COUNTIFS('2023'!$L$24:$L$112,A154&amp;" / "&amp;B154,'2023'!$K$24:$K$112,1)+COUNTIFS('2024'!$L$24:$L$112,A154&amp;" / "&amp;B154,'2024'!$K$24:$K$112,1)+COUNTIFS('2025'!$L$24:$L$112,A154&amp;" / "&amp;B154,'2025'!$K$24:$K$112,1)</x:f>
        <x:v>0</x:v>
      </x:c>
      <x:c r="G154" s="25" t="n">
        <x:f>SUMIFS('2015'!$E$24:$E$96,'2015'!$L$24:$L$96,A154&amp;" / "&amp;B154,'2015'!$C$24:$C$96,A154)+SUMIFS('2015'!$H$24:$H$96,'2015'!$L$24:$L$96,A154&amp;" / "&amp;B154,'2015'!$F$24:$F$96,A154)+SUMIFS('2016'!$E$24:$E$96,'2016'!$L$24:$L$96,A154&amp;" / "&amp;B154,'2016'!$C$24:$C$96,A154)+SUMIFS('2016'!$H$24:$H$96,'2016'!$L$24:$L$96,A154&amp;" / "&amp;B154,'2016'!$F$24:$F$96,A154)+SUMIFS('2017'!$E$24:$E$106,'2017'!$L$24:$L$106,A154&amp;" / "&amp;B154,'2017'!$C$24:$C$106,A154)+SUMIFS('2017'!$H$24:$H$106,'2017'!$L$24:$L$106,A154&amp;" / "&amp;B154,'2017'!$F$24:$F$106,A154)+SUMIFS('2018'!$E$24:$E$106,'2018'!$L$24:$L$106,A154&amp;" / "&amp;B154,'2018'!$C$24:$C$106,A154)+SUMIFS('2018'!$H$24:$H$106,'2018'!$L$24:$L$106,A154&amp;" / "&amp;B154,'2018'!$F$24:$F$106,A154)+SUMIFS('2019'!$E$24:$E$106,'2019'!$L$24:$L$106,A154&amp;" / "&amp;B154,'2019'!$C$24:$C$106,A154)+SUMIFS('2019'!$H$24:$H$106,'2019'!$L$24:$L$106,A154&amp;" / "&amp;B154,'2019'!$F$24:$F$106,A154)+SUMIFS('2020'!$E$24:$E$106,'2020'!$L$24:$L$106,A154&amp;" / "&amp;B154,'2020'!$C$24:$C$106,A154)+SUMIFS('2020'!$H$24:$H$106,'2020'!$L$24:$L$106,A154&amp;" / "&amp;B154,'2020'!$F$24:$F$106,A154)+SUMIFS('2021'!$E$24:$E$112,'2021'!$L$24:$L$112,A154&amp;" / "&amp;B154,'2021'!$C$24:$C$112,A154)+SUMIFS('2021'!$H$24:$H$112,'2021'!$L$24:$L$112,A154&amp;" / "&amp;B154,'2021'!$F$24:$F$112,A154)+SUMIFS('2022'!$E$24:$E$112,'2022'!$L$24:$L$112,A154&amp;" / "&amp;B154,'2022'!$C$24:$C$112,A154)+SUMIFS('2022'!$H$24:$H$112,'2022'!$L$24:$L$112,A154&amp;" / "&amp;B154,'2022'!$F$24:$F$112,A154)+SUMIFS('2023'!$E$24:$E$112,'2023'!$L$24:$L$112,A154&amp;" / "&amp;B154,'2023'!$C$24:$C$112,A154)+SUMIFS('2023'!$H$24:$H$112,'2023'!$L$24:$L$112,A154&amp;" / "&amp;B154,'2023'!$F$24:$F$112,A154)+SUMIFS('2024'!$E$24:$E$112,'2024'!$L$24:$L$112,A154&amp;" / "&amp;B154,'2024'!$C$24:$C$112,A154)+SUMIFS('2024'!$H$24:$H$112,'2024'!$L$24:$L$112,A154&amp;" / "&amp;B154,'2024'!$F$24:$F$112,A154)+SUMIFS('2025'!$E$24:$E$112,'2025'!$L$24:$L$112,A154&amp;" / "&amp;B154,'2025'!$C$24:$C$112,A154)+SUMIFS('2025'!$H$24:$H$112,'2025'!$L$24:$L$112,A154&amp;" / "&amp;B154,'2025'!$F$24:$F$112,A154)</x:f>
        <x:v>322.9</x:v>
      </x:c>
      <x:c r="H154" s="25" t="n">
        <x:f>SUMIFS('2015'!$E$24:$E$96,'2015'!$L$24:$L$96,A154&amp;" / "&amp;B154,'2015'!$C$24:$C$96,B154)+SUMIFS('2015'!$H$24:$H$96,'2015'!$L$24:$L$96,A154&amp;" / "&amp;B154,'2015'!$F$24:$F$96,B154)+SUMIFS('2016'!$E$24:$E$96,'2016'!$L$24:$L$96,A154&amp;" / "&amp;B154,'2016'!$C$24:$C$96,B154)+SUMIFS('2016'!$H$24:$H$96,'2016'!$L$24:$L$96,A154&amp;" / "&amp;B154,'2016'!$F$24:$F$96,B154)+SUMIFS('2017'!$E$24:$E$106,'2017'!$L$24:$L$106,A154&amp;" / "&amp;B154,'2017'!$C$24:$C$106,B154)+SUMIFS('2017'!$H$24:$H$106,'2017'!$L$24:$L$106,A154&amp;" / "&amp;B154,'2017'!$F$24:$F$106,B154)+SUMIFS('2018'!$E$24:$E$106,'2018'!$L$24:$L$106,A154&amp;" / "&amp;B154,'2018'!$C$24:$C$106,B154)+SUMIFS('2018'!$H$24:$H$106,'2018'!$L$24:$L$106,A154&amp;" / "&amp;B154,'2018'!$F$24:$F$106,B154)+SUMIFS('2019'!$E$24:$E$106,'2019'!$L$24:$L$106,A154&amp;" / "&amp;B154,'2019'!$C$24:$C$106,B154)+SUMIFS('2019'!$H$24:$H$106,'2019'!$L$24:$L$106,A154&amp;" / "&amp;B154,'2019'!$F$24:$F$106,B154)+SUMIFS('2020'!$E$24:$E$106,'2020'!$L$24:$L$106,A154&amp;" / "&amp;B154,'2020'!$C$24:$C$106,B154)+SUMIFS('2020'!$H$24:$H$106,'2020'!$L$24:$L$106,A154&amp;" / "&amp;B154,'2020'!$F$24:$F$106,B154)+SUMIFS('2021'!$E$24:$E$112,'2021'!$L$24:$L$112,A154&amp;" / "&amp;B154,'2021'!$C$24:$C$112,B154)+SUMIFS('2021'!$H$24:$H$112,'2021'!$L$24:$L$112,A154&amp;" / "&amp;B154,'2021'!$F$24:$F$112,B154)+SUMIFS('2022'!$E$24:$E$112,'2022'!$L$24:$L$112,A154&amp;" / "&amp;B154,'2022'!$C$24:$C$112,B154)+SUMIFS('2022'!$H$24:$H$112,'2022'!$L$24:$L$112,A154&amp;" / "&amp;B154,'2022'!$F$24:$F$112,B154)+SUMIFS('2023'!$E$24:$E$112,'2023'!$L$24:$L$112,A154&amp;" / "&amp;B154,'2023'!$C$24:$C$112,B154)+SUMIFS('2023'!$H$24:$H$112,'2023'!$L$24:$L$112,A154&amp;" / "&amp;B154,'2023'!$F$24:$F$112,B154)+SUMIFS('2024'!$E$24:$E$112,'2024'!$L$24:$L$112,A154&amp;" / "&amp;B154,'2024'!$C$24:$C$112,B154)+SUMIFS('2024'!$H$24:$H$112,'2024'!$L$24:$L$112,A154&amp;" / "&amp;B154,'2024'!$F$24:$F$112,B154)+SUMIFS('2025'!$E$24:$E$112,'2025'!$L$24:$L$112,A154&amp;" / "&amp;B154,'2025'!$C$24:$C$112,B154)+SUMIFS('2025'!$H$24:$H$112,'2025'!$L$24:$L$112,A154&amp;" / "&amp;B154,'2025'!$F$24:$F$112,B154)</x:f>
        <x:v>374.6</x:v>
      </x:c>
      <x:c r="I154" s="11" t="n">
        <x:f>IF(C154=0,0,(D154+0.5*F154)/C154)</x:f>
        <x:v>0.3333333333333333</x:v>
      </x:c>
      <x:c r="J154" s="2" t="n">
        <x:f>COUNTIFS('2015'!$L$24:$L$96,A154&amp;" / "&amp;B154,'2015'!$B$24:$B$96,"Regular")+COUNTIFS('2016'!$L$24:$L$96,A154&amp;" / "&amp;B154,'2016'!$B$24:$B$96,"Regular")+COUNTIFS('2017'!$L$24:$L$106,A154&amp;" / "&amp;B154,'2017'!$B$24:$B$106,"Regular")+COUNTIFS('2018'!$L$24:$L$106,A154&amp;" / "&amp;B154,'2018'!$B$24:$B$106,"Regular")+COUNTIFS('2019'!$L$24:$L$106,A154&amp;" / "&amp;B154,'2019'!$B$24:$B$106,"Regular")+COUNTIFS('2020'!$L$24:$L$106,A154&amp;" / "&amp;B154,'2020'!$B$24:$B$106,"Regular")+COUNTIFS('2021'!$L$24:$L$112,A154&amp;" / "&amp;B154,'2021'!$B$24:$B$112,"Regular")+COUNTIFS('2022'!$L$24:$L$112,A154&amp;" / "&amp;B154,'2022'!$B$24:$B$112,"Regular")+COUNTIFS('2023'!$L$24:$L$112,A154&amp;" / "&amp;B154,'2023'!$B$24:$B$112,"Regular")+COUNTIFS('2024'!$L$24:$L$112,A154&amp;" / "&amp;B154,'2024'!$B$24:$B$112,"Regular")+COUNTIFS('2025'!$L$24:$L$112,A154&amp;" / "&amp;B154,'2025'!$B$24:$B$112,"Regular")</x:f>
        <x:v>3</x:v>
      </x:c>
      <x:c r="K154" s="2" t="n">
        <x:f>COUNTIFS('2015'!$L$24:$L$96,A154&amp;" / "&amp;B154,'2015'!$B$24:$B$96,"Playoffs")+COUNTIFS('2016'!$L$24:$L$96,A154&amp;" / "&amp;B154,'2016'!$B$24:$B$96,"Playoffs")+COUNTIFS('2017'!$L$24:$L$106,A154&amp;" / "&amp;B154,'2017'!$B$24:$B$106,"Playoffs")+COUNTIFS('2018'!$L$24:$L$106,A154&amp;" / "&amp;B154,'2018'!$B$24:$B$106,"Playoffs")+COUNTIFS('2019'!$L$24:$L$106,A154&amp;" / "&amp;B154,'2019'!$B$24:$B$106,"Playoffs")+COUNTIFS('2020'!$L$24:$L$106,A154&amp;" / "&amp;B154,'2020'!$B$24:$B$106,"Playoffs")+COUNTIFS('2021'!$L$24:$L$112,A154&amp;" / "&amp;B154,'2021'!$B$24:$B$112,"Playoffs")+COUNTIFS('2022'!$L$24:$L$112,A154&amp;" / "&amp;B154,'2022'!$B$24:$B$112,"Playoffs")+COUNTIFS('2023'!$L$24:$L$112,A154&amp;" / "&amp;B154,'2023'!$B$24:$B$112,"Playoffs")+COUNTIFS('2024'!$L$24:$L$112,A154&amp;" / "&amp;B154,'2024'!$B$24:$B$112,"Playoffs")+COUNTIFS('2025'!$L$24:$L$112,A154&amp;" / "&amp;B154,'2025'!$B$24:$B$112,"Playoffs")</x:f>
        <x:v>0</x:v>
      </x:c>
      <x:c r="L154" s="2" t="n">
        <x:f>COUNTIFS('2015'!$L$24:$L$96,A154&amp;" / "&amp;B154,'2015'!$B$24:$B$96,"Unconfirmed")+COUNTIFS('2016'!$L$24:$L$96,A154&amp;" / "&amp;B154,'2016'!$B$24:$B$96,"Unconfirmed")+COUNTIFS('2017'!$L$24:$L$106,A154&amp;" / "&amp;B154,'2017'!$B$24:$B$106,"Unconfirmed")+COUNTIFS('2018'!$L$24:$L$106,A154&amp;" / "&amp;B154,'2018'!$B$24:$B$106,"Unconfirmed")+COUNTIFS('2019'!$L$24:$L$106,A154&amp;" / "&amp;B154,'2019'!$B$24:$B$106,"Unconfirmed")+COUNTIFS('2020'!$L$24:$L$106,A154&amp;" / "&amp;B154,'2020'!$B$24:$B$106,"Unconfirmed")+COUNTIFS('2021'!$L$24:$L$112,A154&amp;" / "&amp;B154,'2021'!$B$24:$B$112,"Unconfirmed")+COUNTIFS('2022'!$L$24:$L$112,A154&amp;" / "&amp;B154,'2022'!$B$24:$B$112,"Unconfirmed")+COUNTIFS('2023'!$L$24:$L$112,A154&amp;" / "&amp;B154,'2023'!$B$24:$B$112,"Unconfirmed")+COUNTIFS('2024'!$L$24:$L$112,A154&amp;" / "&amp;B154,'2024'!$B$24:$B$112,"Unconfirmed")+COUNTIFS('2025'!$L$24:$L$112,A154&amp;" / "&amp;B154,'2025'!$B$24:$B$112,"Unconfirmed")</x:f>
        <x:v>0</x:v>
      </x:c>
    </x:row>
    <x:row r="155" ht="22" customHeight="1">
      <x:c r="A155" s="2" t="str">
        <x:v>Michael</x:v>
      </x:c>
      <x:c r="B155" s="2" t="str">
        <x:v>Paul</x:v>
      </x:c>
      <x:c r="C155" s="2" t="n">
        <x:f>COUNTIFS('2015'!$L$24:$L$96,A155&amp;" / "&amp;B155)+COUNTIFS('2016'!$L$24:$L$96,A155&amp;" / "&amp;B155)+COUNTIFS('2017'!$L$24:$L$106,A155&amp;" / "&amp;B155)+COUNTIFS('2018'!$L$24:$L$106,A155&amp;" / "&amp;B155)+COUNTIFS('2019'!$L$24:$L$106,A155&amp;" / "&amp;B155)+COUNTIFS('2020'!$L$24:$L$106,A155&amp;" / "&amp;B155)+COUNTIFS('2021'!$L$24:$L$112,A155&amp;" / "&amp;B155)+COUNTIFS('2022'!$L$24:$L$112,A155&amp;" / "&amp;B155)+COUNTIFS('2023'!$L$24:$L$112,A155&amp;" / "&amp;B155)+COUNTIFS('2024'!$L$24:$L$112,A155&amp;" / "&amp;B155)+COUNTIFS('2025'!$L$24:$L$112,A155&amp;" / "&amp;B155)</x:f>
        <x:v>3</x:v>
      </x:c>
      <x:c r="D155" s="2" t="n">
        <x:f>COUNTIFS('2015'!$L$24:$L$96,A155&amp;" / "&amp;B155,'2015'!$I$24:$I$96,A155)+COUNTIFS('2016'!$L$24:$L$96,A155&amp;" / "&amp;B155,'2016'!$I$24:$I$96,A155)+COUNTIFS('2017'!$L$24:$L$106,A155&amp;" / "&amp;B155,'2017'!$I$24:$I$106,A155)+COUNTIFS('2018'!$L$24:$L$106,A155&amp;" / "&amp;B155,'2018'!$I$24:$I$106,A155)+COUNTIFS('2019'!$L$24:$L$106,A155&amp;" / "&amp;B155,'2019'!$I$24:$I$106,A155)+COUNTIFS('2020'!$L$24:$L$106,A155&amp;" / "&amp;B155,'2020'!$I$24:$I$106,A155)+COUNTIFS('2021'!$L$24:$L$112,A155&amp;" / "&amp;B155,'2021'!$I$24:$I$112,A155)+COUNTIFS('2022'!$L$24:$L$112,A155&amp;" / "&amp;B155,'2022'!$I$24:$I$112,A155)+COUNTIFS('2023'!$L$24:$L$112,A155&amp;" / "&amp;B155,'2023'!$I$24:$I$112,A155)+COUNTIFS('2024'!$L$24:$L$112,A155&amp;" / "&amp;B155,'2024'!$I$24:$I$112,A155)+COUNTIFS('2025'!$L$24:$L$112,A155&amp;" / "&amp;B155,'2025'!$I$24:$I$112,A155)</x:f>
        <x:v>2</x:v>
      </x:c>
      <x:c r="E155" s="2" t="n">
        <x:f>COUNTIFS('2015'!$L$24:$L$96,A155&amp;" / "&amp;B155,'2015'!$I$24:$I$96,B155)+COUNTIFS('2016'!$L$24:$L$96,A155&amp;" / "&amp;B155,'2016'!$I$24:$I$96,B155)+COUNTIFS('2017'!$L$24:$L$106,A155&amp;" / "&amp;B155,'2017'!$I$24:$I$106,B155)+COUNTIFS('2018'!$L$24:$L$106,A155&amp;" / "&amp;B155,'2018'!$I$24:$I$106,B155)+COUNTIFS('2019'!$L$24:$L$106,A155&amp;" / "&amp;B155,'2019'!$I$24:$I$106,B155)+COUNTIFS('2020'!$L$24:$L$106,A155&amp;" / "&amp;B155,'2020'!$I$24:$I$106,B155)+COUNTIFS('2021'!$L$24:$L$112,A155&amp;" / "&amp;B155,'2021'!$I$24:$I$112,B155)+COUNTIFS('2022'!$L$24:$L$112,A155&amp;" / "&amp;B155,'2022'!$I$24:$I$112,B155)+COUNTIFS('2023'!$L$24:$L$112,A155&amp;" / "&amp;B155,'2023'!$I$24:$I$112,B155)+COUNTIFS('2024'!$L$24:$L$112,A155&amp;" / "&amp;B155,'2024'!$I$24:$I$112,B155)+COUNTIFS('2025'!$L$24:$L$112,A155&amp;" / "&amp;B155,'2025'!$I$24:$I$112,B155)</x:f>
        <x:v>1</x:v>
      </x:c>
      <x:c r="F155" s="2" t="n">
        <x:f>COUNTIFS('2015'!$L$24:$L$96,A155&amp;" / "&amp;B155,'2015'!$K$24:$K$96,1)+COUNTIFS('2016'!$L$24:$L$96,A155&amp;" / "&amp;B155,'2016'!$K$24:$K$96,1)+COUNTIFS('2017'!$L$24:$L$106,A155&amp;" / "&amp;B155,'2017'!$K$24:$K$106,1)+COUNTIFS('2018'!$L$24:$L$106,A155&amp;" / "&amp;B155,'2018'!$K$24:$K$106,1)+COUNTIFS('2019'!$L$24:$L$106,A155&amp;" / "&amp;B155,'2019'!$K$24:$K$106,1)+COUNTIFS('2020'!$L$24:$L$106,A155&amp;" / "&amp;B155,'2020'!$K$24:$K$106,1)+COUNTIFS('2021'!$L$24:$L$112,A155&amp;" / "&amp;B155,'2021'!$K$24:$K$112,1)+COUNTIFS('2022'!$L$24:$L$112,A155&amp;" / "&amp;B155,'2022'!$K$24:$K$112,1)+COUNTIFS('2023'!$L$24:$L$112,A155&amp;" / "&amp;B155,'2023'!$K$24:$K$112,1)+COUNTIFS('2024'!$L$24:$L$112,A155&amp;" / "&amp;B155,'2024'!$K$24:$K$112,1)+COUNTIFS('2025'!$L$24:$L$112,A155&amp;" / "&amp;B155,'2025'!$K$24:$K$112,1)</x:f>
        <x:v>0</x:v>
      </x:c>
      <x:c r="G155" s="25" t="n">
        <x:f>SUMIFS('2015'!$E$24:$E$96,'2015'!$L$24:$L$96,A155&amp;" / "&amp;B155,'2015'!$C$24:$C$96,A155)+SUMIFS('2015'!$H$24:$H$96,'2015'!$L$24:$L$96,A155&amp;" / "&amp;B155,'2015'!$F$24:$F$96,A155)+SUMIFS('2016'!$E$24:$E$96,'2016'!$L$24:$L$96,A155&amp;" / "&amp;B155,'2016'!$C$24:$C$96,A155)+SUMIFS('2016'!$H$24:$H$96,'2016'!$L$24:$L$96,A155&amp;" / "&amp;B155,'2016'!$F$24:$F$96,A155)+SUMIFS('2017'!$E$24:$E$106,'2017'!$L$24:$L$106,A155&amp;" / "&amp;B155,'2017'!$C$24:$C$106,A155)+SUMIFS('2017'!$H$24:$H$106,'2017'!$L$24:$L$106,A155&amp;" / "&amp;B155,'2017'!$F$24:$F$106,A155)+SUMIFS('2018'!$E$24:$E$106,'2018'!$L$24:$L$106,A155&amp;" / "&amp;B155,'2018'!$C$24:$C$106,A155)+SUMIFS('2018'!$H$24:$H$106,'2018'!$L$24:$L$106,A155&amp;" / "&amp;B155,'2018'!$F$24:$F$106,A155)+SUMIFS('2019'!$E$24:$E$106,'2019'!$L$24:$L$106,A155&amp;" / "&amp;B155,'2019'!$C$24:$C$106,A155)+SUMIFS('2019'!$H$24:$H$106,'2019'!$L$24:$L$106,A155&amp;" / "&amp;B155,'2019'!$F$24:$F$106,A155)+SUMIFS('2020'!$E$24:$E$106,'2020'!$L$24:$L$106,A155&amp;" / "&amp;B155,'2020'!$C$24:$C$106,A155)+SUMIFS('2020'!$H$24:$H$106,'2020'!$L$24:$L$106,A155&amp;" / "&amp;B155,'2020'!$F$24:$F$106,A155)+SUMIFS('2021'!$E$24:$E$112,'2021'!$L$24:$L$112,A155&amp;" / "&amp;B155,'2021'!$C$24:$C$112,A155)+SUMIFS('2021'!$H$24:$H$112,'2021'!$L$24:$L$112,A155&amp;" / "&amp;B155,'2021'!$F$24:$F$112,A155)+SUMIFS('2022'!$E$24:$E$112,'2022'!$L$24:$L$112,A155&amp;" / "&amp;B155,'2022'!$C$24:$C$112,A155)+SUMIFS('2022'!$H$24:$H$112,'2022'!$L$24:$L$112,A155&amp;" / "&amp;B155,'2022'!$F$24:$F$112,A155)+SUMIFS('2023'!$E$24:$E$112,'2023'!$L$24:$L$112,A155&amp;" / "&amp;B155,'2023'!$C$24:$C$112,A155)+SUMIFS('2023'!$H$24:$H$112,'2023'!$L$24:$L$112,A155&amp;" / "&amp;B155,'2023'!$F$24:$F$112,A155)+SUMIFS('2024'!$E$24:$E$112,'2024'!$L$24:$L$112,A155&amp;" / "&amp;B155,'2024'!$C$24:$C$112,A155)+SUMIFS('2024'!$H$24:$H$112,'2024'!$L$24:$L$112,A155&amp;" / "&amp;B155,'2024'!$F$24:$F$112,A155)+SUMIFS('2025'!$E$24:$E$112,'2025'!$L$24:$L$112,A155&amp;" / "&amp;B155,'2025'!$C$24:$C$112,A155)+SUMIFS('2025'!$H$24:$H$112,'2025'!$L$24:$L$112,A155&amp;" / "&amp;B155,'2025'!$F$24:$F$112,A155)</x:f>
        <x:v>454.9</x:v>
      </x:c>
      <x:c r="H155" s="25" t="n">
        <x:f>SUMIFS('2015'!$E$24:$E$96,'2015'!$L$24:$L$96,A155&amp;" / "&amp;B155,'2015'!$C$24:$C$96,B155)+SUMIFS('2015'!$H$24:$H$96,'2015'!$L$24:$L$96,A155&amp;" / "&amp;B155,'2015'!$F$24:$F$96,B155)+SUMIFS('2016'!$E$24:$E$96,'2016'!$L$24:$L$96,A155&amp;" / "&amp;B155,'2016'!$C$24:$C$96,B155)+SUMIFS('2016'!$H$24:$H$96,'2016'!$L$24:$L$96,A155&amp;" / "&amp;B155,'2016'!$F$24:$F$96,B155)+SUMIFS('2017'!$E$24:$E$106,'2017'!$L$24:$L$106,A155&amp;" / "&amp;B155,'2017'!$C$24:$C$106,B155)+SUMIFS('2017'!$H$24:$H$106,'2017'!$L$24:$L$106,A155&amp;" / "&amp;B155,'2017'!$F$24:$F$106,B155)+SUMIFS('2018'!$E$24:$E$106,'2018'!$L$24:$L$106,A155&amp;" / "&amp;B155,'2018'!$C$24:$C$106,B155)+SUMIFS('2018'!$H$24:$H$106,'2018'!$L$24:$L$106,A155&amp;" / "&amp;B155,'2018'!$F$24:$F$106,B155)+SUMIFS('2019'!$E$24:$E$106,'2019'!$L$24:$L$106,A155&amp;" / "&amp;B155,'2019'!$C$24:$C$106,B155)+SUMIFS('2019'!$H$24:$H$106,'2019'!$L$24:$L$106,A155&amp;" / "&amp;B155,'2019'!$F$24:$F$106,B155)+SUMIFS('2020'!$E$24:$E$106,'2020'!$L$24:$L$106,A155&amp;" / "&amp;B155,'2020'!$C$24:$C$106,B155)+SUMIFS('2020'!$H$24:$H$106,'2020'!$L$24:$L$106,A155&amp;" / "&amp;B155,'2020'!$F$24:$F$106,B155)+SUMIFS('2021'!$E$24:$E$112,'2021'!$L$24:$L$112,A155&amp;" / "&amp;B155,'2021'!$C$24:$C$112,B155)+SUMIFS('2021'!$H$24:$H$112,'2021'!$L$24:$L$112,A155&amp;" / "&amp;B155,'2021'!$F$24:$F$112,B155)+SUMIFS('2022'!$E$24:$E$112,'2022'!$L$24:$L$112,A155&amp;" / "&amp;B155,'2022'!$C$24:$C$112,B155)+SUMIFS('2022'!$H$24:$H$112,'2022'!$L$24:$L$112,A155&amp;" / "&amp;B155,'2022'!$F$24:$F$112,B155)+SUMIFS('2023'!$E$24:$E$112,'2023'!$L$24:$L$112,A155&amp;" / "&amp;B155,'2023'!$C$24:$C$112,B155)+SUMIFS('2023'!$H$24:$H$112,'2023'!$L$24:$L$112,A155&amp;" / "&amp;B155,'2023'!$F$24:$F$112,B155)+SUMIFS('2024'!$E$24:$E$112,'2024'!$L$24:$L$112,A155&amp;" / "&amp;B155,'2024'!$C$24:$C$112,B155)+SUMIFS('2024'!$H$24:$H$112,'2024'!$L$24:$L$112,A155&amp;" / "&amp;B155,'2024'!$F$24:$F$112,B155)+SUMIFS('2025'!$E$24:$E$112,'2025'!$L$24:$L$112,A155&amp;" / "&amp;B155,'2025'!$C$24:$C$112,B155)+SUMIFS('2025'!$H$24:$H$112,'2025'!$L$24:$L$112,A155&amp;" / "&amp;B155,'2025'!$F$24:$F$112,B155)</x:f>
        <x:v>430.35</x:v>
      </x:c>
      <x:c r="I155" s="11" t="n">
        <x:f>IF(C155=0,0,(D155+0.5*F155)/C155)</x:f>
        <x:v>0.6666666666666666</x:v>
      </x:c>
      <x:c r="J155" s="2" t="n">
        <x:f>COUNTIFS('2015'!$L$24:$L$96,A155&amp;" / "&amp;B155,'2015'!$B$24:$B$96,"Regular")+COUNTIFS('2016'!$L$24:$L$96,A155&amp;" / "&amp;B155,'2016'!$B$24:$B$96,"Regular")+COUNTIFS('2017'!$L$24:$L$106,A155&amp;" / "&amp;B155,'2017'!$B$24:$B$106,"Regular")+COUNTIFS('2018'!$L$24:$L$106,A155&amp;" / "&amp;B155,'2018'!$B$24:$B$106,"Regular")+COUNTIFS('2019'!$L$24:$L$106,A155&amp;" / "&amp;B155,'2019'!$B$24:$B$106,"Regular")+COUNTIFS('2020'!$L$24:$L$106,A155&amp;" / "&amp;B155,'2020'!$B$24:$B$106,"Regular")+COUNTIFS('2021'!$L$24:$L$112,A155&amp;" / "&amp;B155,'2021'!$B$24:$B$112,"Regular")+COUNTIFS('2022'!$L$24:$L$112,A155&amp;" / "&amp;B155,'2022'!$B$24:$B$112,"Regular")+COUNTIFS('2023'!$L$24:$L$112,A155&amp;" / "&amp;B155,'2023'!$B$24:$B$112,"Regular")+COUNTIFS('2024'!$L$24:$L$112,A155&amp;" / "&amp;B155,'2024'!$B$24:$B$112,"Regular")+COUNTIFS('2025'!$L$24:$L$112,A155&amp;" / "&amp;B155,'2025'!$B$24:$B$112,"Regular")</x:f>
        <x:v>2</x:v>
      </x:c>
      <x:c r="K155" s="2" t="n">
        <x:f>COUNTIFS('2015'!$L$24:$L$96,A155&amp;" / "&amp;B155,'2015'!$B$24:$B$96,"Playoffs")+COUNTIFS('2016'!$L$24:$L$96,A155&amp;" / "&amp;B155,'2016'!$B$24:$B$96,"Playoffs")+COUNTIFS('2017'!$L$24:$L$106,A155&amp;" / "&amp;B155,'2017'!$B$24:$B$106,"Playoffs")+COUNTIFS('2018'!$L$24:$L$106,A155&amp;" / "&amp;B155,'2018'!$B$24:$B$106,"Playoffs")+COUNTIFS('2019'!$L$24:$L$106,A155&amp;" / "&amp;B155,'2019'!$B$24:$B$106,"Playoffs")+COUNTIFS('2020'!$L$24:$L$106,A155&amp;" / "&amp;B155,'2020'!$B$24:$B$106,"Playoffs")+COUNTIFS('2021'!$L$24:$L$112,A155&amp;" / "&amp;B155,'2021'!$B$24:$B$112,"Playoffs")+COUNTIFS('2022'!$L$24:$L$112,A155&amp;" / "&amp;B155,'2022'!$B$24:$B$112,"Playoffs")+COUNTIFS('2023'!$L$24:$L$112,A155&amp;" / "&amp;B155,'2023'!$B$24:$B$112,"Playoffs")+COUNTIFS('2024'!$L$24:$L$112,A155&amp;" / "&amp;B155,'2024'!$B$24:$B$112,"Playoffs")+COUNTIFS('2025'!$L$24:$L$112,A155&amp;" / "&amp;B155,'2025'!$B$24:$B$112,"Playoffs")</x:f>
        <x:v>1</x:v>
      </x:c>
      <x:c r="L155" s="2" t="n">
        <x:f>COUNTIFS('2015'!$L$24:$L$96,A155&amp;" / "&amp;B155,'2015'!$B$24:$B$96,"Unconfirmed")+COUNTIFS('2016'!$L$24:$L$96,A155&amp;" / "&amp;B155,'2016'!$B$24:$B$96,"Unconfirmed")+COUNTIFS('2017'!$L$24:$L$106,A155&amp;" / "&amp;B155,'2017'!$B$24:$B$106,"Unconfirmed")+COUNTIFS('2018'!$L$24:$L$106,A155&amp;" / "&amp;B155,'2018'!$B$24:$B$106,"Unconfirmed")+COUNTIFS('2019'!$L$24:$L$106,A155&amp;" / "&amp;B155,'2019'!$B$24:$B$106,"Unconfirmed")+COUNTIFS('2020'!$L$24:$L$106,A155&amp;" / "&amp;B155,'2020'!$B$24:$B$106,"Unconfirmed")+COUNTIFS('2021'!$L$24:$L$112,A155&amp;" / "&amp;B155,'2021'!$B$24:$B$112,"Unconfirmed")+COUNTIFS('2022'!$L$24:$L$112,A155&amp;" / "&amp;B155,'2022'!$B$24:$B$112,"Unconfirmed")+COUNTIFS('2023'!$L$24:$L$112,A155&amp;" / "&amp;B155,'2023'!$B$24:$B$112,"Unconfirmed")+COUNTIFS('2024'!$L$24:$L$112,A155&amp;" / "&amp;B155,'2024'!$B$24:$B$112,"Unconfirmed")+COUNTIFS('2025'!$L$24:$L$112,A155&amp;" / "&amp;B155,'2025'!$B$24:$B$112,"Unconfirmed")</x:f>
        <x:v>0</x:v>
      </x:c>
    </x:row>
    <x:row r="156" ht="22" customHeight="1">
      <x:c r="A156" s="2" t="str">
        <x:v>Michael</x:v>
      </x:c>
      <x:c r="B156" s="2" t="str">
        <x:v>Ryan</x:v>
      </x:c>
      <x:c r="C156" s="2" t="n">
        <x:f>COUNTIFS('2015'!$L$24:$L$96,A156&amp;" / "&amp;B156)+COUNTIFS('2016'!$L$24:$L$96,A156&amp;" / "&amp;B156)+COUNTIFS('2017'!$L$24:$L$106,A156&amp;" / "&amp;B156)+COUNTIFS('2018'!$L$24:$L$106,A156&amp;" / "&amp;B156)+COUNTIFS('2019'!$L$24:$L$106,A156&amp;" / "&amp;B156)+COUNTIFS('2020'!$L$24:$L$106,A156&amp;" / "&amp;B156)+COUNTIFS('2021'!$L$24:$L$112,A156&amp;" / "&amp;B156)+COUNTIFS('2022'!$L$24:$L$112,A156&amp;" / "&amp;B156)+COUNTIFS('2023'!$L$24:$L$112,A156&amp;" / "&amp;B156)+COUNTIFS('2024'!$L$24:$L$112,A156&amp;" / "&amp;B156)+COUNTIFS('2025'!$L$24:$L$112,A156&amp;" / "&amp;B156)</x:f>
        <x:v>2</x:v>
      </x:c>
      <x:c r="D156" s="2" t="n">
        <x:f>COUNTIFS('2015'!$L$24:$L$96,A156&amp;" / "&amp;B156,'2015'!$I$24:$I$96,A156)+COUNTIFS('2016'!$L$24:$L$96,A156&amp;" / "&amp;B156,'2016'!$I$24:$I$96,A156)+COUNTIFS('2017'!$L$24:$L$106,A156&amp;" / "&amp;B156,'2017'!$I$24:$I$106,A156)+COUNTIFS('2018'!$L$24:$L$106,A156&amp;" / "&amp;B156,'2018'!$I$24:$I$106,A156)+COUNTIFS('2019'!$L$24:$L$106,A156&amp;" / "&amp;B156,'2019'!$I$24:$I$106,A156)+COUNTIFS('2020'!$L$24:$L$106,A156&amp;" / "&amp;B156,'2020'!$I$24:$I$106,A156)+COUNTIFS('2021'!$L$24:$L$112,A156&amp;" / "&amp;B156,'2021'!$I$24:$I$112,A156)+COUNTIFS('2022'!$L$24:$L$112,A156&amp;" / "&amp;B156,'2022'!$I$24:$I$112,A156)+COUNTIFS('2023'!$L$24:$L$112,A156&amp;" / "&amp;B156,'2023'!$I$24:$I$112,A156)+COUNTIFS('2024'!$L$24:$L$112,A156&amp;" / "&amp;B156,'2024'!$I$24:$I$112,A156)+COUNTIFS('2025'!$L$24:$L$112,A156&amp;" / "&amp;B156,'2025'!$I$24:$I$112,A156)</x:f>
        <x:v>1</x:v>
      </x:c>
      <x:c r="E156" s="2" t="n">
        <x:f>COUNTIFS('2015'!$L$24:$L$96,A156&amp;" / "&amp;B156,'2015'!$I$24:$I$96,B156)+COUNTIFS('2016'!$L$24:$L$96,A156&amp;" / "&amp;B156,'2016'!$I$24:$I$96,B156)+COUNTIFS('2017'!$L$24:$L$106,A156&amp;" / "&amp;B156,'2017'!$I$24:$I$106,B156)+COUNTIFS('2018'!$L$24:$L$106,A156&amp;" / "&amp;B156,'2018'!$I$24:$I$106,B156)+COUNTIFS('2019'!$L$24:$L$106,A156&amp;" / "&amp;B156,'2019'!$I$24:$I$106,B156)+COUNTIFS('2020'!$L$24:$L$106,A156&amp;" / "&amp;B156,'2020'!$I$24:$I$106,B156)+COUNTIFS('2021'!$L$24:$L$112,A156&amp;" / "&amp;B156,'2021'!$I$24:$I$112,B156)+COUNTIFS('2022'!$L$24:$L$112,A156&amp;" / "&amp;B156,'2022'!$I$24:$I$112,B156)+COUNTIFS('2023'!$L$24:$L$112,A156&amp;" / "&amp;B156,'2023'!$I$24:$I$112,B156)+COUNTIFS('2024'!$L$24:$L$112,A156&amp;" / "&amp;B156,'2024'!$I$24:$I$112,B156)+COUNTIFS('2025'!$L$24:$L$112,A156&amp;" / "&amp;B156,'2025'!$I$24:$I$112,B156)</x:f>
        <x:v>1</x:v>
      </x:c>
      <x:c r="F156" s="2" t="n">
        <x:f>COUNTIFS('2015'!$L$24:$L$96,A156&amp;" / "&amp;B156,'2015'!$K$24:$K$96,1)+COUNTIFS('2016'!$L$24:$L$96,A156&amp;" / "&amp;B156,'2016'!$K$24:$K$96,1)+COUNTIFS('2017'!$L$24:$L$106,A156&amp;" / "&amp;B156,'2017'!$K$24:$K$106,1)+COUNTIFS('2018'!$L$24:$L$106,A156&amp;" / "&amp;B156,'2018'!$K$24:$K$106,1)+COUNTIFS('2019'!$L$24:$L$106,A156&amp;" / "&amp;B156,'2019'!$K$24:$K$106,1)+COUNTIFS('2020'!$L$24:$L$106,A156&amp;" / "&amp;B156,'2020'!$K$24:$K$106,1)+COUNTIFS('2021'!$L$24:$L$112,A156&amp;" / "&amp;B156,'2021'!$K$24:$K$112,1)+COUNTIFS('2022'!$L$24:$L$112,A156&amp;" / "&amp;B156,'2022'!$K$24:$K$112,1)+COUNTIFS('2023'!$L$24:$L$112,A156&amp;" / "&amp;B156,'2023'!$K$24:$K$112,1)+COUNTIFS('2024'!$L$24:$L$112,A156&amp;" / "&amp;B156,'2024'!$K$24:$K$112,1)+COUNTIFS('2025'!$L$24:$L$112,A156&amp;" / "&amp;B156,'2025'!$K$24:$K$112,1)</x:f>
        <x:v>0</x:v>
      </x:c>
      <x:c r="G156" s="25" t="n">
        <x:f>SUMIFS('2015'!$E$24:$E$96,'2015'!$L$24:$L$96,A156&amp;" / "&amp;B156,'2015'!$C$24:$C$96,A156)+SUMIFS('2015'!$H$24:$H$96,'2015'!$L$24:$L$96,A156&amp;" / "&amp;B156,'2015'!$F$24:$F$96,A156)+SUMIFS('2016'!$E$24:$E$96,'2016'!$L$24:$L$96,A156&amp;" / "&amp;B156,'2016'!$C$24:$C$96,A156)+SUMIFS('2016'!$H$24:$H$96,'2016'!$L$24:$L$96,A156&amp;" / "&amp;B156,'2016'!$F$24:$F$96,A156)+SUMIFS('2017'!$E$24:$E$106,'2017'!$L$24:$L$106,A156&amp;" / "&amp;B156,'2017'!$C$24:$C$106,A156)+SUMIFS('2017'!$H$24:$H$106,'2017'!$L$24:$L$106,A156&amp;" / "&amp;B156,'2017'!$F$24:$F$106,A156)+SUMIFS('2018'!$E$24:$E$106,'2018'!$L$24:$L$106,A156&amp;" / "&amp;B156,'2018'!$C$24:$C$106,A156)+SUMIFS('2018'!$H$24:$H$106,'2018'!$L$24:$L$106,A156&amp;" / "&amp;B156,'2018'!$F$24:$F$106,A156)+SUMIFS('2019'!$E$24:$E$106,'2019'!$L$24:$L$106,A156&amp;" / "&amp;B156,'2019'!$C$24:$C$106,A156)+SUMIFS('2019'!$H$24:$H$106,'2019'!$L$24:$L$106,A156&amp;" / "&amp;B156,'2019'!$F$24:$F$106,A156)+SUMIFS('2020'!$E$24:$E$106,'2020'!$L$24:$L$106,A156&amp;" / "&amp;B156,'2020'!$C$24:$C$106,A156)+SUMIFS('2020'!$H$24:$H$106,'2020'!$L$24:$L$106,A156&amp;" / "&amp;B156,'2020'!$F$24:$F$106,A156)+SUMIFS('2021'!$E$24:$E$112,'2021'!$L$24:$L$112,A156&amp;" / "&amp;B156,'2021'!$C$24:$C$112,A156)+SUMIFS('2021'!$H$24:$H$112,'2021'!$L$24:$L$112,A156&amp;" / "&amp;B156,'2021'!$F$24:$F$112,A156)+SUMIFS('2022'!$E$24:$E$112,'2022'!$L$24:$L$112,A156&amp;" / "&amp;B156,'2022'!$C$24:$C$112,A156)+SUMIFS('2022'!$H$24:$H$112,'2022'!$L$24:$L$112,A156&amp;" / "&amp;B156,'2022'!$F$24:$F$112,A156)+SUMIFS('2023'!$E$24:$E$112,'2023'!$L$24:$L$112,A156&amp;" / "&amp;B156,'2023'!$C$24:$C$112,A156)+SUMIFS('2023'!$H$24:$H$112,'2023'!$L$24:$L$112,A156&amp;" / "&amp;B156,'2023'!$F$24:$F$112,A156)+SUMIFS('2024'!$E$24:$E$112,'2024'!$L$24:$L$112,A156&amp;" / "&amp;B156,'2024'!$C$24:$C$112,A156)+SUMIFS('2024'!$H$24:$H$112,'2024'!$L$24:$L$112,A156&amp;" / "&amp;B156,'2024'!$F$24:$F$112,A156)+SUMIFS('2025'!$E$24:$E$112,'2025'!$L$24:$L$112,A156&amp;" / "&amp;B156,'2025'!$C$24:$C$112,A156)+SUMIFS('2025'!$H$24:$H$112,'2025'!$L$24:$L$112,A156&amp;" / "&amp;B156,'2025'!$F$24:$F$112,A156)</x:f>
        <x:v>234.3</x:v>
      </x:c>
      <x:c r="H156" s="25" t="n">
        <x:f>SUMIFS('2015'!$E$24:$E$96,'2015'!$L$24:$L$96,A156&amp;" / "&amp;B156,'2015'!$C$24:$C$96,B156)+SUMIFS('2015'!$H$24:$H$96,'2015'!$L$24:$L$96,A156&amp;" / "&amp;B156,'2015'!$F$24:$F$96,B156)+SUMIFS('2016'!$E$24:$E$96,'2016'!$L$24:$L$96,A156&amp;" / "&amp;B156,'2016'!$C$24:$C$96,B156)+SUMIFS('2016'!$H$24:$H$96,'2016'!$L$24:$L$96,A156&amp;" / "&amp;B156,'2016'!$F$24:$F$96,B156)+SUMIFS('2017'!$E$24:$E$106,'2017'!$L$24:$L$106,A156&amp;" / "&amp;B156,'2017'!$C$24:$C$106,B156)+SUMIFS('2017'!$H$24:$H$106,'2017'!$L$24:$L$106,A156&amp;" / "&amp;B156,'2017'!$F$24:$F$106,B156)+SUMIFS('2018'!$E$24:$E$106,'2018'!$L$24:$L$106,A156&amp;" / "&amp;B156,'2018'!$C$24:$C$106,B156)+SUMIFS('2018'!$H$24:$H$106,'2018'!$L$24:$L$106,A156&amp;" / "&amp;B156,'2018'!$F$24:$F$106,B156)+SUMIFS('2019'!$E$24:$E$106,'2019'!$L$24:$L$106,A156&amp;" / "&amp;B156,'2019'!$C$24:$C$106,B156)+SUMIFS('2019'!$H$24:$H$106,'2019'!$L$24:$L$106,A156&amp;" / "&amp;B156,'2019'!$F$24:$F$106,B156)+SUMIFS('2020'!$E$24:$E$106,'2020'!$L$24:$L$106,A156&amp;" / "&amp;B156,'2020'!$C$24:$C$106,B156)+SUMIFS('2020'!$H$24:$H$106,'2020'!$L$24:$L$106,A156&amp;" / "&amp;B156,'2020'!$F$24:$F$106,B156)+SUMIFS('2021'!$E$24:$E$112,'2021'!$L$24:$L$112,A156&amp;" / "&amp;B156,'2021'!$C$24:$C$112,B156)+SUMIFS('2021'!$H$24:$H$112,'2021'!$L$24:$L$112,A156&amp;" / "&amp;B156,'2021'!$F$24:$F$112,B156)+SUMIFS('2022'!$E$24:$E$112,'2022'!$L$24:$L$112,A156&amp;" / "&amp;B156,'2022'!$C$24:$C$112,B156)+SUMIFS('2022'!$H$24:$H$112,'2022'!$L$24:$L$112,A156&amp;" / "&amp;B156,'2022'!$F$24:$F$112,B156)+SUMIFS('2023'!$E$24:$E$112,'2023'!$L$24:$L$112,A156&amp;" / "&amp;B156,'2023'!$C$24:$C$112,B156)+SUMIFS('2023'!$H$24:$H$112,'2023'!$L$24:$L$112,A156&amp;" / "&amp;B156,'2023'!$F$24:$F$112,B156)+SUMIFS('2024'!$E$24:$E$112,'2024'!$L$24:$L$112,A156&amp;" / "&amp;B156,'2024'!$C$24:$C$112,B156)+SUMIFS('2024'!$H$24:$H$112,'2024'!$L$24:$L$112,A156&amp;" / "&amp;B156,'2024'!$F$24:$F$112,B156)+SUMIFS('2025'!$E$24:$E$112,'2025'!$L$24:$L$112,A156&amp;" / "&amp;B156,'2025'!$C$24:$C$112,B156)+SUMIFS('2025'!$H$24:$H$112,'2025'!$L$24:$L$112,A156&amp;" / "&amp;B156,'2025'!$F$24:$F$112,B156)</x:f>
        <x:v>238.5</x:v>
      </x:c>
      <x:c r="I156" s="11" t="n">
        <x:f>IF(C156=0,0,(D156+0.5*F156)/C156)</x:f>
        <x:v>0.5</x:v>
      </x:c>
      <x:c r="J156" s="2" t="n">
        <x:f>COUNTIFS('2015'!$L$24:$L$96,A156&amp;" / "&amp;B156,'2015'!$B$24:$B$96,"Regular")+COUNTIFS('2016'!$L$24:$L$96,A156&amp;" / "&amp;B156,'2016'!$B$24:$B$96,"Regular")+COUNTIFS('2017'!$L$24:$L$106,A156&amp;" / "&amp;B156,'2017'!$B$24:$B$106,"Regular")+COUNTIFS('2018'!$L$24:$L$106,A156&amp;" / "&amp;B156,'2018'!$B$24:$B$106,"Regular")+COUNTIFS('2019'!$L$24:$L$106,A156&amp;" / "&amp;B156,'2019'!$B$24:$B$106,"Regular")+COUNTIFS('2020'!$L$24:$L$106,A156&amp;" / "&amp;B156,'2020'!$B$24:$B$106,"Regular")+COUNTIFS('2021'!$L$24:$L$112,A156&amp;" / "&amp;B156,'2021'!$B$24:$B$112,"Regular")+COUNTIFS('2022'!$L$24:$L$112,A156&amp;" / "&amp;B156,'2022'!$B$24:$B$112,"Regular")+COUNTIFS('2023'!$L$24:$L$112,A156&amp;" / "&amp;B156,'2023'!$B$24:$B$112,"Regular")+COUNTIFS('2024'!$L$24:$L$112,A156&amp;" / "&amp;B156,'2024'!$B$24:$B$112,"Regular")+COUNTIFS('2025'!$L$24:$L$112,A156&amp;" / "&amp;B156,'2025'!$B$24:$B$112,"Regular")</x:f>
        <x:v>2</x:v>
      </x:c>
      <x:c r="K156" s="2" t="n">
        <x:f>COUNTIFS('2015'!$L$24:$L$96,A156&amp;" / "&amp;B156,'2015'!$B$24:$B$96,"Playoffs")+COUNTIFS('2016'!$L$24:$L$96,A156&amp;" / "&amp;B156,'2016'!$B$24:$B$96,"Playoffs")+COUNTIFS('2017'!$L$24:$L$106,A156&amp;" / "&amp;B156,'2017'!$B$24:$B$106,"Playoffs")+COUNTIFS('2018'!$L$24:$L$106,A156&amp;" / "&amp;B156,'2018'!$B$24:$B$106,"Playoffs")+COUNTIFS('2019'!$L$24:$L$106,A156&amp;" / "&amp;B156,'2019'!$B$24:$B$106,"Playoffs")+COUNTIFS('2020'!$L$24:$L$106,A156&amp;" / "&amp;B156,'2020'!$B$24:$B$106,"Playoffs")+COUNTIFS('2021'!$L$24:$L$112,A156&amp;" / "&amp;B156,'2021'!$B$24:$B$112,"Playoffs")+COUNTIFS('2022'!$L$24:$L$112,A156&amp;" / "&amp;B156,'2022'!$B$24:$B$112,"Playoffs")+COUNTIFS('2023'!$L$24:$L$112,A156&amp;" / "&amp;B156,'2023'!$B$24:$B$112,"Playoffs")+COUNTIFS('2024'!$L$24:$L$112,A156&amp;" / "&amp;B156,'2024'!$B$24:$B$112,"Playoffs")+COUNTIFS('2025'!$L$24:$L$112,A156&amp;" / "&amp;B156,'2025'!$B$24:$B$112,"Playoffs")</x:f>
        <x:v>0</x:v>
      </x:c>
      <x:c r="L156" s="2" t="n">
        <x:f>COUNTIFS('2015'!$L$24:$L$96,A156&amp;" / "&amp;B156,'2015'!$B$24:$B$96,"Unconfirmed")+COUNTIFS('2016'!$L$24:$L$96,A156&amp;" / "&amp;B156,'2016'!$B$24:$B$96,"Unconfirmed")+COUNTIFS('2017'!$L$24:$L$106,A156&amp;" / "&amp;B156,'2017'!$B$24:$B$106,"Unconfirmed")+COUNTIFS('2018'!$L$24:$L$106,A156&amp;" / "&amp;B156,'2018'!$B$24:$B$106,"Unconfirmed")+COUNTIFS('2019'!$L$24:$L$106,A156&amp;" / "&amp;B156,'2019'!$B$24:$B$106,"Unconfirmed")+COUNTIFS('2020'!$L$24:$L$106,A156&amp;" / "&amp;B156,'2020'!$B$24:$B$106,"Unconfirmed")+COUNTIFS('2021'!$L$24:$L$112,A156&amp;" / "&amp;B156,'2021'!$B$24:$B$112,"Unconfirmed")+COUNTIFS('2022'!$L$24:$L$112,A156&amp;" / "&amp;B156,'2022'!$B$24:$B$112,"Unconfirmed")+COUNTIFS('2023'!$L$24:$L$112,A156&amp;" / "&amp;B156,'2023'!$B$24:$B$112,"Unconfirmed")+COUNTIFS('2024'!$L$24:$L$112,A156&amp;" / "&amp;B156,'2024'!$B$24:$B$112,"Unconfirmed")+COUNTIFS('2025'!$L$24:$L$112,A156&amp;" / "&amp;B156,'2025'!$B$24:$B$112,"Unconfirmed")</x:f>
        <x:v>0</x:v>
      </x:c>
    </x:row>
    <x:row r="157" ht="22" customHeight="1">
      <x:c r="A157" s="2" t="str">
        <x:v>Mike</x:v>
      </x:c>
      <x:c r="B157" s="2" t="str">
        <x:v>Nick</x:v>
      </x:c>
      <x:c r="C157" s="2" t="n">
        <x:f>COUNTIFS('2015'!$L$24:$L$96,A157&amp;" / "&amp;B157)+COUNTIFS('2016'!$L$24:$L$96,A157&amp;" / "&amp;B157)+COUNTIFS('2017'!$L$24:$L$106,A157&amp;" / "&amp;B157)+COUNTIFS('2018'!$L$24:$L$106,A157&amp;" / "&amp;B157)+COUNTIFS('2019'!$L$24:$L$106,A157&amp;" / "&amp;B157)+COUNTIFS('2020'!$L$24:$L$106,A157&amp;" / "&amp;B157)+COUNTIFS('2021'!$L$24:$L$112,A157&amp;" / "&amp;B157)+COUNTIFS('2022'!$L$24:$L$112,A157&amp;" / "&amp;B157)+COUNTIFS('2023'!$L$24:$L$112,A157&amp;" / "&amp;B157)+COUNTIFS('2024'!$L$24:$L$112,A157&amp;" / "&amp;B157)+COUNTIFS('2025'!$L$24:$L$112,A157&amp;" / "&amp;B157)</x:f>
        <x:v>7</x:v>
      </x:c>
      <x:c r="D157" s="2" t="n">
        <x:f>COUNTIFS('2015'!$L$24:$L$96,A157&amp;" / "&amp;B157,'2015'!$I$24:$I$96,A157)+COUNTIFS('2016'!$L$24:$L$96,A157&amp;" / "&amp;B157,'2016'!$I$24:$I$96,A157)+COUNTIFS('2017'!$L$24:$L$106,A157&amp;" / "&amp;B157,'2017'!$I$24:$I$106,A157)+COUNTIFS('2018'!$L$24:$L$106,A157&amp;" / "&amp;B157,'2018'!$I$24:$I$106,A157)+COUNTIFS('2019'!$L$24:$L$106,A157&amp;" / "&amp;B157,'2019'!$I$24:$I$106,A157)+COUNTIFS('2020'!$L$24:$L$106,A157&amp;" / "&amp;B157,'2020'!$I$24:$I$106,A157)+COUNTIFS('2021'!$L$24:$L$112,A157&amp;" / "&amp;B157,'2021'!$I$24:$I$112,A157)+COUNTIFS('2022'!$L$24:$L$112,A157&amp;" / "&amp;B157,'2022'!$I$24:$I$112,A157)+COUNTIFS('2023'!$L$24:$L$112,A157&amp;" / "&amp;B157,'2023'!$I$24:$I$112,A157)+COUNTIFS('2024'!$L$24:$L$112,A157&amp;" / "&amp;B157,'2024'!$I$24:$I$112,A157)+COUNTIFS('2025'!$L$24:$L$112,A157&amp;" / "&amp;B157,'2025'!$I$24:$I$112,A157)</x:f>
        <x:v>5</x:v>
      </x:c>
      <x:c r="E157" s="2" t="n">
        <x:f>COUNTIFS('2015'!$L$24:$L$96,A157&amp;" / "&amp;B157,'2015'!$I$24:$I$96,B157)+COUNTIFS('2016'!$L$24:$L$96,A157&amp;" / "&amp;B157,'2016'!$I$24:$I$96,B157)+COUNTIFS('2017'!$L$24:$L$106,A157&amp;" / "&amp;B157,'2017'!$I$24:$I$106,B157)+COUNTIFS('2018'!$L$24:$L$106,A157&amp;" / "&amp;B157,'2018'!$I$24:$I$106,B157)+COUNTIFS('2019'!$L$24:$L$106,A157&amp;" / "&amp;B157,'2019'!$I$24:$I$106,B157)+COUNTIFS('2020'!$L$24:$L$106,A157&amp;" / "&amp;B157,'2020'!$I$24:$I$106,B157)+COUNTIFS('2021'!$L$24:$L$112,A157&amp;" / "&amp;B157,'2021'!$I$24:$I$112,B157)+COUNTIFS('2022'!$L$24:$L$112,A157&amp;" / "&amp;B157,'2022'!$I$24:$I$112,B157)+COUNTIFS('2023'!$L$24:$L$112,A157&amp;" / "&amp;B157,'2023'!$I$24:$I$112,B157)+COUNTIFS('2024'!$L$24:$L$112,A157&amp;" / "&amp;B157,'2024'!$I$24:$I$112,B157)+COUNTIFS('2025'!$L$24:$L$112,A157&amp;" / "&amp;B157,'2025'!$I$24:$I$112,B157)</x:f>
        <x:v>2</x:v>
      </x:c>
      <x:c r="F157" s="2" t="n">
        <x:f>COUNTIFS('2015'!$L$24:$L$96,A157&amp;" / "&amp;B157,'2015'!$K$24:$K$96,1)+COUNTIFS('2016'!$L$24:$L$96,A157&amp;" / "&amp;B157,'2016'!$K$24:$K$96,1)+COUNTIFS('2017'!$L$24:$L$106,A157&amp;" / "&amp;B157,'2017'!$K$24:$K$106,1)+COUNTIFS('2018'!$L$24:$L$106,A157&amp;" / "&amp;B157,'2018'!$K$24:$K$106,1)+COUNTIFS('2019'!$L$24:$L$106,A157&amp;" / "&amp;B157,'2019'!$K$24:$K$106,1)+COUNTIFS('2020'!$L$24:$L$106,A157&amp;" / "&amp;B157,'2020'!$K$24:$K$106,1)+COUNTIFS('2021'!$L$24:$L$112,A157&amp;" / "&amp;B157,'2021'!$K$24:$K$112,1)+COUNTIFS('2022'!$L$24:$L$112,A157&amp;" / "&amp;B157,'2022'!$K$24:$K$112,1)+COUNTIFS('2023'!$L$24:$L$112,A157&amp;" / "&amp;B157,'2023'!$K$24:$K$112,1)+COUNTIFS('2024'!$L$24:$L$112,A157&amp;" / "&amp;B157,'2024'!$K$24:$K$112,1)+COUNTIFS('2025'!$L$24:$L$112,A157&amp;" / "&amp;B157,'2025'!$K$24:$K$112,1)</x:f>
        <x:v>0</x:v>
      </x:c>
      <x:c r="G157" s="25" t="n">
        <x:f>SUMIFS('2015'!$E$24:$E$96,'2015'!$L$24:$L$96,A157&amp;" / "&amp;B157,'2015'!$C$24:$C$96,A157)+SUMIFS('2015'!$H$24:$H$96,'2015'!$L$24:$L$96,A157&amp;" / "&amp;B157,'2015'!$F$24:$F$96,A157)+SUMIFS('2016'!$E$24:$E$96,'2016'!$L$24:$L$96,A157&amp;" / "&amp;B157,'2016'!$C$24:$C$96,A157)+SUMIFS('2016'!$H$24:$H$96,'2016'!$L$24:$L$96,A157&amp;" / "&amp;B157,'2016'!$F$24:$F$96,A157)+SUMIFS('2017'!$E$24:$E$106,'2017'!$L$24:$L$106,A157&amp;" / "&amp;B157,'2017'!$C$24:$C$106,A157)+SUMIFS('2017'!$H$24:$H$106,'2017'!$L$24:$L$106,A157&amp;" / "&amp;B157,'2017'!$F$24:$F$106,A157)+SUMIFS('2018'!$E$24:$E$106,'2018'!$L$24:$L$106,A157&amp;" / "&amp;B157,'2018'!$C$24:$C$106,A157)+SUMIFS('2018'!$H$24:$H$106,'2018'!$L$24:$L$106,A157&amp;" / "&amp;B157,'2018'!$F$24:$F$106,A157)+SUMIFS('2019'!$E$24:$E$106,'2019'!$L$24:$L$106,A157&amp;" / "&amp;B157,'2019'!$C$24:$C$106,A157)+SUMIFS('2019'!$H$24:$H$106,'2019'!$L$24:$L$106,A157&amp;" / "&amp;B157,'2019'!$F$24:$F$106,A157)+SUMIFS('2020'!$E$24:$E$106,'2020'!$L$24:$L$106,A157&amp;" / "&amp;B157,'2020'!$C$24:$C$106,A157)+SUMIFS('2020'!$H$24:$H$106,'2020'!$L$24:$L$106,A157&amp;" / "&amp;B157,'2020'!$F$24:$F$106,A157)+SUMIFS('2021'!$E$24:$E$112,'2021'!$L$24:$L$112,A157&amp;" / "&amp;B157,'2021'!$C$24:$C$112,A157)+SUMIFS('2021'!$H$24:$H$112,'2021'!$L$24:$L$112,A157&amp;" / "&amp;B157,'2021'!$F$24:$F$112,A157)+SUMIFS('2022'!$E$24:$E$112,'2022'!$L$24:$L$112,A157&amp;" / "&amp;B157,'2022'!$C$24:$C$112,A157)+SUMIFS('2022'!$H$24:$H$112,'2022'!$L$24:$L$112,A157&amp;" / "&amp;B157,'2022'!$F$24:$F$112,A157)+SUMIFS('2023'!$E$24:$E$112,'2023'!$L$24:$L$112,A157&amp;" / "&amp;B157,'2023'!$C$24:$C$112,A157)+SUMIFS('2023'!$H$24:$H$112,'2023'!$L$24:$L$112,A157&amp;" / "&amp;B157,'2023'!$F$24:$F$112,A157)+SUMIFS('2024'!$E$24:$E$112,'2024'!$L$24:$L$112,A157&amp;" / "&amp;B157,'2024'!$C$24:$C$112,A157)+SUMIFS('2024'!$H$24:$H$112,'2024'!$L$24:$L$112,A157&amp;" / "&amp;B157,'2024'!$F$24:$F$112,A157)+SUMIFS('2025'!$E$24:$E$112,'2025'!$L$24:$L$112,A157&amp;" / "&amp;B157,'2025'!$C$24:$C$112,A157)+SUMIFS('2025'!$H$24:$H$112,'2025'!$L$24:$L$112,A157&amp;" / "&amp;B157,'2025'!$F$24:$F$112,A157)</x:f>
        <x:v>938.4999999999999</x:v>
      </x:c>
      <x:c r="H157" s="25" t="n">
        <x:f>SUMIFS('2015'!$E$24:$E$96,'2015'!$L$24:$L$96,A157&amp;" / "&amp;B157,'2015'!$C$24:$C$96,B157)+SUMIFS('2015'!$H$24:$H$96,'2015'!$L$24:$L$96,A157&amp;" / "&amp;B157,'2015'!$F$24:$F$96,B157)+SUMIFS('2016'!$E$24:$E$96,'2016'!$L$24:$L$96,A157&amp;" / "&amp;B157,'2016'!$C$24:$C$96,B157)+SUMIFS('2016'!$H$24:$H$96,'2016'!$L$24:$L$96,A157&amp;" / "&amp;B157,'2016'!$F$24:$F$96,B157)+SUMIFS('2017'!$E$24:$E$106,'2017'!$L$24:$L$106,A157&amp;" / "&amp;B157,'2017'!$C$24:$C$106,B157)+SUMIFS('2017'!$H$24:$H$106,'2017'!$L$24:$L$106,A157&amp;" / "&amp;B157,'2017'!$F$24:$F$106,B157)+SUMIFS('2018'!$E$24:$E$106,'2018'!$L$24:$L$106,A157&amp;" / "&amp;B157,'2018'!$C$24:$C$106,B157)+SUMIFS('2018'!$H$24:$H$106,'2018'!$L$24:$L$106,A157&amp;" / "&amp;B157,'2018'!$F$24:$F$106,B157)+SUMIFS('2019'!$E$24:$E$106,'2019'!$L$24:$L$106,A157&amp;" / "&amp;B157,'2019'!$C$24:$C$106,B157)+SUMIFS('2019'!$H$24:$H$106,'2019'!$L$24:$L$106,A157&amp;" / "&amp;B157,'2019'!$F$24:$F$106,B157)+SUMIFS('2020'!$E$24:$E$106,'2020'!$L$24:$L$106,A157&amp;" / "&amp;B157,'2020'!$C$24:$C$106,B157)+SUMIFS('2020'!$H$24:$H$106,'2020'!$L$24:$L$106,A157&amp;" / "&amp;B157,'2020'!$F$24:$F$106,B157)+SUMIFS('2021'!$E$24:$E$112,'2021'!$L$24:$L$112,A157&amp;" / "&amp;B157,'2021'!$C$24:$C$112,B157)+SUMIFS('2021'!$H$24:$H$112,'2021'!$L$24:$L$112,A157&amp;" / "&amp;B157,'2021'!$F$24:$F$112,B157)+SUMIFS('2022'!$E$24:$E$112,'2022'!$L$24:$L$112,A157&amp;" / "&amp;B157,'2022'!$C$24:$C$112,B157)+SUMIFS('2022'!$H$24:$H$112,'2022'!$L$24:$L$112,A157&amp;" / "&amp;B157,'2022'!$F$24:$F$112,B157)+SUMIFS('2023'!$E$24:$E$112,'2023'!$L$24:$L$112,A157&amp;" / "&amp;B157,'2023'!$C$24:$C$112,B157)+SUMIFS('2023'!$H$24:$H$112,'2023'!$L$24:$L$112,A157&amp;" / "&amp;B157,'2023'!$F$24:$F$112,B157)+SUMIFS('2024'!$E$24:$E$112,'2024'!$L$24:$L$112,A157&amp;" / "&amp;B157,'2024'!$C$24:$C$112,B157)+SUMIFS('2024'!$H$24:$H$112,'2024'!$L$24:$L$112,A157&amp;" / "&amp;B157,'2024'!$F$24:$F$112,B157)+SUMIFS('2025'!$E$24:$E$112,'2025'!$L$24:$L$112,A157&amp;" / "&amp;B157,'2025'!$C$24:$C$112,B157)+SUMIFS('2025'!$H$24:$H$112,'2025'!$L$24:$L$112,A157&amp;" / "&amp;B157,'2025'!$F$24:$F$112,B157)</x:f>
        <x:v>832.4000000000001</x:v>
      </x:c>
      <x:c r="I157" s="11" t="n">
        <x:f>IF(C157=0,0,(D157+0.5*F157)/C157)</x:f>
        <x:v>0.7142857142857143</x:v>
      </x:c>
      <x:c r="J157" s="2" t="n">
        <x:f>COUNTIFS('2015'!$L$24:$L$96,A157&amp;" / "&amp;B157,'2015'!$B$24:$B$96,"Regular")+COUNTIFS('2016'!$L$24:$L$96,A157&amp;" / "&amp;B157,'2016'!$B$24:$B$96,"Regular")+COUNTIFS('2017'!$L$24:$L$106,A157&amp;" / "&amp;B157,'2017'!$B$24:$B$106,"Regular")+COUNTIFS('2018'!$L$24:$L$106,A157&amp;" / "&amp;B157,'2018'!$B$24:$B$106,"Regular")+COUNTIFS('2019'!$L$24:$L$106,A157&amp;" / "&amp;B157,'2019'!$B$24:$B$106,"Regular")+COUNTIFS('2020'!$L$24:$L$106,A157&amp;" / "&amp;B157,'2020'!$B$24:$B$106,"Regular")+COUNTIFS('2021'!$L$24:$L$112,A157&amp;" / "&amp;B157,'2021'!$B$24:$B$112,"Regular")+COUNTIFS('2022'!$L$24:$L$112,A157&amp;" / "&amp;B157,'2022'!$B$24:$B$112,"Regular")+COUNTIFS('2023'!$L$24:$L$112,A157&amp;" / "&amp;B157,'2023'!$B$24:$B$112,"Regular")+COUNTIFS('2024'!$L$24:$L$112,A157&amp;" / "&amp;B157,'2024'!$B$24:$B$112,"Regular")+COUNTIFS('2025'!$L$24:$L$112,A157&amp;" / "&amp;B157,'2025'!$B$24:$B$112,"Regular")</x:f>
        <x:v>6</x:v>
      </x:c>
      <x:c r="K157" s="2" t="n">
        <x:f>COUNTIFS('2015'!$L$24:$L$96,A157&amp;" / "&amp;B157,'2015'!$B$24:$B$96,"Playoffs")+COUNTIFS('2016'!$L$24:$L$96,A157&amp;" / "&amp;B157,'2016'!$B$24:$B$96,"Playoffs")+COUNTIFS('2017'!$L$24:$L$106,A157&amp;" / "&amp;B157,'2017'!$B$24:$B$106,"Playoffs")+COUNTIFS('2018'!$L$24:$L$106,A157&amp;" / "&amp;B157,'2018'!$B$24:$B$106,"Playoffs")+COUNTIFS('2019'!$L$24:$L$106,A157&amp;" / "&amp;B157,'2019'!$B$24:$B$106,"Playoffs")+COUNTIFS('2020'!$L$24:$L$106,A157&amp;" / "&amp;B157,'2020'!$B$24:$B$106,"Playoffs")+COUNTIFS('2021'!$L$24:$L$112,A157&amp;" / "&amp;B157,'2021'!$B$24:$B$112,"Playoffs")+COUNTIFS('2022'!$L$24:$L$112,A157&amp;" / "&amp;B157,'2022'!$B$24:$B$112,"Playoffs")+COUNTIFS('2023'!$L$24:$L$112,A157&amp;" / "&amp;B157,'2023'!$B$24:$B$112,"Playoffs")+COUNTIFS('2024'!$L$24:$L$112,A157&amp;" / "&amp;B157,'2024'!$B$24:$B$112,"Playoffs")+COUNTIFS('2025'!$L$24:$L$112,A157&amp;" / "&amp;B157,'2025'!$B$24:$B$112,"Playoffs")</x:f>
        <x:v>1</x:v>
      </x:c>
      <x:c r="L157" s="2" t="n">
        <x:f>COUNTIFS('2015'!$L$24:$L$96,A157&amp;" / "&amp;B157,'2015'!$B$24:$B$96,"Unconfirmed")+COUNTIFS('2016'!$L$24:$L$96,A157&amp;" / "&amp;B157,'2016'!$B$24:$B$96,"Unconfirmed")+COUNTIFS('2017'!$L$24:$L$106,A157&amp;" / "&amp;B157,'2017'!$B$24:$B$106,"Unconfirmed")+COUNTIFS('2018'!$L$24:$L$106,A157&amp;" / "&amp;B157,'2018'!$B$24:$B$106,"Unconfirmed")+COUNTIFS('2019'!$L$24:$L$106,A157&amp;" / "&amp;B157,'2019'!$B$24:$B$106,"Unconfirmed")+COUNTIFS('2020'!$L$24:$L$106,A157&amp;" / "&amp;B157,'2020'!$B$24:$B$106,"Unconfirmed")+COUNTIFS('2021'!$L$24:$L$112,A157&amp;" / "&amp;B157,'2021'!$B$24:$B$112,"Unconfirmed")+COUNTIFS('2022'!$L$24:$L$112,A157&amp;" / "&amp;B157,'2022'!$B$24:$B$112,"Unconfirmed")+COUNTIFS('2023'!$L$24:$L$112,A157&amp;" / "&amp;B157,'2023'!$B$24:$B$112,"Unconfirmed")+COUNTIFS('2024'!$L$24:$L$112,A157&amp;" / "&amp;B157,'2024'!$B$24:$B$112,"Unconfirmed")+COUNTIFS('2025'!$L$24:$L$112,A157&amp;" / "&amp;B157,'2025'!$B$24:$B$112,"Unconfirmed")</x:f>
        <x:v>0</x:v>
      </x:c>
    </x:row>
    <x:row r="158" ht="22" customHeight="1">
      <x:c r="A158" s="2" t="str">
        <x:v>Mike</x:v>
      </x:c>
      <x:c r="B158" s="2" t="str">
        <x:v>Paul</x:v>
      </x:c>
      <x:c r="C158" s="2" t="n">
        <x:f>COUNTIFS('2015'!$L$24:$L$96,A158&amp;" / "&amp;B158)+COUNTIFS('2016'!$L$24:$L$96,A158&amp;" / "&amp;B158)+COUNTIFS('2017'!$L$24:$L$106,A158&amp;" / "&amp;B158)+COUNTIFS('2018'!$L$24:$L$106,A158&amp;" / "&amp;B158)+COUNTIFS('2019'!$L$24:$L$106,A158&amp;" / "&amp;B158)+COUNTIFS('2020'!$L$24:$L$106,A158&amp;" / "&amp;B158)+COUNTIFS('2021'!$L$24:$L$112,A158&amp;" / "&amp;B158)+COUNTIFS('2022'!$L$24:$L$112,A158&amp;" / "&amp;B158)+COUNTIFS('2023'!$L$24:$L$112,A158&amp;" / "&amp;B158)+COUNTIFS('2024'!$L$24:$L$112,A158&amp;" / "&amp;B158)+COUNTIFS('2025'!$L$24:$L$112,A158&amp;" / "&amp;B158)</x:f>
        <x:v>12</x:v>
      </x:c>
      <x:c r="D158" s="2" t="n">
        <x:f>COUNTIFS('2015'!$L$24:$L$96,A158&amp;" / "&amp;B158,'2015'!$I$24:$I$96,A158)+COUNTIFS('2016'!$L$24:$L$96,A158&amp;" / "&amp;B158,'2016'!$I$24:$I$96,A158)+COUNTIFS('2017'!$L$24:$L$106,A158&amp;" / "&amp;B158,'2017'!$I$24:$I$106,A158)+COUNTIFS('2018'!$L$24:$L$106,A158&amp;" / "&amp;B158,'2018'!$I$24:$I$106,A158)+COUNTIFS('2019'!$L$24:$L$106,A158&amp;" / "&amp;B158,'2019'!$I$24:$I$106,A158)+COUNTIFS('2020'!$L$24:$L$106,A158&amp;" / "&amp;B158,'2020'!$I$24:$I$106,A158)+COUNTIFS('2021'!$L$24:$L$112,A158&amp;" / "&amp;B158,'2021'!$I$24:$I$112,A158)+COUNTIFS('2022'!$L$24:$L$112,A158&amp;" / "&amp;B158,'2022'!$I$24:$I$112,A158)+COUNTIFS('2023'!$L$24:$L$112,A158&amp;" / "&amp;B158,'2023'!$I$24:$I$112,A158)+COUNTIFS('2024'!$L$24:$L$112,A158&amp;" / "&amp;B158,'2024'!$I$24:$I$112,A158)+COUNTIFS('2025'!$L$24:$L$112,A158&amp;" / "&amp;B158,'2025'!$I$24:$I$112,A158)</x:f>
        <x:v>5</x:v>
      </x:c>
      <x:c r="E158" s="2" t="n">
        <x:f>COUNTIFS('2015'!$L$24:$L$96,A158&amp;" / "&amp;B158,'2015'!$I$24:$I$96,B158)+COUNTIFS('2016'!$L$24:$L$96,A158&amp;" / "&amp;B158,'2016'!$I$24:$I$96,B158)+COUNTIFS('2017'!$L$24:$L$106,A158&amp;" / "&amp;B158,'2017'!$I$24:$I$106,B158)+COUNTIFS('2018'!$L$24:$L$106,A158&amp;" / "&amp;B158,'2018'!$I$24:$I$106,B158)+COUNTIFS('2019'!$L$24:$L$106,A158&amp;" / "&amp;B158,'2019'!$I$24:$I$106,B158)+COUNTIFS('2020'!$L$24:$L$106,A158&amp;" / "&amp;B158,'2020'!$I$24:$I$106,B158)+COUNTIFS('2021'!$L$24:$L$112,A158&amp;" / "&amp;B158,'2021'!$I$24:$I$112,B158)+COUNTIFS('2022'!$L$24:$L$112,A158&amp;" / "&amp;B158,'2022'!$I$24:$I$112,B158)+COUNTIFS('2023'!$L$24:$L$112,A158&amp;" / "&amp;B158,'2023'!$I$24:$I$112,B158)+COUNTIFS('2024'!$L$24:$L$112,A158&amp;" / "&amp;B158,'2024'!$I$24:$I$112,B158)+COUNTIFS('2025'!$L$24:$L$112,A158&amp;" / "&amp;B158,'2025'!$I$24:$I$112,B158)</x:f>
        <x:v>7</x:v>
      </x:c>
      <x:c r="F158" s="2" t="n">
        <x:f>COUNTIFS('2015'!$L$24:$L$96,A158&amp;" / "&amp;B158,'2015'!$K$24:$K$96,1)+COUNTIFS('2016'!$L$24:$L$96,A158&amp;" / "&amp;B158,'2016'!$K$24:$K$96,1)+COUNTIFS('2017'!$L$24:$L$106,A158&amp;" / "&amp;B158,'2017'!$K$24:$K$106,1)+COUNTIFS('2018'!$L$24:$L$106,A158&amp;" / "&amp;B158,'2018'!$K$24:$K$106,1)+COUNTIFS('2019'!$L$24:$L$106,A158&amp;" / "&amp;B158,'2019'!$K$24:$K$106,1)+COUNTIFS('2020'!$L$24:$L$106,A158&amp;" / "&amp;B158,'2020'!$K$24:$K$106,1)+COUNTIFS('2021'!$L$24:$L$112,A158&amp;" / "&amp;B158,'2021'!$K$24:$K$112,1)+COUNTIFS('2022'!$L$24:$L$112,A158&amp;" / "&amp;B158,'2022'!$K$24:$K$112,1)+COUNTIFS('2023'!$L$24:$L$112,A158&amp;" / "&amp;B158,'2023'!$K$24:$K$112,1)+COUNTIFS('2024'!$L$24:$L$112,A158&amp;" / "&amp;B158,'2024'!$K$24:$K$112,1)+COUNTIFS('2025'!$L$24:$L$112,A158&amp;" / "&amp;B158,'2025'!$K$24:$K$112,1)</x:f>
        <x:v>0</x:v>
      </x:c>
      <x:c r="G158" s="25" t="n">
        <x:f>SUMIFS('2015'!$E$24:$E$96,'2015'!$L$24:$L$96,A158&amp;" / "&amp;B158,'2015'!$C$24:$C$96,A158)+SUMIFS('2015'!$H$24:$H$96,'2015'!$L$24:$L$96,A158&amp;" / "&amp;B158,'2015'!$F$24:$F$96,A158)+SUMIFS('2016'!$E$24:$E$96,'2016'!$L$24:$L$96,A158&amp;" / "&amp;B158,'2016'!$C$24:$C$96,A158)+SUMIFS('2016'!$H$24:$H$96,'2016'!$L$24:$L$96,A158&amp;" / "&amp;B158,'2016'!$F$24:$F$96,A158)+SUMIFS('2017'!$E$24:$E$106,'2017'!$L$24:$L$106,A158&amp;" / "&amp;B158,'2017'!$C$24:$C$106,A158)+SUMIFS('2017'!$H$24:$H$106,'2017'!$L$24:$L$106,A158&amp;" / "&amp;B158,'2017'!$F$24:$F$106,A158)+SUMIFS('2018'!$E$24:$E$106,'2018'!$L$24:$L$106,A158&amp;" / "&amp;B158,'2018'!$C$24:$C$106,A158)+SUMIFS('2018'!$H$24:$H$106,'2018'!$L$24:$L$106,A158&amp;" / "&amp;B158,'2018'!$F$24:$F$106,A158)+SUMIFS('2019'!$E$24:$E$106,'2019'!$L$24:$L$106,A158&amp;" / "&amp;B158,'2019'!$C$24:$C$106,A158)+SUMIFS('2019'!$H$24:$H$106,'2019'!$L$24:$L$106,A158&amp;" / "&amp;B158,'2019'!$F$24:$F$106,A158)+SUMIFS('2020'!$E$24:$E$106,'2020'!$L$24:$L$106,A158&amp;" / "&amp;B158,'2020'!$C$24:$C$106,A158)+SUMIFS('2020'!$H$24:$H$106,'2020'!$L$24:$L$106,A158&amp;" / "&amp;B158,'2020'!$F$24:$F$106,A158)+SUMIFS('2021'!$E$24:$E$112,'2021'!$L$24:$L$112,A158&amp;" / "&amp;B158,'2021'!$C$24:$C$112,A158)+SUMIFS('2021'!$H$24:$H$112,'2021'!$L$24:$L$112,A158&amp;" / "&amp;B158,'2021'!$F$24:$F$112,A158)+SUMIFS('2022'!$E$24:$E$112,'2022'!$L$24:$L$112,A158&amp;" / "&amp;B158,'2022'!$C$24:$C$112,A158)+SUMIFS('2022'!$H$24:$H$112,'2022'!$L$24:$L$112,A158&amp;" / "&amp;B158,'2022'!$F$24:$F$112,A158)+SUMIFS('2023'!$E$24:$E$112,'2023'!$L$24:$L$112,A158&amp;" / "&amp;B158,'2023'!$C$24:$C$112,A158)+SUMIFS('2023'!$H$24:$H$112,'2023'!$L$24:$L$112,A158&amp;" / "&amp;B158,'2023'!$F$24:$F$112,A158)+SUMIFS('2024'!$E$24:$E$112,'2024'!$L$24:$L$112,A158&amp;" / "&amp;B158,'2024'!$C$24:$C$112,A158)+SUMIFS('2024'!$H$24:$H$112,'2024'!$L$24:$L$112,A158&amp;" / "&amp;B158,'2024'!$F$24:$F$112,A158)+SUMIFS('2025'!$E$24:$E$112,'2025'!$L$24:$L$112,A158&amp;" / "&amp;B158,'2025'!$C$24:$C$112,A158)+SUMIFS('2025'!$H$24:$H$112,'2025'!$L$24:$L$112,A158&amp;" / "&amp;B158,'2025'!$F$24:$F$112,A158)</x:f>
        <x:v>1279.9499999999998</x:v>
      </x:c>
      <x:c r="H158" s="25" t="n">
        <x:f>SUMIFS('2015'!$E$24:$E$96,'2015'!$L$24:$L$96,A158&amp;" / "&amp;B158,'2015'!$C$24:$C$96,B158)+SUMIFS('2015'!$H$24:$H$96,'2015'!$L$24:$L$96,A158&amp;" / "&amp;B158,'2015'!$F$24:$F$96,B158)+SUMIFS('2016'!$E$24:$E$96,'2016'!$L$24:$L$96,A158&amp;" / "&amp;B158,'2016'!$C$24:$C$96,B158)+SUMIFS('2016'!$H$24:$H$96,'2016'!$L$24:$L$96,A158&amp;" / "&amp;B158,'2016'!$F$24:$F$96,B158)+SUMIFS('2017'!$E$24:$E$106,'2017'!$L$24:$L$106,A158&amp;" / "&amp;B158,'2017'!$C$24:$C$106,B158)+SUMIFS('2017'!$H$24:$H$106,'2017'!$L$24:$L$106,A158&amp;" / "&amp;B158,'2017'!$F$24:$F$106,B158)+SUMIFS('2018'!$E$24:$E$106,'2018'!$L$24:$L$106,A158&amp;" / "&amp;B158,'2018'!$C$24:$C$106,B158)+SUMIFS('2018'!$H$24:$H$106,'2018'!$L$24:$L$106,A158&amp;" / "&amp;B158,'2018'!$F$24:$F$106,B158)+SUMIFS('2019'!$E$24:$E$106,'2019'!$L$24:$L$106,A158&amp;" / "&amp;B158,'2019'!$C$24:$C$106,B158)+SUMIFS('2019'!$H$24:$H$106,'2019'!$L$24:$L$106,A158&amp;" / "&amp;B158,'2019'!$F$24:$F$106,B158)+SUMIFS('2020'!$E$24:$E$106,'2020'!$L$24:$L$106,A158&amp;" / "&amp;B158,'2020'!$C$24:$C$106,B158)+SUMIFS('2020'!$H$24:$H$106,'2020'!$L$24:$L$106,A158&amp;" / "&amp;B158,'2020'!$F$24:$F$106,B158)+SUMIFS('2021'!$E$24:$E$112,'2021'!$L$24:$L$112,A158&amp;" / "&amp;B158,'2021'!$C$24:$C$112,B158)+SUMIFS('2021'!$H$24:$H$112,'2021'!$L$24:$L$112,A158&amp;" / "&amp;B158,'2021'!$F$24:$F$112,B158)+SUMIFS('2022'!$E$24:$E$112,'2022'!$L$24:$L$112,A158&amp;" / "&amp;B158,'2022'!$C$24:$C$112,B158)+SUMIFS('2022'!$H$24:$H$112,'2022'!$L$24:$L$112,A158&amp;" / "&amp;B158,'2022'!$F$24:$F$112,B158)+SUMIFS('2023'!$E$24:$E$112,'2023'!$L$24:$L$112,A158&amp;" / "&amp;B158,'2023'!$C$24:$C$112,B158)+SUMIFS('2023'!$H$24:$H$112,'2023'!$L$24:$L$112,A158&amp;" / "&amp;B158,'2023'!$F$24:$F$112,B158)+SUMIFS('2024'!$E$24:$E$112,'2024'!$L$24:$L$112,A158&amp;" / "&amp;B158,'2024'!$C$24:$C$112,B158)+SUMIFS('2024'!$H$24:$H$112,'2024'!$L$24:$L$112,A158&amp;" / "&amp;B158,'2024'!$F$24:$F$112,B158)+SUMIFS('2025'!$E$24:$E$112,'2025'!$L$24:$L$112,A158&amp;" / "&amp;B158,'2025'!$C$24:$C$112,B158)+SUMIFS('2025'!$H$24:$H$112,'2025'!$L$24:$L$112,A158&amp;" / "&amp;B158,'2025'!$F$24:$F$112,B158)</x:f>
        <x:v>1324.7000000000003</x:v>
      </x:c>
      <x:c r="I158" s="11" t="n">
        <x:f>IF(C158=0,0,(D158+0.5*F158)/C158)</x:f>
        <x:v>0.4166666666666667</x:v>
      </x:c>
      <x:c r="J158" s="2" t="n">
        <x:f>COUNTIFS('2015'!$L$24:$L$96,A158&amp;" / "&amp;B158,'2015'!$B$24:$B$96,"Regular")+COUNTIFS('2016'!$L$24:$L$96,A158&amp;" / "&amp;B158,'2016'!$B$24:$B$96,"Regular")+COUNTIFS('2017'!$L$24:$L$106,A158&amp;" / "&amp;B158,'2017'!$B$24:$B$106,"Regular")+COUNTIFS('2018'!$L$24:$L$106,A158&amp;" / "&amp;B158,'2018'!$B$24:$B$106,"Regular")+COUNTIFS('2019'!$L$24:$L$106,A158&amp;" / "&amp;B158,'2019'!$B$24:$B$106,"Regular")+COUNTIFS('2020'!$L$24:$L$106,A158&amp;" / "&amp;B158,'2020'!$B$24:$B$106,"Regular")+COUNTIFS('2021'!$L$24:$L$112,A158&amp;" / "&amp;B158,'2021'!$B$24:$B$112,"Regular")+COUNTIFS('2022'!$L$24:$L$112,A158&amp;" / "&amp;B158,'2022'!$B$24:$B$112,"Regular")+COUNTIFS('2023'!$L$24:$L$112,A158&amp;" / "&amp;B158,'2023'!$B$24:$B$112,"Regular")+COUNTIFS('2024'!$L$24:$L$112,A158&amp;" / "&amp;B158,'2024'!$B$24:$B$112,"Regular")+COUNTIFS('2025'!$L$24:$L$112,A158&amp;" / "&amp;B158,'2025'!$B$24:$B$112,"Regular")</x:f>
        <x:v>10</x:v>
      </x:c>
      <x:c r="K158" s="2" t="n">
        <x:f>COUNTIFS('2015'!$L$24:$L$96,A158&amp;" / "&amp;B158,'2015'!$B$24:$B$96,"Playoffs")+COUNTIFS('2016'!$L$24:$L$96,A158&amp;" / "&amp;B158,'2016'!$B$24:$B$96,"Playoffs")+COUNTIFS('2017'!$L$24:$L$106,A158&amp;" / "&amp;B158,'2017'!$B$24:$B$106,"Playoffs")+COUNTIFS('2018'!$L$24:$L$106,A158&amp;" / "&amp;B158,'2018'!$B$24:$B$106,"Playoffs")+COUNTIFS('2019'!$L$24:$L$106,A158&amp;" / "&amp;B158,'2019'!$B$24:$B$106,"Playoffs")+COUNTIFS('2020'!$L$24:$L$106,A158&amp;" / "&amp;B158,'2020'!$B$24:$B$106,"Playoffs")+COUNTIFS('2021'!$L$24:$L$112,A158&amp;" / "&amp;B158,'2021'!$B$24:$B$112,"Playoffs")+COUNTIFS('2022'!$L$24:$L$112,A158&amp;" / "&amp;B158,'2022'!$B$24:$B$112,"Playoffs")+COUNTIFS('2023'!$L$24:$L$112,A158&amp;" / "&amp;B158,'2023'!$B$24:$B$112,"Playoffs")+COUNTIFS('2024'!$L$24:$L$112,A158&amp;" / "&amp;B158,'2024'!$B$24:$B$112,"Playoffs")+COUNTIFS('2025'!$L$24:$L$112,A158&amp;" / "&amp;B158,'2025'!$B$24:$B$112,"Playoffs")</x:f>
        <x:v>2</x:v>
      </x:c>
      <x:c r="L158" s="2" t="n">
        <x:f>COUNTIFS('2015'!$L$24:$L$96,A158&amp;" / "&amp;B158,'2015'!$B$24:$B$96,"Unconfirmed")+COUNTIFS('2016'!$L$24:$L$96,A158&amp;" / "&amp;B158,'2016'!$B$24:$B$96,"Unconfirmed")+COUNTIFS('2017'!$L$24:$L$106,A158&amp;" / "&amp;B158,'2017'!$B$24:$B$106,"Unconfirmed")+COUNTIFS('2018'!$L$24:$L$106,A158&amp;" / "&amp;B158,'2018'!$B$24:$B$106,"Unconfirmed")+COUNTIFS('2019'!$L$24:$L$106,A158&amp;" / "&amp;B158,'2019'!$B$24:$B$106,"Unconfirmed")+COUNTIFS('2020'!$L$24:$L$106,A158&amp;" / "&amp;B158,'2020'!$B$24:$B$106,"Unconfirmed")+COUNTIFS('2021'!$L$24:$L$112,A158&amp;" / "&amp;B158,'2021'!$B$24:$B$112,"Unconfirmed")+COUNTIFS('2022'!$L$24:$L$112,A158&amp;" / "&amp;B158,'2022'!$B$24:$B$112,"Unconfirmed")+COUNTIFS('2023'!$L$24:$L$112,A158&amp;" / "&amp;B158,'2023'!$B$24:$B$112,"Unconfirmed")+COUNTIFS('2024'!$L$24:$L$112,A158&amp;" / "&amp;B158,'2024'!$B$24:$B$112,"Unconfirmed")+COUNTIFS('2025'!$L$24:$L$112,A158&amp;" / "&amp;B158,'2025'!$B$24:$B$112,"Unconfirmed")</x:f>
        <x:v>0</x:v>
      </x:c>
    </x:row>
    <x:row r="159" ht="22" customHeight="1">
      <x:c r="A159" s="2" t="str">
        <x:v>Mike</x:v>
      </x:c>
      <x:c r="B159" s="2" t="str">
        <x:v>Poker Dude</x:v>
      </x:c>
      <x:c r="C159" s="2" t="n">
        <x:f>COUNTIFS('2015'!$L$24:$L$96,A159&amp;" / "&amp;B159)+COUNTIFS('2016'!$L$24:$L$96,A159&amp;" / "&amp;B159)+COUNTIFS('2017'!$L$24:$L$106,A159&amp;" / "&amp;B159)+COUNTIFS('2018'!$L$24:$L$106,A159&amp;" / "&amp;B159)+COUNTIFS('2019'!$L$24:$L$106,A159&amp;" / "&amp;B159)+COUNTIFS('2020'!$L$24:$L$106,A159&amp;" / "&amp;B159)+COUNTIFS('2021'!$L$24:$L$112,A159&amp;" / "&amp;B159)+COUNTIFS('2022'!$L$24:$L$112,A159&amp;" / "&amp;B159)+COUNTIFS('2023'!$L$24:$L$112,A159&amp;" / "&amp;B159)+COUNTIFS('2024'!$L$24:$L$112,A159&amp;" / "&amp;B159)+COUNTIFS('2025'!$L$24:$L$112,A159&amp;" / "&amp;B159)</x:f>
        <x:v>5</x:v>
      </x:c>
      <x:c r="D159" s="2" t="n">
        <x:f>COUNTIFS('2015'!$L$24:$L$96,A159&amp;" / "&amp;B159,'2015'!$I$24:$I$96,A159)+COUNTIFS('2016'!$L$24:$L$96,A159&amp;" / "&amp;B159,'2016'!$I$24:$I$96,A159)+COUNTIFS('2017'!$L$24:$L$106,A159&amp;" / "&amp;B159,'2017'!$I$24:$I$106,A159)+COUNTIFS('2018'!$L$24:$L$106,A159&amp;" / "&amp;B159,'2018'!$I$24:$I$106,A159)+COUNTIFS('2019'!$L$24:$L$106,A159&amp;" / "&amp;B159,'2019'!$I$24:$I$106,A159)+COUNTIFS('2020'!$L$24:$L$106,A159&amp;" / "&amp;B159,'2020'!$I$24:$I$106,A159)+COUNTIFS('2021'!$L$24:$L$112,A159&amp;" / "&amp;B159,'2021'!$I$24:$I$112,A159)+COUNTIFS('2022'!$L$24:$L$112,A159&amp;" / "&amp;B159,'2022'!$I$24:$I$112,A159)+COUNTIFS('2023'!$L$24:$L$112,A159&amp;" / "&amp;B159,'2023'!$I$24:$I$112,A159)+COUNTIFS('2024'!$L$24:$L$112,A159&amp;" / "&amp;B159,'2024'!$I$24:$I$112,A159)+COUNTIFS('2025'!$L$24:$L$112,A159&amp;" / "&amp;B159,'2025'!$I$24:$I$112,A159)</x:f>
        <x:v>4</x:v>
      </x:c>
      <x:c r="E159" s="2" t="n">
        <x:f>COUNTIFS('2015'!$L$24:$L$96,A159&amp;" / "&amp;B159,'2015'!$I$24:$I$96,B159)+COUNTIFS('2016'!$L$24:$L$96,A159&amp;" / "&amp;B159,'2016'!$I$24:$I$96,B159)+COUNTIFS('2017'!$L$24:$L$106,A159&amp;" / "&amp;B159,'2017'!$I$24:$I$106,B159)+COUNTIFS('2018'!$L$24:$L$106,A159&amp;" / "&amp;B159,'2018'!$I$24:$I$106,B159)+COUNTIFS('2019'!$L$24:$L$106,A159&amp;" / "&amp;B159,'2019'!$I$24:$I$106,B159)+COUNTIFS('2020'!$L$24:$L$106,A159&amp;" / "&amp;B159,'2020'!$I$24:$I$106,B159)+COUNTIFS('2021'!$L$24:$L$112,A159&amp;" / "&amp;B159,'2021'!$I$24:$I$112,B159)+COUNTIFS('2022'!$L$24:$L$112,A159&amp;" / "&amp;B159,'2022'!$I$24:$I$112,B159)+COUNTIFS('2023'!$L$24:$L$112,A159&amp;" / "&amp;B159,'2023'!$I$24:$I$112,B159)+COUNTIFS('2024'!$L$24:$L$112,A159&amp;" / "&amp;B159,'2024'!$I$24:$I$112,B159)+COUNTIFS('2025'!$L$24:$L$112,A159&amp;" / "&amp;B159,'2025'!$I$24:$I$112,B159)</x:f>
        <x:v>1</x:v>
      </x:c>
      <x:c r="F159" s="2" t="n">
        <x:f>COUNTIFS('2015'!$L$24:$L$96,A159&amp;" / "&amp;B159,'2015'!$K$24:$K$96,1)+COUNTIFS('2016'!$L$24:$L$96,A159&amp;" / "&amp;B159,'2016'!$K$24:$K$96,1)+COUNTIFS('2017'!$L$24:$L$106,A159&amp;" / "&amp;B159,'2017'!$K$24:$K$106,1)+COUNTIFS('2018'!$L$24:$L$106,A159&amp;" / "&amp;B159,'2018'!$K$24:$K$106,1)+COUNTIFS('2019'!$L$24:$L$106,A159&amp;" / "&amp;B159,'2019'!$K$24:$K$106,1)+COUNTIFS('2020'!$L$24:$L$106,A159&amp;" / "&amp;B159,'2020'!$K$24:$K$106,1)+COUNTIFS('2021'!$L$24:$L$112,A159&amp;" / "&amp;B159,'2021'!$K$24:$K$112,1)+COUNTIFS('2022'!$L$24:$L$112,A159&amp;" / "&amp;B159,'2022'!$K$24:$K$112,1)+COUNTIFS('2023'!$L$24:$L$112,A159&amp;" / "&amp;B159,'2023'!$K$24:$K$112,1)+COUNTIFS('2024'!$L$24:$L$112,A159&amp;" / "&amp;B159,'2024'!$K$24:$K$112,1)+COUNTIFS('2025'!$L$24:$L$112,A159&amp;" / "&amp;B159,'2025'!$K$24:$K$112,1)</x:f>
        <x:v>0</x:v>
      </x:c>
      <x:c r="G159" s="25" t="n">
        <x:f>SUMIFS('2015'!$E$24:$E$96,'2015'!$L$24:$L$96,A159&amp;" / "&amp;B159,'2015'!$C$24:$C$96,A159)+SUMIFS('2015'!$H$24:$H$96,'2015'!$L$24:$L$96,A159&amp;" / "&amp;B159,'2015'!$F$24:$F$96,A159)+SUMIFS('2016'!$E$24:$E$96,'2016'!$L$24:$L$96,A159&amp;" / "&amp;B159,'2016'!$C$24:$C$96,A159)+SUMIFS('2016'!$H$24:$H$96,'2016'!$L$24:$L$96,A159&amp;" / "&amp;B159,'2016'!$F$24:$F$96,A159)+SUMIFS('2017'!$E$24:$E$106,'2017'!$L$24:$L$106,A159&amp;" / "&amp;B159,'2017'!$C$24:$C$106,A159)+SUMIFS('2017'!$H$24:$H$106,'2017'!$L$24:$L$106,A159&amp;" / "&amp;B159,'2017'!$F$24:$F$106,A159)+SUMIFS('2018'!$E$24:$E$106,'2018'!$L$24:$L$106,A159&amp;" / "&amp;B159,'2018'!$C$24:$C$106,A159)+SUMIFS('2018'!$H$24:$H$106,'2018'!$L$24:$L$106,A159&amp;" / "&amp;B159,'2018'!$F$24:$F$106,A159)+SUMIFS('2019'!$E$24:$E$106,'2019'!$L$24:$L$106,A159&amp;" / "&amp;B159,'2019'!$C$24:$C$106,A159)+SUMIFS('2019'!$H$24:$H$106,'2019'!$L$24:$L$106,A159&amp;" / "&amp;B159,'2019'!$F$24:$F$106,A159)+SUMIFS('2020'!$E$24:$E$106,'2020'!$L$24:$L$106,A159&amp;" / "&amp;B159,'2020'!$C$24:$C$106,A159)+SUMIFS('2020'!$H$24:$H$106,'2020'!$L$24:$L$106,A159&amp;" / "&amp;B159,'2020'!$F$24:$F$106,A159)+SUMIFS('2021'!$E$24:$E$112,'2021'!$L$24:$L$112,A159&amp;" / "&amp;B159,'2021'!$C$24:$C$112,A159)+SUMIFS('2021'!$H$24:$H$112,'2021'!$L$24:$L$112,A159&amp;" / "&amp;B159,'2021'!$F$24:$F$112,A159)+SUMIFS('2022'!$E$24:$E$112,'2022'!$L$24:$L$112,A159&amp;" / "&amp;B159,'2022'!$C$24:$C$112,A159)+SUMIFS('2022'!$H$24:$H$112,'2022'!$L$24:$L$112,A159&amp;" / "&amp;B159,'2022'!$F$24:$F$112,A159)+SUMIFS('2023'!$E$24:$E$112,'2023'!$L$24:$L$112,A159&amp;" / "&amp;B159,'2023'!$C$24:$C$112,A159)+SUMIFS('2023'!$H$24:$H$112,'2023'!$L$24:$L$112,A159&amp;" / "&amp;B159,'2023'!$F$24:$F$112,A159)+SUMIFS('2024'!$E$24:$E$112,'2024'!$L$24:$L$112,A159&amp;" / "&amp;B159,'2024'!$C$24:$C$112,A159)+SUMIFS('2024'!$H$24:$H$112,'2024'!$L$24:$L$112,A159&amp;" / "&amp;B159,'2024'!$F$24:$F$112,A159)+SUMIFS('2025'!$E$24:$E$112,'2025'!$L$24:$L$112,A159&amp;" / "&amp;B159,'2025'!$C$24:$C$112,A159)+SUMIFS('2025'!$H$24:$H$112,'2025'!$L$24:$L$112,A159&amp;" / "&amp;B159,'2025'!$F$24:$F$112,A159)</x:f>
        <x:v>587</x:v>
      </x:c>
      <x:c r="H159" s="25" t="n">
        <x:f>SUMIFS('2015'!$E$24:$E$96,'2015'!$L$24:$L$96,A159&amp;" / "&amp;B159,'2015'!$C$24:$C$96,B159)+SUMIFS('2015'!$H$24:$H$96,'2015'!$L$24:$L$96,A159&amp;" / "&amp;B159,'2015'!$F$24:$F$96,B159)+SUMIFS('2016'!$E$24:$E$96,'2016'!$L$24:$L$96,A159&amp;" / "&amp;B159,'2016'!$C$24:$C$96,B159)+SUMIFS('2016'!$H$24:$H$96,'2016'!$L$24:$L$96,A159&amp;" / "&amp;B159,'2016'!$F$24:$F$96,B159)+SUMIFS('2017'!$E$24:$E$106,'2017'!$L$24:$L$106,A159&amp;" / "&amp;B159,'2017'!$C$24:$C$106,B159)+SUMIFS('2017'!$H$24:$H$106,'2017'!$L$24:$L$106,A159&amp;" / "&amp;B159,'2017'!$F$24:$F$106,B159)+SUMIFS('2018'!$E$24:$E$106,'2018'!$L$24:$L$106,A159&amp;" / "&amp;B159,'2018'!$C$24:$C$106,B159)+SUMIFS('2018'!$H$24:$H$106,'2018'!$L$24:$L$106,A159&amp;" / "&amp;B159,'2018'!$F$24:$F$106,B159)+SUMIFS('2019'!$E$24:$E$106,'2019'!$L$24:$L$106,A159&amp;" / "&amp;B159,'2019'!$C$24:$C$106,B159)+SUMIFS('2019'!$H$24:$H$106,'2019'!$L$24:$L$106,A159&amp;" / "&amp;B159,'2019'!$F$24:$F$106,B159)+SUMIFS('2020'!$E$24:$E$106,'2020'!$L$24:$L$106,A159&amp;" / "&amp;B159,'2020'!$C$24:$C$106,B159)+SUMIFS('2020'!$H$24:$H$106,'2020'!$L$24:$L$106,A159&amp;" / "&amp;B159,'2020'!$F$24:$F$106,B159)+SUMIFS('2021'!$E$24:$E$112,'2021'!$L$24:$L$112,A159&amp;" / "&amp;B159,'2021'!$C$24:$C$112,B159)+SUMIFS('2021'!$H$24:$H$112,'2021'!$L$24:$L$112,A159&amp;" / "&amp;B159,'2021'!$F$24:$F$112,B159)+SUMIFS('2022'!$E$24:$E$112,'2022'!$L$24:$L$112,A159&amp;" / "&amp;B159,'2022'!$C$24:$C$112,B159)+SUMIFS('2022'!$H$24:$H$112,'2022'!$L$24:$L$112,A159&amp;" / "&amp;B159,'2022'!$F$24:$F$112,B159)+SUMIFS('2023'!$E$24:$E$112,'2023'!$L$24:$L$112,A159&amp;" / "&amp;B159,'2023'!$C$24:$C$112,B159)+SUMIFS('2023'!$H$24:$H$112,'2023'!$L$24:$L$112,A159&amp;" / "&amp;B159,'2023'!$F$24:$F$112,B159)+SUMIFS('2024'!$E$24:$E$112,'2024'!$L$24:$L$112,A159&amp;" / "&amp;B159,'2024'!$C$24:$C$112,B159)+SUMIFS('2024'!$H$24:$H$112,'2024'!$L$24:$L$112,A159&amp;" / "&amp;B159,'2024'!$F$24:$F$112,B159)+SUMIFS('2025'!$E$24:$E$112,'2025'!$L$24:$L$112,A159&amp;" / "&amp;B159,'2025'!$C$24:$C$112,B159)+SUMIFS('2025'!$H$24:$H$112,'2025'!$L$24:$L$112,A159&amp;" / "&amp;B159,'2025'!$F$24:$F$112,B159)</x:f>
        <x:v>516.95</x:v>
      </x:c>
      <x:c r="I159" s="11" t="n">
        <x:f>IF(C159=0,0,(D159+0.5*F159)/C159)</x:f>
        <x:v>0.8</x:v>
      </x:c>
      <x:c r="J159" s="2" t="n">
        <x:f>COUNTIFS('2015'!$L$24:$L$96,A159&amp;" / "&amp;B159,'2015'!$B$24:$B$96,"Regular")+COUNTIFS('2016'!$L$24:$L$96,A159&amp;" / "&amp;B159,'2016'!$B$24:$B$96,"Regular")+COUNTIFS('2017'!$L$24:$L$106,A159&amp;" / "&amp;B159,'2017'!$B$24:$B$106,"Regular")+COUNTIFS('2018'!$L$24:$L$106,A159&amp;" / "&amp;B159,'2018'!$B$24:$B$106,"Regular")+COUNTIFS('2019'!$L$24:$L$106,A159&amp;" / "&amp;B159,'2019'!$B$24:$B$106,"Regular")+COUNTIFS('2020'!$L$24:$L$106,A159&amp;" / "&amp;B159,'2020'!$B$24:$B$106,"Regular")+COUNTIFS('2021'!$L$24:$L$112,A159&amp;" / "&amp;B159,'2021'!$B$24:$B$112,"Regular")+COUNTIFS('2022'!$L$24:$L$112,A159&amp;" / "&amp;B159,'2022'!$B$24:$B$112,"Regular")+COUNTIFS('2023'!$L$24:$L$112,A159&amp;" / "&amp;B159,'2023'!$B$24:$B$112,"Regular")+COUNTIFS('2024'!$L$24:$L$112,A159&amp;" / "&amp;B159,'2024'!$B$24:$B$112,"Regular")+COUNTIFS('2025'!$L$24:$L$112,A159&amp;" / "&amp;B159,'2025'!$B$24:$B$112,"Regular")</x:f>
        <x:v>5</x:v>
      </x:c>
      <x:c r="K159" s="2" t="n">
        <x:f>COUNTIFS('2015'!$L$24:$L$96,A159&amp;" / "&amp;B159,'2015'!$B$24:$B$96,"Playoffs")+COUNTIFS('2016'!$L$24:$L$96,A159&amp;" / "&amp;B159,'2016'!$B$24:$B$96,"Playoffs")+COUNTIFS('2017'!$L$24:$L$106,A159&amp;" / "&amp;B159,'2017'!$B$24:$B$106,"Playoffs")+COUNTIFS('2018'!$L$24:$L$106,A159&amp;" / "&amp;B159,'2018'!$B$24:$B$106,"Playoffs")+COUNTIFS('2019'!$L$24:$L$106,A159&amp;" / "&amp;B159,'2019'!$B$24:$B$106,"Playoffs")+COUNTIFS('2020'!$L$24:$L$106,A159&amp;" / "&amp;B159,'2020'!$B$24:$B$106,"Playoffs")+COUNTIFS('2021'!$L$24:$L$112,A159&amp;" / "&amp;B159,'2021'!$B$24:$B$112,"Playoffs")+COUNTIFS('2022'!$L$24:$L$112,A159&amp;" / "&amp;B159,'2022'!$B$24:$B$112,"Playoffs")+COUNTIFS('2023'!$L$24:$L$112,A159&amp;" / "&amp;B159,'2023'!$B$24:$B$112,"Playoffs")+COUNTIFS('2024'!$L$24:$L$112,A159&amp;" / "&amp;B159,'2024'!$B$24:$B$112,"Playoffs")+COUNTIFS('2025'!$L$24:$L$112,A159&amp;" / "&amp;B159,'2025'!$B$24:$B$112,"Playoffs")</x:f>
        <x:v>0</x:v>
      </x:c>
      <x:c r="L159" s="2" t="n">
        <x:f>COUNTIFS('2015'!$L$24:$L$96,A159&amp;" / "&amp;B159,'2015'!$B$24:$B$96,"Unconfirmed")+COUNTIFS('2016'!$L$24:$L$96,A159&amp;" / "&amp;B159,'2016'!$B$24:$B$96,"Unconfirmed")+COUNTIFS('2017'!$L$24:$L$106,A159&amp;" / "&amp;B159,'2017'!$B$24:$B$106,"Unconfirmed")+COUNTIFS('2018'!$L$24:$L$106,A159&amp;" / "&amp;B159,'2018'!$B$24:$B$106,"Unconfirmed")+COUNTIFS('2019'!$L$24:$L$106,A159&amp;" / "&amp;B159,'2019'!$B$24:$B$106,"Unconfirmed")+COUNTIFS('2020'!$L$24:$L$106,A159&amp;" / "&amp;B159,'2020'!$B$24:$B$106,"Unconfirmed")+COUNTIFS('2021'!$L$24:$L$112,A159&amp;" / "&amp;B159,'2021'!$B$24:$B$112,"Unconfirmed")+COUNTIFS('2022'!$L$24:$L$112,A159&amp;" / "&amp;B159,'2022'!$B$24:$B$112,"Unconfirmed")+COUNTIFS('2023'!$L$24:$L$112,A159&amp;" / "&amp;B159,'2023'!$B$24:$B$112,"Unconfirmed")+COUNTIFS('2024'!$L$24:$L$112,A159&amp;" / "&amp;B159,'2024'!$B$24:$B$112,"Unconfirmed")+COUNTIFS('2025'!$L$24:$L$112,A159&amp;" / "&amp;B159,'2025'!$B$24:$B$112,"Unconfirmed")</x:f>
        <x:v>0</x:v>
      </x:c>
    </x:row>
    <x:row r="160" ht="22" customHeight="1">
      <x:c r="A160" s="2" t="str">
        <x:v>Mike</x:v>
      </x:c>
      <x:c r="B160" s="2" t="str">
        <x:v>Ryan</x:v>
      </x:c>
      <x:c r="C160" s="2" t="n">
        <x:f>COUNTIFS('2015'!$L$24:$L$96,A160&amp;" / "&amp;B160)+COUNTIFS('2016'!$L$24:$L$96,A160&amp;" / "&amp;B160)+COUNTIFS('2017'!$L$24:$L$106,A160&amp;" / "&amp;B160)+COUNTIFS('2018'!$L$24:$L$106,A160&amp;" / "&amp;B160)+COUNTIFS('2019'!$L$24:$L$106,A160&amp;" / "&amp;B160)+COUNTIFS('2020'!$L$24:$L$106,A160&amp;" / "&amp;B160)+COUNTIFS('2021'!$L$24:$L$112,A160&amp;" / "&amp;B160)+COUNTIFS('2022'!$L$24:$L$112,A160&amp;" / "&amp;B160)+COUNTIFS('2023'!$L$24:$L$112,A160&amp;" / "&amp;B160)+COUNTIFS('2024'!$L$24:$L$112,A160&amp;" / "&amp;B160)+COUNTIFS('2025'!$L$24:$L$112,A160&amp;" / "&amp;B160)</x:f>
        <x:v>1</x:v>
      </x:c>
      <x:c r="D160" s="2" t="n">
        <x:f>COUNTIFS('2015'!$L$24:$L$96,A160&amp;" / "&amp;B160,'2015'!$I$24:$I$96,A160)+COUNTIFS('2016'!$L$24:$L$96,A160&amp;" / "&amp;B160,'2016'!$I$24:$I$96,A160)+COUNTIFS('2017'!$L$24:$L$106,A160&amp;" / "&amp;B160,'2017'!$I$24:$I$106,A160)+COUNTIFS('2018'!$L$24:$L$106,A160&amp;" / "&amp;B160,'2018'!$I$24:$I$106,A160)+COUNTIFS('2019'!$L$24:$L$106,A160&amp;" / "&amp;B160,'2019'!$I$24:$I$106,A160)+COUNTIFS('2020'!$L$24:$L$106,A160&amp;" / "&amp;B160,'2020'!$I$24:$I$106,A160)+COUNTIFS('2021'!$L$24:$L$112,A160&amp;" / "&amp;B160,'2021'!$I$24:$I$112,A160)+COUNTIFS('2022'!$L$24:$L$112,A160&amp;" / "&amp;B160,'2022'!$I$24:$I$112,A160)+COUNTIFS('2023'!$L$24:$L$112,A160&amp;" / "&amp;B160,'2023'!$I$24:$I$112,A160)+COUNTIFS('2024'!$L$24:$L$112,A160&amp;" / "&amp;B160,'2024'!$I$24:$I$112,A160)+COUNTIFS('2025'!$L$24:$L$112,A160&amp;" / "&amp;B160,'2025'!$I$24:$I$112,A160)</x:f>
        <x:v>0</x:v>
      </x:c>
      <x:c r="E160" s="2" t="n">
        <x:f>COUNTIFS('2015'!$L$24:$L$96,A160&amp;" / "&amp;B160,'2015'!$I$24:$I$96,B160)+COUNTIFS('2016'!$L$24:$L$96,A160&amp;" / "&amp;B160,'2016'!$I$24:$I$96,B160)+COUNTIFS('2017'!$L$24:$L$106,A160&amp;" / "&amp;B160,'2017'!$I$24:$I$106,B160)+COUNTIFS('2018'!$L$24:$L$106,A160&amp;" / "&amp;B160,'2018'!$I$24:$I$106,B160)+COUNTIFS('2019'!$L$24:$L$106,A160&amp;" / "&amp;B160,'2019'!$I$24:$I$106,B160)+COUNTIFS('2020'!$L$24:$L$106,A160&amp;" / "&amp;B160,'2020'!$I$24:$I$106,B160)+COUNTIFS('2021'!$L$24:$L$112,A160&amp;" / "&amp;B160,'2021'!$I$24:$I$112,B160)+COUNTIFS('2022'!$L$24:$L$112,A160&amp;" / "&amp;B160,'2022'!$I$24:$I$112,B160)+COUNTIFS('2023'!$L$24:$L$112,A160&amp;" / "&amp;B160,'2023'!$I$24:$I$112,B160)+COUNTIFS('2024'!$L$24:$L$112,A160&amp;" / "&amp;B160,'2024'!$I$24:$I$112,B160)+COUNTIFS('2025'!$L$24:$L$112,A160&amp;" / "&amp;B160,'2025'!$I$24:$I$112,B160)</x:f>
        <x:v>1</x:v>
      </x:c>
      <x:c r="F160" s="2" t="n">
        <x:f>COUNTIFS('2015'!$L$24:$L$96,A160&amp;" / "&amp;B160,'2015'!$K$24:$K$96,1)+COUNTIFS('2016'!$L$24:$L$96,A160&amp;" / "&amp;B160,'2016'!$K$24:$K$96,1)+COUNTIFS('2017'!$L$24:$L$106,A160&amp;" / "&amp;B160,'2017'!$K$24:$K$106,1)+COUNTIFS('2018'!$L$24:$L$106,A160&amp;" / "&amp;B160,'2018'!$K$24:$K$106,1)+COUNTIFS('2019'!$L$24:$L$106,A160&amp;" / "&amp;B160,'2019'!$K$24:$K$106,1)+COUNTIFS('2020'!$L$24:$L$106,A160&amp;" / "&amp;B160,'2020'!$K$24:$K$106,1)+COUNTIFS('2021'!$L$24:$L$112,A160&amp;" / "&amp;B160,'2021'!$K$24:$K$112,1)+COUNTIFS('2022'!$L$24:$L$112,A160&amp;" / "&amp;B160,'2022'!$K$24:$K$112,1)+COUNTIFS('2023'!$L$24:$L$112,A160&amp;" / "&amp;B160,'2023'!$K$24:$K$112,1)+COUNTIFS('2024'!$L$24:$L$112,A160&amp;" / "&amp;B160,'2024'!$K$24:$K$112,1)+COUNTIFS('2025'!$L$24:$L$112,A160&amp;" / "&amp;B160,'2025'!$K$24:$K$112,1)</x:f>
        <x:v>0</x:v>
      </x:c>
      <x:c r="G160" s="25" t="n">
        <x:f>SUMIFS('2015'!$E$24:$E$96,'2015'!$L$24:$L$96,A160&amp;" / "&amp;B160,'2015'!$C$24:$C$96,A160)+SUMIFS('2015'!$H$24:$H$96,'2015'!$L$24:$L$96,A160&amp;" / "&amp;B160,'2015'!$F$24:$F$96,A160)+SUMIFS('2016'!$E$24:$E$96,'2016'!$L$24:$L$96,A160&amp;" / "&amp;B160,'2016'!$C$24:$C$96,A160)+SUMIFS('2016'!$H$24:$H$96,'2016'!$L$24:$L$96,A160&amp;" / "&amp;B160,'2016'!$F$24:$F$96,A160)+SUMIFS('2017'!$E$24:$E$106,'2017'!$L$24:$L$106,A160&amp;" / "&amp;B160,'2017'!$C$24:$C$106,A160)+SUMIFS('2017'!$H$24:$H$106,'2017'!$L$24:$L$106,A160&amp;" / "&amp;B160,'2017'!$F$24:$F$106,A160)+SUMIFS('2018'!$E$24:$E$106,'2018'!$L$24:$L$106,A160&amp;" / "&amp;B160,'2018'!$C$24:$C$106,A160)+SUMIFS('2018'!$H$24:$H$106,'2018'!$L$24:$L$106,A160&amp;" / "&amp;B160,'2018'!$F$24:$F$106,A160)+SUMIFS('2019'!$E$24:$E$106,'2019'!$L$24:$L$106,A160&amp;" / "&amp;B160,'2019'!$C$24:$C$106,A160)+SUMIFS('2019'!$H$24:$H$106,'2019'!$L$24:$L$106,A160&amp;" / "&amp;B160,'2019'!$F$24:$F$106,A160)+SUMIFS('2020'!$E$24:$E$106,'2020'!$L$24:$L$106,A160&amp;" / "&amp;B160,'2020'!$C$24:$C$106,A160)+SUMIFS('2020'!$H$24:$H$106,'2020'!$L$24:$L$106,A160&amp;" / "&amp;B160,'2020'!$F$24:$F$106,A160)+SUMIFS('2021'!$E$24:$E$112,'2021'!$L$24:$L$112,A160&amp;" / "&amp;B160,'2021'!$C$24:$C$112,A160)+SUMIFS('2021'!$H$24:$H$112,'2021'!$L$24:$L$112,A160&amp;" / "&amp;B160,'2021'!$F$24:$F$112,A160)+SUMIFS('2022'!$E$24:$E$112,'2022'!$L$24:$L$112,A160&amp;" / "&amp;B160,'2022'!$C$24:$C$112,A160)+SUMIFS('2022'!$H$24:$H$112,'2022'!$L$24:$L$112,A160&amp;" / "&amp;B160,'2022'!$F$24:$F$112,A160)+SUMIFS('2023'!$E$24:$E$112,'2023'!$L$24:$L$112,A160&amp;" / "&amp;B160,'2023'!$C$24:$C$112,A160)+SUMIFS('2023'!$H$24:$H$112,'2023'!$L$24:$L$112,A160&amp;" / "&amp;B160,'2023'!$F$24:$F$112,A160)+SUMIFS('2024'!$E$24:$E$112,'2024'!$L$24:$L$112,A160&amp;" / "&amp;B160,'2024'!$C$24:$C$112,A160)+SUMIFS('2024'!$H$24:$H$112,'2024'!$L$24:$L$112,A160&amp;" / "&amp;B160,'2024'!$F$24:$F$112,A160)+SUMIFS('2025'!$E$24:$E$112,'2025'!$L$24:$L$112,A160&amp;" / "&amp;B160,'2025'!$C$24:$C$112,A160)+SUMIFS('2025'!$H$24:$H$112,'2025'!$L$24:$L$112,A160&amp;" / "&amp;B160,'2025'!$F$24:$F$112,A160)</x:f>
        <x:v>109.9</x:v>
      </x:c>
      <x:c r="H160" s="25" t="n">
        <x:f>SUMIFS('2015'!$E$24:$E$96,'2015'!$L$24:$L$96,A160&amp;" / "&amp;B160,'2015'!$C$24:$C$96,B160)+SUMIFS('2015'!$H$24:$H$96,'2015'!$L$24:$L$96,A160&amp;" / "&amp;B160,'2015'!$F$24:$F$96,B160)+SUMIFS('2016'!$E$24:$E$96,'2016'!$L$24:$L$96,A160&amp;" / "&amp;B160,'2016'!$C$24:$C$96,B160)+SUMIFS('2016'!$H$24:$H$96,'2016'!$L$24:$L$96,A160&amp;" / "&amp;B160,'2016'!$F$24:$F$96,B160)+SUMIFS('2017'!$E$24:$E$106,'2017'!$L$24:$L$106,A160&amp;" / "&amp;B160,'2017'!$C$24:$C$106,B160)+SUMIFS('2017'!$H$24:$H$106,'2017'!$L$24:$L$106,A160&amp;" / "&amp;B160,'2017'!$F$24:$F$106,B160)+SUMIFS('2018'!$E$24:$E$106,'2018'!$L$24:$L$106,A160&amp;" / "&amp;B160,'2018'!$C$24:$C$106,B160)+SUMIFS('2018'!$H$24:$H$106,'2018'!$L$24:$L$106,A160&amp;" / "&amp;B160,'2018'!$F$24:$F$106,B160)+SUMIFS('2019'!$E$24:$E$106,'2019'!$L$24:$L$106,A160&amp;" / "&amp;B160,'2019'!$C$24:$C$106,B160)+SUMIFS('2019'!$H$24:$H$106,'2019'!$L$24:$L$106,A160&amp;" / "&amp;B160,'2019'!$F$24:$F$106,B160)+SUMIFS('2020'!$E$24:$E$106,'2020'!$L$24:$L$106,A160&amp;" / "&amp;B160,'2020'!$C$24:$C$106,B160)+SUMIFS('2020'!$H$24:$H$106,'2020'!$L$24:$L$106,A160&amp;" / "&amp;B160,'2020'!$F$24:$F$106,B160)+SUMIFS('2021'!$E$24:$E$112,'2021'!$L$24:$L$112,A160&amp;" / "&amp;B160,'2021'!$C$24:$C$112,B160)+SUMIFS('2021'!$H$24:$H$112,'2021'!$L$24:$L$112,A160&amp;" / "&amp;B160,'2021'!$F$24:$F$112,B160)+SUMIFS('2022'!$E$24:$E$112,'2022'!$L$24:$L$112,A160&amp;" / "&amp;B160,'2022'!$C$24:$C$112,B160)+SUMIFS('2022'!$H$24:$H$112,'2022'!$L$24:$L$112,A160&amp;" / "&amp;B160,'2022'!$F$24:$F$112,B160)+SUMIFS('2023'!$E$24:$E$112,'2023'!$L$24:$L$112,A160&amp;" / "&amp;B160,'2023'!$C$24:$C$112,B160)+SUMIFS('2023'!$H$24:$H$112,'2023'!$L$24:$L$112,A160&amp;" / "&amp;B160,'2023'!$F$24:$F$112,B160)+SUMIFS('2024'!$E$24:$E$112,'2024'!$L$24:$L$112,A160&amp;" / "&amp;B160,'2024'!$C$24:$C$112,B160)+SUMIFS('2024'!$H$24:$H$112,'2024'!$L$24:$L$112,A160&amp;" / "&amp;B160,'2024'!$F$24:$F$112,B160)+SUMIFS('2025'!$E$24:$E$112,'2025'!$L$24:$L$112,A160&amp;" / "&amp;B160,'2025'!$C$24:$C$112,B160)+SUMIFS('2025'!$H$24:$H$112,'2025'!$L$24:$L$112,A160&amp;" / "&amp;B160,'2025'!$F$24:$F$112,B160)</x:f>
        <x:v>152.2</x:v>
      </x:c>
      <x:c r="I160" s="11" t="n">
        <x:f>IF(C160=0,0,(D160+0.5*F160)/C160)</x:f>
        <x:v>0</x:v>
      </x:c>
      <x:c r="J160" s="2" t="n">
        <x:f>COUNTIFS('2015'!$L$24:$L$96,A160&amp;" / "&amp;B160,'2015'!$B$24:$B$96,"Regular")+COUNTIFS('2016'!$L$24:$L$96,A160&amp;" / "&amp;B160,'2016'!$B$24:$B$96,"Regular")+COUNTIFS('2017'!$L$24:$L$106,A160&amp;" / "&amp;B160,'2017'!$B$24:$B$106,"Regular")+COUNTIFS('2018'!$L$24:$L$106,A160&amp;" / "&amp;B160,'2018'!$B$24:$B$106,"Regular")+COUNTIFS('2019'!$L$24:$L$106,A160&amp;" / "&amp;B160,'2019'!$B$24:$B$106,"Regular")+COUNTIFS('2020'!$L$24:$L$106,A160&amp;" / "&amp;B160,'2020'!$B$24:$B$106,"Regular")+COUNTIFS('2021'!$L$24:$L$112,A160&amp;" / "&amp;B160,'2021'!$B$24:$B$112,"Regular")+COUNTIFS('2022'!$L$24:$L$112,A160&amp;" / "&amp;B160,'2022'!$B$24:$B$112,"Regular")+COUNTIFS('2023'!$L$24:$L$112,A160&amp;" / "&amp;B160,'2023'!$B$24:$B$112,"Regular")+COUNTIFS('2024'!$L$24:$L$112,A160&amp;" / "&amp;B160,'2024'!$B$24:$B$112,"Regular")+COUNTIFS('2025'!$L$24:$L$112,A160&amp;" / "&amp;B160,'2025'!$B$24:$B$112,"Regular")</x:f>
        <x:v>1</x:v>
      </x:c>
      <x:c r="K160" s="2" t="n">
        <x:f>COUNTIFS('2015'!$L$24:$L$96,A160&amp;" / "&amp;B160,'2015'!$B$24:$B$96,"Playoffs")+COUNTIFS('2016'!$L$24:$L$96,A160&amp;" / "&amp;B160,'2016'!$B$24:$B$96,"Playoffs")+COUNTIFS('2017'!$L$24:$L$106,A160&amp;" / "&amp;B160,'2017'!$B$24:$B$106,"Playoffs")+COUNTIFS('2018'!$L$24:$L$106,A160&amp;" / "&amp;B160,'2018'!$B$24:$B$106,"Playoffs")+COUNTIFS('2019'!$L$24:$L$106,A160&amp;" / "&amp;B160,'2019'!$B$24:$B$106,"Playoffs")+COUNTIFS('2020'!$L$24:$L$106,A160&amp;" / "&amp;B160,'2020'!$B$24:$B$106,"Playoffs")+COUNTIFS('2021'!$L$24:$L$112,A160&amp;" / "&amp;B160,'2021'!$B$24:$B$112,"Playoffs")+COUNTIFS('2022'!$L$24:$L$112,A160&amp;" / "&amp;B160,'2022'!$B$24:$B$112,"Playoffs")+COUNTIFS('2023'!$L$24:$L$112,A160&amp;" / "&amp;B160,'2023'!$B$24:$B$112,"Playoffs")+COUNTIFS('2024'!$L$24:$L$112,A160&amp;" / "&amp;B160,'2024'!$B$24:$B$112,"Playoffs")+COUNTIFS('2025'!$L$24:$L$112,A160&amp;" / "&amp;B160,'2025'!$B$24:$B$112,"Playoffs")</x:f>
        <x:v>0</x:v>
      </x:c>
      <x:c r="L160" s="2" t="n">
        <x:f>COUNTIFS('2015'!$L$24:$L$96,A160&amp;" / "&amp;B160,'2015'!$B$24:$B$96,"Unconfirmed")+COUNTIFS('2016'!$L$24:$L$96,A160&amp;" / "&amp;B160,'2016'!$B$24:$B$96,"Unconfirmed")+COUNTIFS('2017'!$L$24:$L$106,A160&amp;" / "&amp;B160,'2017'!$B$24:$B$106,"Unconfirmed")+COUNTIFS('2018'!$L$24:$L$106,A160&amp;" / "&amp;B160,'2018'!$B$24:$B$106,"Unconfirmed")+COUNTIFS('2019'!$L$24:$L$106,A160&amp;" / "&amp;B160,'2019'!$B$24:$B$106,"Unconfirmed")+COUNTIFS('2020'!$L$24:$L$106,A160&amp;" / "&amp;B160,'2020'!$B$24:$B$106,"Unconfirmed")+COUNTIFS('2021'!$L$24:$L$112,A160&amp;" / "&amp;B160,'2021'!$B$24:$B$112,"Unconfirmed")+COUNTIFS('2022'!$L$24:$L$112,A160&amp;" / "&amp;B160,'2022'!$B$24:$B$112,"Unconfirmed")+COUNTIFS('2023'!$L$24:$L$112,A160&amp;" / "&amp;B160,'2023'!$B$24:$B$112,"Unconfirmed")+COUNTIFS('2024'!$L$24:$L$112,A160&amp;" / "&amp;B160,'2024'!$B$24:$B$112,"Unconfirmed")+COUNTIFS('2025'!$L$24:$L$112,A160&amp;" / "&amp;B160,'2025'!$B$24:$B$112,"Unconfirmed")</x:f>
        <x:v>0</x:v>
      </x:c>
    </x:row>
    <x:row r="161" ht="22" customHeight="1">
      <x:c r="A161" s="2" t="str">
        <x:v>Mike</x:v>
      </x:c>
      <x:c r="B161" s="2" t="str">
        <x:v>Taylor</x:v>
      </x:c>
      <x:c r="C161" s="2" t="n">
        <x:f>COUNTIFS('2015'!$L$24:$L$96,A161&amp;" / "&amp;B161)+COUNTIFS('2016'!$L$24:$L$96,A161&amp;" / "&amp;B161)+COUNTIFS('2017'!$L$24:$L$106,A161&amp;" / "&amp;B161)+COUNTIFS('2018'!$L$24:$L$106,A161&amp;" / "&amp;B161)+COUNTIFS('2019'!$L$24:$L$106,A161&amp;" / "&amp;B161)+COUNTIFS('2020'!$L$24:$L$106,A161&amp;" / "&amp;B161)+COUNTIFS('2021'!$L$24:$L$112,A161&amp;" / "&amp;B161)+COUNTIFS('2022'!$L$24:$L$112,A161&amp;" / "&amp;B161)+COUNTIFS('2023'!$L$24:$L$112,A161&amp;" / "&amp;B161)+COUNTIFS('2024'!$L$24:$L$112,A161&amp;" / "&amp;B161)+COUNTIFS('2025'!$L$24:$L$112,A161&amp;" / "&amp;B161)</x:f>
        <x:v>1</x:v>
      </x:c>
      <x:c r="D161" s="2" t="n">
        <x:f>COUNTIFS('2015'!$L$24:$L$96,A161&amp;" / "&amp;B161,'2015'!$I$24:$I$96,A161)+COUNTIFS('2016'!$L$24:$L$96,A161&amp;" / "&amp;B161,'2016'!$I$24:$I$96,A161)+COUNTIFS('2017'!$L$24:$L$106,A161&amp;" / "&amp;B161,'2017'!$I$24:$I$106,A161)+COUNTIFS('2018'!$L$24:$L$106,A161&amp;" / "&amp;B161,'2018'!$I$24:$I$106,A161)+COUNTIFS('2019'!$L$24:$L$106,A161&amp;" / "&amp;B161,'2019'!$I$24:$I$106,A161)+COUNTIFS('2020'!$L$24:$L$106,A161&amp;" / "&amp;B161,'2020'!$I$24:$I$106,A161)+COUNTIFS('2021'!$L$24:$L$112,A161&amp;" / "&amp;B161,'2021'!$I$24:$I$112,A161)+COUNTIFS('2022'!$L$24:$L$112,A161&amp;" / "&amp;B161,'2022'!$I$24:$I$112,A161)+COUNTIFS('2023'!$L$24:$L$112,A161&amp;" / "&amp;B161,'2023'!$I$24:$I$112,A161)+COUNTIFS('2024'!$L$24:$L$112,A161&amp;" / "&amp;B161,'2024'!$I$24:$I$112,A161)+COUNTIFS('2025'!$L$24:$L$112,A161&amp;" / "&amp;B161,'2025'!$I$24:$I$112,A161)</x:f>
        <x:v>0</x:v>
      </x:c>
      <x:c r="E161" s="2" t="n">
        <x:f>COUNTIFS('2015'!$L$24:$L$96,A161&amp;" / "&amp;B161,'2015'!$I$24:$I$96,B161)+COUNTIFS('2016'!$L$24:$L$96,A161&amp;" / "&amp;B161,'2016'!$I$24:$I$96,B161)+COUNTIFS('2017'!$L$24:$L$106,A161&amp;" / "&amp;B161,'2017'!$I$24:$I$106,B161)+COUNTIFS('2018'!$L$24:$L$106,A161&amp;" / "&amp;B161,'2018'!$I$24:$I$106,B161)+COUNTIFS('2019'!$L$24:$L$106,A161&amp;" / "&amp;B161,'2019'!$I$24:$I$106,B161)+COUNTIFS('2020'!$L$24:$L$106,A161&amp;" / "&amp;B161,'2020'!$I$24:$I$106,B161)+COUNTIFS('2021'!$L$24:$L$112,A161&amp;" / "&amp;B161,'2021'!$I$24:$I$112,B161)+COUNTIFS('2022'!$L$24:$L$112,A161&amp;" / "&amp;B161,'2022'!$I$24:$I$112,B161)+COUNTIFS('2023'!$L$24:$L$112,A161&amp;" / "&amp;B161,'2023'!$I$24:$I$112,B161)+COUNTIFS('2024'!$L$24:$L$112,A161&amp;" / "&amp;B161,'2024'!$I$24:$I$112,B161)+COUNTIFS('2025'!$L$24:$L$112,A161&amp;" / "&amp;B161,'2025'!$I$24:$I$112,B161)</x:f>
        <x:v>1</x:v>
      </x:c>
      <x:c r="F161" s="2" t="n">
        <x:f>COUNTIFS('2015'!$L$24:$L$96,A161&amp;" / "&amp;B161,'2015'!$K$24:$K$96,1)+COUNTIFS('2016'!$L$24:$L$96,A161&amp;" / "&amp;B161,'2016'!$K$24:$K$96,1)+COUNTIFS('2017'!$L$24:$L$106,A161&amp;" / "&amp;B161,'2017'!$K$24:$K$106,1)+COUNTIFS('2018'!$L$24:$L$106,A161&amp;" / "&amp;B161,'2018'!$K$24:$K$106,1)+COUNTIFS('2019'!$L$24:$L$106,A161&amp;" / "&amp;B161,'2019'!$K$24:$K$106,1)+COUNTIFS('2020'!$L$24:$L$106,A161&amp;" / "&amp;B161,'2020'!$K$24:$K$106,1)+COUNTIFS('2021'!$L$24:$L$112,A161&amp;" / "&amp;B161,'2021'!$K$24:$K$112,1)+COUNTIFS('2022'!$L$24:$L$112,A161&amp;" / "&amp;B161,'2022'!$K$24:$K$112,1)+COUNTIFS('2023'!$L$24:$L$112,A161&amp;" / "&amp;B161,'2023'!$K$24:$K$112,1)+COUNTIFS('2024'!$L$24:$L$112,A161&amp;" / "&amp;B161,'2024'!$K$24:$K$112,1)+COUNTIFS('2025'!$L$24:$L$112,A161&amp;" / "&amp;B161,'2025'!$K$24:$K$112,1)</x:f>
        <x:v>0</x:v>
      </x:c>
      <x:c r="G161" s="25" t="n">
        <x:f>SUMIFS('2015'!$E$24:$E$96,'2015'!$L$24:$L$96,A161&amp;" / "&amp;B161,'2015'!$C$24:$C$96,A161)+SUMIFS('2015'!$H$24:$H$96,'2015'!$L$24:$L$96,A161&amp;" / "&amp;B161,'2015'!$F$24:$F$96,A161)+SUMIFS('2016'!$E$24:$E$96,'2016'!$L$24:$L$96,A161&amp;" / "&amp;B161,'2016'!$C$24:$C$96,A161)+SUMIFS('2016'!$H$24:$H$96,'2016'!$L$24:$L$96,A161&amp;" / "&amp;B161,'2016'!$F$24:$F$96,A161)+SUMIFS('2017'!$E$24:$E$106,'2017'!$L$24:$L$106,A161&amp;" / "&amp;B161,'2017'!$C$24:$C$106,A161)+SUMIFS('2017'!$H$24:$H$106,'2017'!$L$24:$L$106,A161&amp;" / "&amp;B161,'2017'!$F$24:$F$106,A161)+SUMIFS('2018'!$E$24:$E$106,'2018'!$L$24:$L$106,A161&amp;" / "&amp;B161,'2018'!$C$24:$C$106,A161)+SUMIFS('2018'!$H$24:$H$106,'2018'!$L$24:$L$106,A161&amp;" / "&amp;B161,'2018'!$F$24:$F$106,A161)+SUMIFS('2019'!$E$24:$E$106,'2019'!$L$24:$L$106,A161&amp;" / "&amp;B161,'2019'!$C$24:$C$106,A161)+SUMIFS('2019'!$H$24:$H$106,'2019'!$L$24:$L$106,A161&amp;" / "&amp;B161,'2019'!$F$24:$F$106,A161)+SUMIFS('2020'!$E$24:$E$106,'2020'!$L$24:$L$106,A161&amp;" / "&amp;B161,'2020'!$C$24:$C$106,A161)+SUMIFS('2020'!$H$24:$H$106,'2020'!$L$24:$L$106,A161&amp;" / "&amp;B161,'2020'!$F$24:$F$106,A161)+SUMIFS('2021'!$E$24:$E$112,'2021'!$L$24:$L$112,A161&amp;" / "&amp;B161,'2021'!$C$24:$C$112,A161)+SUMIFS('2021'!$H$24:$H$112,'2021'!$L$24:$L$112,A161&amp;" / "&amp;B161,'2021'!$F$24:$F$112,A161)+SUMIFS('2022'!$E$24:$E$112,'2022'!$L$24:$L$112,A161&amp;" / "&amp;B161,'2022'!$C$24:$C$112,A161)+SUMIFS('2022'!$H$24:$H$112,'2022'!$L$24:$L$112,A161&amp;" / "&amp;B161,'2022'!$F$24:$F$112,A161)+SUMIFS('2023'!$E$24:$E$112,'2023'!$L$24:$L$112,A161&amp;" / "&amp;B161,'2023'!$C$24:$C$112,A161)+SUMIFS('2023'!$H$24:$H$112,'2023'!$L$24:$L$112,A161&amp;" / "&amp;B161,'2023'!$F$24:$F$112,A161)+SUMIFS('2024'!$E$24:$E$112,'2024'!$L$24:$L$112,A161&amp;" / "&amp;B161,'2024'!$C$24:$C$112,A161)+SUMIFS('2024'!$H$24:$H$112,'2024'!$L$24:$L$112,A161&amp;" / "&amp;B161,'2024'!$F$24:$F$112,A161)+SUMIFS('2025'!$E$24:$E$112,'2025'!$L$24:$L$112,A161&amp;" / "&amp;B161,'2025'!$C$24:$C$112,A161)+SUMIFS('2025'!$H$24:$H$112,'2025'!$L$24:$L$112,A161&amp;" / "&amp;B161,'2025'!$F$24:$F$112,A161)</x:f>
        <x:v>89</x:v>
      </x:c>
      <x:c r="H161" s="25" t="n">
        <x:f>SUMIFS('2015'!$E$24:$E$96,'2015'!$L$24:$L$96,A161&amp;" / "&amp;B161,'2015'!$C$24:$C$96,B161)+SUMIFS('2015'!$H$24:$H$96,'2015'!$L$24:$L$96,A161&amp;" / "&amp;B161,'2015'!$F$24:$F$96,B161)+SUMIFS('2016'!$E$24:$E$96,'2016'!$L$24:$L$96,A161&amp;" / "&amp;B161,'2016'!$C$24:$C$96,B161)+SUMIFS('2016'!$H$24:$H$96,'2016'!$L$24:$L$96,A161&amp;" / "&amp;B161,'2016'!$F$24:$F$96,B161)+SUMIFS('2017'!$E$24:$E$106,'2017'!$L$24:$L$106,A161&amp;" / "&amp;B161,'2017'!$C$24:$C$106,B161)+SUMIFS('2017'!$H$24:$H$106,'2017'!$L$24:$L$106,A161&amp;" / "&amp;B161,'2017'!$F$24:$F$106,B161)+SUMIFS('2018'!$E$24:$E$106,'2018'!$L$24:$L$106,A161&amp;" / "&amp;B161,'2018'!$C$24:$C$106,B161)+SUMIFS('2018'!$H$24:$H$106,'2018'!$L$24:$L$106,A161&amp;" / "&amp;B161,'2018'!$F$24:$F$106,B161)+SUMIFS('2019'!$E$24:$E$106,'2019'!$L$24:$L$106,A161&amp;" / "&amp;B161,'2019'!$C$24:$C$106,B161)+SUMIFS('2019'!$H$24:$H$106,'2019'!$L$24:$L$106,A161&amp;" / "&amp;B161,'2019'!$F$24:$F$106,B161)+SUMIFS('2020'!$E$24:$E$106,'2020'!$L$24:$L$106,A161&amp;" / "&amp;B161,'2020'!$C$24:$C$106,B161)+SUMIFS('2020'!$H$24:$H$106,'2020'!$L$24:$L$106,A161&amp;" / "&amp;B161,'2020'!$F$24:$F$106,B161)+SUMIFS('2021'!$E$24:$E$112,'2021'!$L$24:$L$112,A161&amp;" / "&amp;B161,'2021'!$C$24:$C$112,B161)+SUMIFS('2021'!$H$24:$H$112,'2021'!$L$24:$L$112,A161&amp;" / "&amp;B161,'2021'!$F$24:$F$112,B161)+SUMIFS('2022'!$E$24:$E$112,'2022'!$L$24:$L$112,A161&amp;" / "&amp;B161,'2022'!$C$24:$C$112,B161)+SUMIFS('2022'!$H$24:$H$112,'2022'!$L$24:$L$112,A161&amp;" / "&amp;B161,'2022'!$F$24:$F$112,B161)+SUMIFS('2023'!$E$24:$E$112,'2023'!$L$24:$L$112,A161&amp;" / "&amp;B161,'2023'!$C$24:$C$112,B161)+SUMIFS('2023'!$H$24:$H$112,'2023'!$L$24:$L$112,A161&amp;" / "&amp;B161,'2023'!$F$24:$F$112,B161)+SUMIFS('2024'!$E$24:$E$112,'2024'!$L$24:$L$112,A161&amp;" / "&amp;B161,'2024'!$C$24:$C$112,B161)+SUMIFS('2024'!$H$24:$H$112,'2024'!$L$24:$L$112,A161&amp;" / "&amp;B161,'2024'!$F$24:$F$112,B161)+SUMIFS('2025'!$E$24:$E$112,'2025'!$L$24:$L$112,A161&amp;" / "&amp;B161,'2025'!$C$24:$C$112,B161)+SUMIFS('2025'!$H$24:$H$112,'2025'!$L$24:$L$112,A161&amp;" / "&amp;B161,'2025'!$F$24:$F$112,B161)</x:f>
        <x:v>127</x:v>
      </x:c>
      <x:c r="I161" s="11" t="n">
        <x:f>IF(C161=0,0,(D161+0.5*F161)/C161)</x:f>
        <x:v>0</x:v>
      </x:c>
      <x:c r="J161" s="2" t="n">
        <x:f>COUNTIFS('2015'!$L$24:$L$96,A161&amp;" / "&amp;B161,'2015'!$B$24:$B$96,"Regular")+COUNTIFS('2016'!$L$24:$L$96,A161&amp;" / "&amp;B161,'2016'!$B$24:$B$96,"Regular")+COUNTIFS('2017'!$L$24:$L$106,A161&amp;" / "&amp;B161,'2017'!$B$24:$B$106,"Regular")+COUNTIFS('2018'!$L$24:$L$106,A161&amp;" / "&amp;B161,'2018'!$B$24:$B$106,"Regular")+COUNTIFS('2019'!$L$24:$L$106,A161&amp;" / "&amp;B161,'2019'!$B$24:$B$106,"Regular")+COUNTIFS('2020'!$L$24:$L$106,A161&amp;" / "&amp;B161,'2020'!$B$24:$B$106,"Regular")+COUNTIFS('2021'!$L$24:$L$112,A161&amp;" / "&amp;B161,'2021'!$B$24:$B$112,"Regular")+COUNTIFS('2022'!$L$24:$L$112,A161&amp;" / "&amp;B161,'2022'!$B$24:$B$112,"Regular")+COUNTIFS('2023'!$L$24:$L$112,A161&amp;" / "&amp;B161,'2023'!$B$24:$B$112,"Regular")+COUNTIFS('2024'!$L$24:$L$112,A161&amp;" / "&amp;B161,'2024'!$B$24:$B$112,"Regular")+COUNTIFS('2025'!$L$24:$L$112,A161&amp;" / "&amp;B161,'2025'!$B$24:$B$112,"Regular")</x:f>
        <x:v>1</x:v>
      </x:c>
      <x:c r="K161" s="2" t="n">
        <x:f>COUNTIFS('2015'!$L$24:$L$96,A161&amp;" / "&amp;B161,'2015'!$B$24:$B$96,"Playoffs")+COUNTIFS('2016'!$L$24:$L$96,A161&amp;" / "&amp;B161,'2016'!$B$24:$B$96,"Playoffs")+COUNTIFS('2017'!$L$24:$L$106,A161&amp;" / "&amp;B161,'2017'!$B$24:$B$106,"Playoffs")+COUNTIFS('2018'!$L$24:$L$106,A161&amp;" / "&amp;B161,'2018'!$B$24:$B$106,"Playoffs")+COUNTIFS('2019'!$L$24:$L$106,A161&amp;" / "&amp;B161,'2019'!$B$24:$B$106,"Playoffs")+COUNTIFS('2020'!$L$24:$L$106,A161&amp;" / "&amp;B161,'2020'!$B$24:$B$106,"Playoffs")+COUNTIFS('2021'!$L$24:$L$112,A161&amp;" / "&amp;B161,'2021'!$B$24:$B$112,"Playoffs")+COUNTIFS('2022'!$L$24:$L$112,A161&amp;" / "&amp;B161,'2022'!$B$24:$B$112,"Playoffs")+COUNTIFS('2023'!$L$24:$L$112,A161&amp;" / "&amp;B161,'2023'!$B$24:$B$112,"Playoffs")+COUNTIFS('2024'!$L$24:$L$112,A161&amp;" / "&amp;B161,'2024'!$B$24:$B$112,"Playoffs")+COUNTIFS('2025'!$L$24:$L$112,A161&amp;" / "&amp;B161,'2025'!$B$24:$B$112,"Playoffs")</x:f>
        <x:v>0</x:v>
      </x:c>
      <x:c r="L161" s="2" t="n">
        <x:f>COUNTIFS('2015'!$L$24:$L$96,A161&amp;" / "&amp;B161,'2015'!$B$24:$B$96,"Unconfirmed")+COUNTIFS('2016'!$L$24:$L$96,A161&amp;" / "&amp;B161,'2016'!$B$24:$B$96,"Unconfirmed")+COUNTIFS('2017'!$L$24:$L$106,A161&amp;" / "&amp;B161,'2017'!$B$24:$B$106,"Unconfirmed")+COUNTIFS('2018'!$L$24:$L$106,A161&amp;" / "&amp;B161,'2018'!$B$24:$B$106,"Unconfirmed")+COUNTIFS('2019'!$L$24:$L$106,A161&amp;" / "&amp;B161,'2019'!$B$24:$B$106,"Unconfirmed")+COUNTIFS('2020'!$L$24:$L$106,A161&amp;" / "&amp;B161,'2020'!$B$24:$B$106,"Unconfirmed")+COUNTIFS('2021'!$L$24:$L$112,A161&amp;" / "&amp;B161,'2021'!$B$24:$B$112,"Unconfirmed")+COUNTIFS('2022'!$L$24:$L$112,A161&amp;" / "&amp;B161,'2022'!$B$24:$B$112,"Unconfirmed")+COUNTIFS('2023'!$L$24:$L$112,A161&amp;" / "&amp;B161,'2023'!$B$24:$B$112,"Unconfirmed")+COUNTIFS('2024'!$L$24:$L$112,A161&amp;" / "&amp;B161,'2024'!$B$24:$B$112,"Unconfirmed")+COUNTIFS('2025'!$L$24:$L$112,A161&amp;" / "&amp;B161,'2025'!$B$24:$B$112,"Unconfirmed")</x:f>
        <x:v>0</x:v>
      </x:c>
    </x:row>
    <x:row r="162" ht="22" customHeight="1">
      <x:c r="A162" s="2" t="str">
        <x:v>Mike</x:v>
      </x:c>
      <x:c r="B162" s="2" t="str">
        <x:v>Troy</x:v>
      </x:c>
      <x:c r="C162" s="2" t="n">
        <x:f>COUNTIFS('2015'!$L$24:$L$96,A162&amp;" / "&amp;B162)+COUNTIFS('2016'!$L$24:$L$96,A162&amp;" / "&amp;B162)+COUNTIFS('2017'!$L$24:$L$106,A162&amp;" / "&amp;B162)+COUNTIFS('2018'!$L$24:$L$106,A162&amp;" / "&amp;B162)+COUNTIFS('2019'!$L$24:$L$106,A162&amp;" / "&amp;B162)+COUNTIFS('2020'!$L$24:$L$106,A162&amp;" / "&amp;B162)+COUNTIFS('2021'!$L$24:$L$112,A162&amp;" / "&amp;B162)+COUNTIFS('2022'!$L$24:$L$112,A162&amp;" / "&amp;B162)+COUNTIFS('2023'!$L$24:$L$112,A162&amp;" / "&amp;B162)+COUNTIFS('2024'!$L$24:$L$112,A162&amp;" / "&amp;B162)+COUNTIFS('2025'!$L$24:$L$112,A162&amp;" / "&amp;B162)</x:f>
        <x:v>1</x:v>
      </x:c>
      <x:c r="D162" s="2" t="n">
        <x:f>COUNTIFS('2015'!$L$24:$L$96,A162&amp;" / "&amp;B162,'2015'!$I$24:$I$96,A162)+COUNTIFS('2016'!$L$24:$L$96,A162&amp;" / "&amp;B162,'2016'!$I$24:$I$96,A162)+COUNTIFS('2017'!$L$24:$L$106,A162&amp;" / "&amp;B162,'2017'!$I$24:$I$106,A162)+COUNTIFS('2018'!$L$24:$L$106,A162&amp;" / "&amp;B162,'2018'!$I$24:$I$106,A162)+COUNTIFS('2019'!$L$24:$L$106,A162&amp;" / "&amp;B162,'2019'!$I$24:$I$106,A162)+COUNTIFS('2020'!$L$24:$L$106,A162&amp;" / "&amp;B162,'2020'!$I$24:$I$106,A162)+COUNTIFS('2021'!$L$24:$L$112,A162&amp;" / "&amp;B162,'2021'!$I$24:$I$112,A162)+COUNTIFS('2022'!$L$24:$L$112,A162&amp;" / "&amp;B162,'2022'!$I$24:$I$112,A162)+COUNTIFS('2023'!$L$24:$L$112,A162&amp;" / "&amp;B162,'2023'!$I$24:$I$112,A162)+COUNTIFS('2024'!$L$24:$L$112,A162&amp;" / "&amp;B162,'2024'!$I$24:$I$112,A162)+COUNTIFS('2025'!$L$24:$L$112,A162&amp;" / "&amp;B162,'2025'!$I$24:$I$112,A162)</x:f>
        <x:v>1</x:v>
      </x:c>
      <x:c r="E162" s="2" t="n">
        <x:f>COUNTIFS('2015'!$L$24:$L$96,A162&amp;" / "&amp;B162,'2015'!$I$24:$I$96,B162)+COUNTIFS('2016'!$L$24:$L$96,A162&amp;" / "&amp;B162,'2016'!$I$24:$I$96,B162)+COUNTIFS('2017'!$L$24:$L$106,A162&amp;" / "&amp;B162,'2017'!$I$24:$I$106,B162)+COUNTIFS('2018'!$L$24:$L$106,A162&amp;" / "&amp;B162,'2018'!$I$24:$I$106,B162)+COUNTIFS('2019'!$L$24:$L$106,A162&amp;" / "&amp;B162,'2019'!$I$24:$I$106,B162)+COUNTIFS('2020'!$L$24:$L$106,A162&amp;" / "&amp;B162,'2020'!$I$24:$I$106,B162)+COUNTIFS('2021'!$L$24:$L$112,A162&amp;" / "&amp;B162,'2021'!$I$24:$I$112,B162)+COUNTIFS('2022'!$L$24:$L$112,A162&amp;" / "&amp;B162,'2022'!$I$24:$I$112,B162)+COUNTIFS('2023'!$L$24:$L$112,A162&amp;" / "&amp;B162,'2023'!$I$24:$I$112,B162)+COUNTIFS('2024'!$L$24:$L$112,A162&amp;" / "&amp;B162,'2024'!$I$24:$I$112,B162)+COUNTIFS('2025'!$L$24:$L$112,A162&amp;" / "&amp;B162,'2025'!$I$24:$I$112,B162)</x:f>
        <x:v>0</x:v>
      </x:c>
      <x:c r="F162" s="2" t="n">
        <x:f>COUNTIFS('2015'!$L$24:$L$96,A162&amp;" / "&amp;B162,'2015'!$K$24:$K$96,1)+COUNTIFS('2016'!$L$24:$L$96,A162&amp;" / "&amp;B162,'2016'!$K$24:$K$96,1)+COUNTIFS('2017'!$L$24:$L$106,A162&amp;" / "&amp;B162,'2017'!$K$24:$K$106,1)+COUNTIFS('2018'!$L$24:$L$106,A162&amp;" / "&amp;B162,'2018'!$K$24:$K$106,1)+COUNTIFS('2019'!$L$24:$L$106,A162&amp;" / "&amp;B162,'2019'!$K$24:$K$106,1)+COUNTIFS('2020'!$L$24:$L$106,A162&amp;" / "&amp;B162,'2020'!$K$24:$K$106,1)+COUNTIFS('2021'!$L$24:$L$112,A162&amp;" / "&amp;B162,'2021'!$K$24:$K$112,1)+COUNTIFS('2022'!$L$24:$L$112,A162&amp;" / "&amp;B162,'2022'!$K$24:$K$112,1)+COUNTIFS('2023'!$L$24:$L$112,A162&amp;" / "&amp;B162,'2023'!$K$24:$K$112,1)+COUNTIFS('2024'!$L$24:$L$112,A162&amp;" / "&amp;B162,'2024'!$K$24:$K$112,1)+COUNTIFS('2025'!$L$24:$L$112,A162&amp;" / "&amp;B162,'2025'!$K$24:$K$112,1)</x:f>
        <x:v>0</x:v>
      </x:c>
      <x:c r="G162" s="25" t="n">
        <x:f>SUMIFS('2015'!$E$24:$E$96,'2015'!$L$24:$L$96,A162&amp;" / "&amp;B162,'2015'!$C$24:$C$96,A162)+SUMIFS('2015'!$H$24:$H$96,'2015'!$L$24:$L$96,A162&amp;" / "&amp;B162,'2015'!$F$24:$F$96,A162)+SUMIFS('2016'!$E$24:$E$96,'2016'!$L$24:$L$96,A162&amp;" / "&amp;B162,'2016'!$C$24:$C$96,A162)+SUMIFS('2016'!$H$24:$H$96,'2016'!$L$24:$L$96,A162&amp;" / "&amp;B162,'2016'!$F$24:$F$96,A162)+SUMIFS('2017'!$E$24:$E$106,'2017'!$L$24:$L$106,A162&amp;" / "&amp;B162,'2017'!$C$24:$C$106,A162)+SUMIFS('2017'!$H$24:$H$106,'2017'!$L$24:$L$106,A162&amp;" / "&amp;B162,'2017'!$F$24:$F$106,A162)+SUMIFS('2018'!$E$24:$E$106,'2018'!$L$24:$L$106,A162&amp;" / "&amp;B162,'2018'!$C$24:$C$106,A162)+SUMIFS('2018'!$H$24:$H$106,'2018'!$L$24:$L$106,A162&amp;" / "&amp;B162,'2018'!$F$24:$F$106,A162)+SUMIFS('2019'!$E$24:$E$106,'2019'!$L$24:$L$106,A162&amp;" / "&amp;B162,'2019'!$C$24:$C$106,A162)+SUMIFS('2019'!$H$24:$H$106,'2019'!$L$24:$L$106,A162&amp;" / "&amp;B162,'2019'!$F$24:$F$106,A162)+SUMIFS('2020'!$E$24:$E$106,'2020'!$L$24:$L$106,A162&amp;" / "&amp;B162,'2020'!$C$24:$C$106,A162)+SUMIFS('2020'!$H$24:$H$106,'2020'!$L$24:$L$106,A162&amp;" / "&amp;B162,'2020'!$F$24:$F$106,A162)+SUMIFS('2021'!$E$24:$E$112,'2021'!$L$24:$L$112,A162&amp;" / "&amp;B162,'2021'!$C$24:$C$112,A162)+SUMIFS('2021'!$H$24:$H$112,'2021'!$L$24:$L$112,A162&amp;" / "&amp;B162,'2021'!$F$24:$F$112,A162)+SUMIFS('2022'!$E$24:$E$112,'2022'!$L$24:$L$112,A162&amp;" / "&amp;B162,'2022'!$C$24:$C$112,A162)+SUMIFS('2022'!$H$24:$H$112,'2022'!$L$24:$L$112,A162&amp;" / "&amp;B162,'2022'!$F$24:$F$112,A162)+SUMIFS('2023'!$E$24:$E$112,'2023'!$L$24:$L$112,A162&amp;" / "&amp;B162,'2023'!$C$24:$C$112,A162)+SUMIFS('2023'!$H$24:$H$112,'2023'!$L$24:$L$112,A162&amp;" / "&amp;B162,'2023'!$F$24:$F$112,A162)+SUMIFS('2024'!$E$24:$E$112,'2024'!$L$24:$L$112,A162&amp;" / "&amp;B162,'2024'!$C$24:$C$112,A162)+SUMIFS('2024'!$H$24:$H$112,'2024'!$L$24:$L$112,A162&amp;" / "&amp;B162,'2024'!$F$24:$F$112,A162)+SUMIFS('2025'!$E$24:$E$112,'2025'!$L$24:$L$112,A162&amp;" / "&amp;B162,'2025'!$C$24:$C$112,A162)+SUMIFS('2025'!$H$24:$H$112,'2025'!$L$24:$L$112,A162&amp;" / "&amp;B162,'2025'!$F$24:$F$112,A162)</x:f>
        <x:v>119</x:v>
      </x:c>
      <x:c r="H162" s="25" t="n">
        <x:f>SUMIFS('2015'!$E$24:$E$96,'2015'!$L$24:$L$96,A162&amp;" / "&amp;B162,'2015'!$C$24:$C$96,B162)+SUMIFS('2015'!$H$24:$H$96,'2015'!$L$24:$L$96,A162&amp;" / "&amp;B162,'2015'!$F$24:$F$96,B162)+SUMIFS('2016'!$E$24:$E$96,'2016'!$L$24:$L$96,A162&amp;" / "&amp;B162,'2016'!$C$24:$C$96,B162)+SUMIFS('2016'!$H$24:$H$96,'2016'!$L$24:$L$96,A162&amp;" / "&amp;B162,'2016'!$F$24:$F$96,B162)+SUMIFS('2017'!$E$24:$E$106,'2017'!$L$24:$L$106,A162&amp;" / "&amp;B162,'2017'!$C$24:$C$106,B162)+SUMIFS('2017'!$H$24:$H$106,'2017'!$L$24:$L$106,A162&amp;" / "&amp;B162,'2017'!$F$24:$F$106,B162)+SUMIFS('2018'!$E$24:$E$106,'2018'!$L$24:$L$106,A162&amp;" / "&amp;B162,'2018'!$C$24:$C$106,B162)+SUMIFS('2018'!$H$24:$H$106,'2018'!$L$24:$L$106,A162&amp;" / "&amp;B162,'2018'!$F$24:$F$106,B162)+SUMIFS('2019'!$E$24:$E$106,'2019'!$L$24:$L$106,A162&amp;" / "&amp;B162,'2019'!$C$24:$C$106,B162)+SUMIFS('2019'!$H$24:$H$106,'2019'!$L$24:$L$106,A162&amp;" / "&amp;B162,'2019'!$F$24:$F$106,B162)+SUMIFS('2020'!$E$24:$E$106,'2020'!$L$24:$L$106,A162&amp;" / "&amp;B162,'2020'!$C$24:$C$106,B162)+SUMIFS('2020'!$H$24:$H$106,'2020'!$L$24:$L$106,A162&amp;" / "&amp;B162,'2020'!$F$24:$F$106,B162)+SUMIFS('2021'!$E$24:$E$112,'2021'!$L$24:$L$112,A162&amp;" / "&amp;B162,'2021'!$C$24:$C$112,B162)+SUMIFS('2021'!$H$24:$H$112,'2021'!$L$24:$L$112,A162&amp;" / "&amp;B162,'2021'!$F$24:$F$112,B162)+SUMIFS('2022'!$E$24:$E$112,'2022'!$L$24:$L$112,A162&amp;" / "&amp;B162,'2022'!$C$24:$C$112,B162)+SUMIFS('2022'!$H$24:$H$112,'2022'!$L$24:$L$112,A162&amp;" / "&amp;B162,'2022'!$F$24:$F$112,B162)+SUMIFS('2023'!$E$24:$E$112,'2023'!$L$24:$L$112,A162&amp;" / "&amp;B162,'2023'!$C$24:$C$112,B162)+SUMIFS('2023'!$H$24:$H$112,'2023'!$L$24:$L$112,A162&amp;" / "&amp;B162,'2023'!$F$24:$F$112,B162)+SUMIFS('2024'!$E$24:$E$112,'2024'!$L$24:$L$112,A162&amp;" / "&amp;B162,'2024'!$C$24:$C$112,B162)+SUMIFS('2024'!$H$24:$H$112,'2024'!$L$24:$L$112,A162&amp;" / "&amp;B162,'2024'!$F$24:$F$112,B162)+SUMIFS('2025'!$E$24:$E$112,'2025'!$L$24:$L$112,A162&amp;" / "&amp;B162,'2025'!$C$24:$C$112,B162)+SUMIFS('2025'!$H$24:$H$112,'2025'!$L$24:$L$112,A162&amp;" / "&amp;B162,'2025'!$F$24:$F$112,B162)</x:f>
        <x:v>116</x:v>
      </x:c>
      <x:c r="I162" s="11" t="n">
        <x:f>IF(C162=0,0,(D162+0.5*F162)/C162)</x:f>
        <x:v>1</x:v>
      </x:c>
      <x:c r="J162" s="2" t="n">
        <x:f>COUNTIFS('2015'!$L$24:$L$96,A162&amp;" / "&amp;B162,'2015'!$B$24:$B$96,"Regular")+COUNTIFS('2016'!$L$24:$L$96,A162&amp;" / "&amp;B162,'2016'!$B$24:$B$96,"Regular")+COUNTIFS('2017'!$L$24:$L$106,A162&amp;" / "&amp;B162,'2017'!$B$24:$B$106,"Regular")+COUNTIFS('2018'!$L$24:$L$106,A162&amp;" / "&amp;B162,'2018'!$B$24:$B$106,"Regular")+COUNTIFS('2019'!$L$24:$L$106,A162&amp;" / "&amp;B162,'2019'!$B$24:$B$106,"Regular")+COUNTIFS('2020'!$L$24:$L$106,A162&amp;" / "&amp;B162,'2020'!$B$24:$B$106,"Regular")+COUNTIFS('2021'!$L$24:$L$112,A162&amp;" / "&amp;B162,'2021'!$B$24:$B$112,"Regular")+COUNTIFS('2022'!$L$24:$L$112,A162&amp;" / "&amp;B162,'2022'!$B$24:$B$112,"Regular")+COUNTIFS('2023'!$L$24:$L$112,A162&amp;" / "&amp;B162,'2023'!$B$24:$B$112,"Regular")+COUNTIFS('2024'!$L$24:$L$112,A162&amp;" / "&amp;B162,'2024'!$B$24:$B$112,"Regular")+COUNTIFS('2025'!$L$24:$L$112,A162&amp;" / "&amp;B162,'2025'!$B$24:$B$112,"Regular")</x:f>
        <x:v>1</x:v>
      </x:c>
      <x:c r="K162" s="2" t="n">
        <x:f>COUNTIFS('2015'!$L$24:$L$96,A162&amp;" / "&amp;B162,'2015'!$B$24:$B$96,"Playoffs")+COUNTIFS('2016'!$L$24:$L$96,A162&amp;" / "&amp;B162,'2016'!$B$24:$B$96,"Playoffs")+COUNTIFS('2017'!$L$24:$L$106,A162&amp;" / "&amp;B162,'2017'!$B$24:$B$106,"Playoffs")+COUNTIFS('2018'!$L$24:$L$106,A162&amp;" / "&amp;B162,'2018'!$B$24:$B$106,"Playoffs")+COUNTIFS('2019'!$L$24:$L$106,A162&amp;" / "&amp;B162,'2019'!$B$24:$B$106,"Playoffs")+COUNTIFS('2020'!$L$24:$L$106,A162&amp;" / "&amp;B162,'2020'!$B$24:$B$106,"Playoffs")+COUNTIFS('2021'!$L$24:$L$112,A162&amp;" / "&amp;B162,'2021'!$B$24:$B$112,"Playoffs")+COUNTIFS('2022'!$L$24:$L$112,A162&amp;" / "&amp;B162,'2022'!$B$24:$B$112,"Playoffs")+COUNTIFS('2023'!$L$24:$L$112,A162&amp;" / "&amp;B162,'2023'!$B$24:$B$112,"Playoffs")+COUNTIFS('2024'!$L$24:$L$112,A162&amp;" / "&amp;B162,'2024'!$B$24:$B$112,"Playoffs")+COUNTIFS('2025'!$L$24:$L$112,A162&amp;" / "&amp;B162,'2025'!$B$24:$B$112,"Playoffs")</x:f>
        <x:v>0</x:v>
      </x:c>
      <x:c r="L162" s="2" t="n">
        <x:f>COUNTIFS('2015'!$L$24:$L$96,A162&amp;" / "&amp;B162,'2015'!$B$24:$B$96,"Unconfirmed")+COUNTIFS('2016'!$L$24:$L$96,A162&amp;" / "&amp;B162,'2016'!$B$24:$B$96,"Unconfirmed")+COUNTIFS('2017'!$L$24:$L$106,A162&amp;" / "&amp;B162,'2017'!$B$24:$B$106,"Unconfirmed")+COUNTIFS('2018'!$L$24:$L$106,A162&amp;" / "&amp;B162,'2018'!$B$24:$B$106,"Unconfirmed")+COUNTIFS('2019'!$L$24:$L$106,A162&amp;" / "&amp;B162,'2019'!$B$24:$B$106,"Unconfirmed")+COUNTIFS('2020'!$L$24:$L$106,A162&amp;" / "&amp;B162,'2020'!$B$24:$B$106,"Unconfirmed")+COUNTIFS('2021'!$L$24:$L$112,A162&amp;" / "&amp;B162,'2021'!$B$24:$B$112,"Unconfirmed")+COUNTIFS('2022'!$L$24:$L$112,A162&amp;" / "&amp;B162,'2022'!$B$24:$B$112,"Unconfirmed")+COUNTIFS('2023'!$L$24:$L$112,A162&amp;" / "&amp;B162,'2023'!$B$24:$B$112,"Unconfirmed")+COUNTIFS('2024'!$L$24:$L$112,A162&amp;" / "&amp;B162,'2024'!$B$24:$B$112,"Unconfirmed")+COUNTIFS('2025'!$L$24:$L$112,A162&amp;" / "&amp;B162,'2025'!$B$24:$B$112,"Unconfirmed")</x:f>
        <x:v>0</x:v>
      </x:c>
    </x:row>
    <x:row r="163" ht="22" customHeight="1">
      <x:c r="A163" s="2" t="str">
        <x:v>Nick</x:v>
      </x:c>
      <x:c r="B163" s="2" t="str">
        <x:v>Paul</x:v>
      </x:c>
      <x:c r="C163" s="2" t="n">
        <x:f>COUNTIFS('2015'!$L$24:$L$96,A163&amp;" / "&amp;B163)+COUNTIFS('2016'!$L$24:$L$96,A163&amp;" / "&amp;B163)+COUNTIFS('2017'!$L$24:$L$106,A163&amp;" / "&amp;B163)+COUNTIFS('2018'!$L$24:$L$106,A163&amp;" / "&amp;B163)+COUNTIFS('2019'!$L$24:$L$106,A163&amp;" / "&amp;B163)+COUNTIFS('2020'!$L$24:$L$106,A163&amp;" / "&amp;B163)+COUNTIFS('2021'!$L$24:$L$112,A163&amp;" / "&amp;B163)+COUNTIFS('2022'!$L$24:$L$112,A163&amp;" / "&amp;B163)+COUNTIFS('2023'!$L$24:$L$112,A163&amp;" / "&amp;B163)+COUNTIFS('2024'!$L$24:$L$112,A163&amp;" / "&amp;B163)+COUNTIFS('2025'!$L$24:$L$112,A163&amp;" / "&amp;B163)</x:f>
        <x:v>6</x:v>
      </x:c>
      <x:c r="D163" s="2" t="n">
        <x:f>COUNTIFS('2015'!$L$24:$L$96,A163&amp;" / "&amp;B163,'2015'!$I$24:$I$96,A163)+COUNTIFS('2016'!$L$24:$L$96,A163&amp;" / "&amp;B163,'2016'!$I$24:$I$96,A163)+COUNTIFS('2017'!$L$24:$L$106,A163&amp;" / "&amp;B163,'2017'!$I$24:$I$106,A163)+COUNTIFS('2018'!$L$24:$L$106,A163&amp;" / "&amp;B163,'2018'!$I$24:$I$106,A163)+COUNTIFS('2019'!$L$24:$L$106,A163&amp;" / "&amp;B163,'2019'!$I$24:$I$106,A163)+COUNTIFS('2020'!$L$24:$L$106,A163&amp;" / "&amp;B163,'2020'!$I$24:$I$106,A163)+COUNTIFS('2021'!$L$24:$L$112,A163&amp;" / "&amp;B163,'2021'!$I$24:$I$112,A163)+COUNTIFS('2022'!$L$24:$L$112,A163&amp;" / "&amp;B163,'2022'!$I$24:$I$112,A163)+COUNTIFS('2023'!$L$24:$L$112,A163&amp;" / "&amp;B163,'2023'!$I$24:$I$112,A163)+COUNTIFS('2024'!$L$24:$L$112,A163&amp;" / "&amp;B163,'2024'!$I$24:$I$112,A163)+COUNTIFS('2025'!$L$24:$L$112,A163&amp;" / "&amp;B163,'2025'!$I$24:$I$112,A163)</x:f>
        <x:v>5</x:v>
      </x:c>
      <x:c r="E163" s="2" t="n">
        <x:f>COUNTIFS('2015'!$L$24:$L$96,A163&amp;" / "&amp;B163,'2015'!$I$24:$I$96,B163)+COUNTIFS('2016'!$L$24:$L$96,A163&amp;" / "&amp;B163,'2016'!$I$24:$I$96,B163)+COUNTIFS('2017'!$L$24:$L$106,A163&amp;" / "&amp;B163,'2017'!$I$24:$I$106,B163)+COUNTIFS('2018'!$L$24:$L$106,A163&amp;" / "&amp;B163,'2018'!$I$24:$I$106,B163)+COUNTIFS('2019'!$L$24:$L$106,A163&amp;" / "&amp;B163,'2019'!$I$24:$I$106,B163)+COUNTIFS('2020'!$L$24:$L$106,A163&amp;" / "&amp;B163,'2020'!$I$24:$I$106,B163)+COUNTIFS('2021'!$L$24:$L$112,A163&amp;" / "&amp;B163,'2021'!$I$24:$I$112,B163)+COUNTIFS('2022'!$L$24:$L$112,A163&amp;" / "&amp;B163,'2022'!$I$24:$I$112,B163)+COUNTIFS('2023'!$L$24:$L$112,A163&amp;" / "&amp;B163,'2023'!$I$24:$I$112,B163)+COUNTIFS('2024'!$L$24:$L$112,A163&amp;" / "&amp;B163,'2024'!$I$24:$I$112,B163)+COUNTIFS('2025'!$L$24:$L$112,A163&amp;" / "&amp;B163,'2025'!$I$24:$I$112,B163)</x:f>
        <x:v>1</x:v>
      </x:c>
      <x:c r="F163" s="2" t="n">
        <x:f>COUNTIFS('2015'!$L$24:$L$96,A163&amp;" / "&amp;B163,'2015'!$K$24:$K$96,1)+COUNTIFS('2016'!$L$24:$L$96,A163&amp;" / "&amp;B163,'2016'!$K$24:$K$96,1)+COUNTIFS('2017'!$L$24:$L$106,A163&amp;" / "&amp;B163,'2017'!$K$24:$K$106,1)+COUNTIFS('2018'!$L$24:$L$106,A163&amp;" / "&amp;B163,'2018'!$K$24:$K$106,1)+COUNTIFS('2019'!$L$24:$L$106,A163&amp;" / "&amp;B163,'2019'!$K$24:$K$106,1)+COUNTIFS('2020'!$L$24:$L$106,A163&amp;" / "&amp;B163,'2020'!$K$24:$K$106,1)+COUNTIFS('2021'!$L$24:$L$112,A163&amp;" / "&amp;B163,'2021'!$K$24:$K$112,1)+COUNTIFS('2022'!$L$24:$L$112,A163&amp;" / "&amp;B163,'2022'!$K$24:$K$112,1)+COUNTIFS('2023'!$L$24:$L$112,A163&amp;" / "&amp;B163,'2023'!$K$24:$K$112,1)+COUNTIFS('2024'!$L$24:$L$112,A163&amp;" / "&amp;B163,'2024'!$K$24:$K$112,1)+COUNTIFS('2025'!$L$24:$L$112,A163&amp;" / "&amp;B163,'2025'!$K$24:$K$112,1)</x:f>
        <x:v>0</x:v>
      </x:c>
      <x:c r="G163" s="25" t="n">
        <x:f>SUMIFS('2015'!$E$24:$E$96,'2015'!$L$24:$L$96,A163&amp;" / "&amp;B163,'2015'!$C$24:$C$96,A163)+SUMIFS('2015'!$H$24:$H$96,'2015'!$L$24:$L$96,A163&amp;" / "&amp;B163,'2015'!$F$24:$F$96,A163)+SUMIFS('2016'!$E$24:$E$96,'2016'!$L$24:$L$96,A163&amp;" / "&amp;B163,'2016'!$C$24:$C$96,A163)+SUMIFS('2016'!$H$24:$H$96,'2016'!$L$24:$L$96,A163&amp;" / "&amp;B163,'2016'!$F$24:$F$96,A163)+SUMIFS('2017'!$E$24:$E$106,'2017'!$L$24:$L$106,A163&amp;" / "&amp;B163,'2017'!$C$24:$C$106,A163)+SUMIFS('2017'!$H$24:$H$106,'2017'!$L$24:$L$106,A163&amp;" / "&amp;B163,'2017'!$F$24:$F$106,A163)+SUMIFS('2018'!$E$24:$E$106,'2018'!$L$24:$L$106,A163&amp;" / "&amp;B163,'2018'!$C$24:$C$106,A163)+SUMIFS('2018'!$H$24:$H$106,'2018'!$L$24:$L$106,A163&amp;" / "&amp;B163,'2018'!$F$24:$F$106,A163)+SUMIFS('2019'!$E$24:$E$106,'2019'!$L$24:$L$106,A163&amp;" / "&amp;B163,'2019'!$C$24:$C$106,A163)+SUMIFS('2019'!$H$24:$H$106,'2019'!$L$24:$L$106,A163&amp;" / "&amp;B163,'2019'!$F$24:$F$106,A163)+SUMIFS('2020'!$E$24:$E$106,'2020'!$L$24:$L$106,A163&amp;" / "&amp;B163,'2020'!$C$24:$C$106,A163)+SUMIFS('2020'!$H$24:$H$106,'2020'!$L$24:$L$106,A163&amp;" / "&amp;B163,'2020'!$F$24:$F$106,A163)+SUMIFS('2021'!$E$24:$E$112,'2021'!$L$24:$L$112,A163&amp;" / "&amp;B163,'2021'!$C$24:$C$112,A163)+SUMIFS('2021'!$H$24:$H$112,'2021'!$L$24:$L$112,A163&amp;" / "&amp;B163,'2021'!$F$24:$F$112,A163)+SUMIFS('2022'!$E$24:$E$112,'2022'!$L$24:$L$112,A163&amp;" / "&amp;B163,'2022'!$C$24:$C$112,A163)+SUMIFS('2022'!$H$24:$H$112,'2022'!$L$24:$L$112,A163&amp;" / "&amp;B163,'2022'!$F$24:$F$112,A163)+SUMIFS('2023'!$E$24:$E$112,'2023'!$L$24:$L$112,A163&amp;" / "&amp;B163,'2023'!$C$24:$C$112,A163)+SUMIFS('2023'!$H$24:$H$112,'2023'!$L$24:$L$112,A163&amp;" / "&amp;B163,'2023'!$F$24:$F$112,A163)+SUMIFS('2024'!$E$24:$E$112,'2024'!$L$24:$L$112,A163&amp;" / "&amp;B163,'2024'!$C$24:$C$112,A163)+SUMIFS('2024'!$H$24:$H$112,'2024'!$L$24:$L$112,A163&amp;" / "&amp;B163,'2024'!$F$24:$F$112,A163)+SUMIFS('2025'!$E$24:$E$112,'2025'!$L$24:$L$112,A163&amp;" / "&amp;B163,'2025'!$C$24:$C$112,A163)+SUMIFS('2025'!$H$24:$H$112,'2025'!$L$24:$L$112,A163&amp;" / "&amp;B163,'2025'!$F$24:$F$112,A163)</x:f>
        <x:v>781.3</x:v>
      </x:c>
      <x:c r="H163" s="25" t="n">
        <x:f>SUMIFS('2015'!$E$24:$E$96,'2015'!$L$24:$L$96,A163&amp;" / "&amp;B163,'2015'!$C$24:$C$96,B163)+SUMIFS('2015'!$H$24:$H$96,'2015'!$L$24:$L$96,A163&amp;" / "&amp;B163,'2015'!$F$24:$F$96,B163)+SUMIFS('2016'!$E$24:$E$96,'2016'!$L$24:$L$96,A163&amp;" / "&amp;B163,'2016'!$C$24:$C$96,B163)+SUMIFS('2016'!$H$24:$H$96,'2016'!$L$24:$L$96,A163&amp;" / "&amp;B163,'2016'!$F$24:$F$96,B163)+SUMIFS('2017'!$E$24:$E$106,'2017'!$L$24:$L$106,A163&amp;" / "&amp;B163,'2017'!$C$24:$C$106,B163)+SUMIFS('2017'!$H$24:$H$106,'2017'!$L$24:$L$106,A163&amp;" / "&amp;B163,'2017'!$F$24:$F$106,B163)+SUMIFS('2018'!$E$24:$E$106,'2018'!$L$24:$L$106,A163&amp;" / "&amp;B163,'2018'!$C$24:$C$106,B163)+SUMIFS('2018'!$H$24:$H$106,'2018'!$L$24:$L$106,A163&amp;" / "&amp;B163,'2018'!$F$24:$F$106,B163)+SUMIFS('2019'!$E$24:$E$106,'2019'!$L$24:$L$106,A163&amp;" / "&amp;B163,'2019'!$C$24:$C$106,B163)+SUMIFS('2019'!$H$24:$H$106,'2019'!$L$24:$L$106,A163&amp;" / "&amp;B163,'2019'!$F$24:$F$106,B163)+SUMIFS('2020'!$E$24:$E$106,'2020'!$L$24:$L$106,A163&amp;" / "&amp;B163,'2020'!$C$24:$C$106,B163)+SUMIFS('2020'!$H$24:$H$106,'2020'!$L$24:$L$106,A163&amp;" / "&amp;B163,'2020'!$F$24:$F$106,B163)+SUMIFS('2021'!$E$24:$E$112,'2021'!$L$24:$L$112,A163&amp;" / "&amp;B163,'2021'!$C$24:$C$112,B163)+SUMIFS('2021'!$H$24:$H$112,'2021'!$L$24:$L$112,A163&amp;" / "&amp;B163,'2021'!$F$24:$F$112,B163)+SUMIFS('2022'!$E$24:$E$112,'2022'!$L$24:$L$112,A163&amp;" / "&amp;B163,'2022'!$C$24:$C$112,B163)+SUMIFS('2022'!$H$24:$H$112,'2022'!$L$24:$L$112,A163&amp;" / "&amp;B163,'2022'!$F$24:$F$112,B163)+SUMIFS('2023'!$E$24:$E$112,'2023'!$L$24:$L$112,A163&amp;" / "&amp;B163,'2023'!$C$24:$C$112,B163)+SUMIFS('2023'!$H$24:$H$112,'2023'!$L$24:$L$112,A163&amp;" / "&amp;B163,'2023'!$F$24:$F$112,B163)+SUMIFS('2024'!$E$24:$E$112,'2024'!$L$24:$L$112,A163&amp;" / "&amp;B163,'2024'!$C$24:$C$112,B163)+SUMIFS('2024'!$H$24:$H$112,'2024'!$L$24:$L$112,A163&amp;" / "&amp;B163,'2024'!$F$24:$F$112,B163)+SUMIFS('2025'!$E$24:$E$112,'2025'!$L$24:$L$112,A163&amp;" / "&amp;B163,'2025'!$C$24:$C$112,B163)+SUMIFS('2025'!$H$24:$H$112,'2025'!$L$24:$L$112,A163&amp;" / "&amp;B163,'2025'!$F$24:$F$112,B163)</x:f>
        <x:v>700.35</x:v>
      </x:c>
      <x:c r="I163" s="11" t="n">
        <x:f>IF(C163=0,0,(D163+0.5*F163)/C163)</x:f>
        <x:v>0.8333333333333334</x:v>
      </x:c>
      <x:c r="J163" s="2" t="n">
        <x:f>COUNTIFS('2015'!$L$24:$L$96,A163&amp;" / "&amp;B163,'2015'!$B$24:$B$96,"Regular")+COUNTIFS('2016'!$L$24:$L$96,A163&amp;" / "&amp;B163,'2016'!$B$24:$B$96,"Regular")+COUNTIFS('2017'!$L$24:$L$106,A163&amp;" / "&amp;B163,'2017'!$B$24:$B$106,"Regular")+COUNTIFS('2018'!$L$24:$L$106,A163&amp;" / "&amp;B163,'2018'!$B$24:$B$106,"Regular")+COUNTIFS('2019'!$L$24:$L$106,A163&amp;" / "&amp;B163,'2019'!$B$24:$B$106,"Regular")+COUNTIFS('2020'!$L$24:$L$106,A163&amp;" / "&amp;B163,'2020'!$B$24:$B$106,"Regular")+COUNTIFS('2021'!$L$24:$L$112,A163&amp;" / "&amp;B163,'2021'!$B$24:$B$112,"Regular")+COUNTIFS('2022'!$L$24:$L$112,A163&amp;" / "&amp;B163,'2022'!$B$24:$B$112,"Regular")+COUNTIFS('2023'!$L$24:$L$112,A163&amp;" / "&amp;B163,'2023'!$B$24:$B$112,"Regular")+COUNTIFS('2024'!$L$24:$L$112,A163&amp;" / "&amp;B163,'2024'!$B$24:$B$112,"Regular")+COUNTIFS('2025'!$L$24:$L$112,A163&amp;" / "&amp;B163,'2025'!$B$24:$B$112,"Regular")</x:f>
        <x:v>6</x:v>
      </x:c>
      <x:c r="K163" s="2" t="n">
        <x:f>COUNTIFS('2015'!$L$24:$L$96,A163&amp;" / "&amp;B163,'2015'!$B$24:$B$96,"Playoffs")+COUNTIFS('2016'!$L$24:$L$96,A163&amp;" / "&amp;B163,'2016'!$B$24:$B$96,"Playoffs")+COUNTIFS('2017'!$L$24:$L$106,A163&amp;" / "&amp;B163,'2017'!$B$24:$B$106,"Playoffs")+COUNTIFS('2018'!$L$24:$L$106,A163&amp;" / "&amp;B163,'2018'!$B$24:$B$106,"Playoffs")+COUNTIFS('2019'!$L$24:$L$106,A163&amp;" / "&amp;B163,'2019'!$B$24:$B$106,"Playoffs")+COUNTIFS('2020'!$L$24:$L$106,A163&amp;" / "&amp;B163,'2020'!$B$24:$B$106,"Playoffs")+COUNTIFS('2021'!$L$24:$L$112,A163&amp;" / "&amp;B163,'2021'!$B$24:$B$112,"Playoffs")+COUNTIFS('2022'!$L$24:$L$112,A163&amp;" / "&amp;B163,'2022'!$B$24:$B$112,"Playoffs")+COUNTIFS('2023'!$L$24:$L$112,A163&amp;" / "&amp;B163,'2023'!$B$24:$B$112,"Playoffs")+COUNTIFS('2024'!$L$24:$L$112,A163&amp;" / "&amp;B163,'2024'!$B$24:$B$112,"Playoffs")+COUNTIFS('2025'!$L$24:$L$112,A163&amp;" / "&amp;B163,'2025'!$B$24:$B$112,"Playoffs")</x:f>
        <x:v>0</x:v>
      </x:c>
      <x:c r="L163" s="2" t="n">
        <x:f>COUNTIFS('2015'!$L$24:$L$96,A163&amp;" / "&amp;B163,'2015'!$B$24:$B$96,"Unconfirmed")+COUNTIFS('2016'!$L$24:$L$96,A163&amp;" / "&amp;B163,'2016'!$B$24:$B$96,"Unconfirmed")+COUNTIFS('2017'!$L$24:$L$106,A163&amp;" / "&amp;B163,'2017'!$B$24:$B$106,"Unconfirmed")+COUNTIFS('2018'!$L$24:$L$106,A163&amp;" / "&amp;B163,'2018'!$B$24:$B$106,"Unconfirmed")+COUNTIFS('2019'!$L$24:$L$106,A163&amp;" / "&amp;B163,'2019'!$B$24:$B$106,"Unconfirmed")+COUNTIFS('2020'!$L$24:$L$106,A163&amp;" / "&amp;B163,'2020'!$B$24:$B$106,"Unconfirmed")+COUNTIFS('2021'!$L$24:$L$112,A163&amp;" / "&amp;B163,'2021'!$B$24:$B$112,"Unconfirmed")+COUNTIFS('2022'!$L$24:$L$112,A163&amp;" / "&amp;B163,'2022'!$B$24:$B$112,"Unconfirmed")+COUNTIFS('2023'!$L$24:$L$112,A163&amp;" / "&amp;B163,'2023'!$B$24:$B$112,"Unconfirmed")+COUNTIFS('2024'!$L$24:$L$112,A163&amp;" / "&amp;B163,'2024'!$B$24:$B$112,"Unconfirmed")+COUNTIFS('2025'!$L$24:$L$112,A163&amp;" / "&amp;B163,'2025'!$B$24:$B$112,"Unconfirmed")</x:f>
        <x:v>0</x:v>
      </x:c>
    </x:row>
    <x:row r="164" ht="22" customHeight="1">
      <x:c r="A164" s="2" t="str">
        <x:v>Nick</x:v>
      </x:c>
      <x:c r="B164" s="2" t="str">
        <x:v>Poker Dude</x:v>
      </x:c>
      <x:c r="C164" s="2" t="n">
        <x:f>COUNTIFS('2015'!$L$24:$L$96,A164&amp;" / "&amp;B164)+COUNTIFS('2016'!$L$24:$L$96,A164&amp;" / "&amp;B164)+COUNTIFS('2017'!$L$24:$L$106,A164&amp;" / "&amp;B164)+COUNTIFS('2018'!$L$24:$L$106,A164&amp;" / "&amp;B164)+COUNTIFS('2019'!$L$24:$L$106,A164&amp;" / "&amp;B164)+COUNTIFS('2020'!$L$24:$L$106,A164&amp;" / "&amp;B164)+COUNTIFS('2021'!$L$24:$L$112,A164&amp;" / "&amp;B164)+COUNTIFS('2022'!$L$24:$L$112,A164&amp;" / "&amp;B164)+COUNTIFS('2023'!$L$24:$L$112,A164&amp;" / "&amp;B164)+COUNTIFS('2024'!$L$24:$L$112,A164&amp;" / "&amp;B164)+COUNTIFS('2025'!$L$24:$L$112,A164&amp;" / "&amp;B164)</x:f>
        <x:v>2</x:v>
      </x:c>
      <x:c r="D164" s="2" t="n">
        <x:f>COUNTIFS('2015'!$L$24:$L$96,A164&amp;" / "&amp;B164,'2015'!$I$24:$I$96,A164)+COUNTIFS('2016'!$L$24:$L$96,A164&amp;" / "&amp;B164,'2016'!$I$24:$I$96,A164)+COUNTIFS('2017'!$L$24:$L$106,A164&amp;" / "&amp;B164,'2017'!$I$24:$I$106,A164)+COUNTIFS('2018'!$L$24:$L$106,A164&amp;" / "&amp;B164,'2018'!$I$24:$I$106,A164)+COUNTIFS('2019'!$L$24:$L$106,A164&amp;" / "&amp;B164,'2019'!$I$24:$I$106,A164)+COUNTIFS('2020'!$L$24:$L$106,A164&amp;" / "&amp;B164,'2020'!$I$24:$I$106,A164)+COUNTIFS('2021'!$L$24:$L$112,A164&amp;" / "&amp;B164,'2021'!$I$24:$I$112,A164)+COUNTIFS('2022'!$L$24:$L$112,A164&amp;" / "&amp;B164,'2022'!$I$24:$I$112,A164)+COUNTIFS('2023'!$L$24:$L$112,A164&amp;" / "&amp;B164,'2023'!$I$24:$I$112,A164)+COUNTIFS('2024'!$L$24:$L$112,A164&amp;" / "&amp;B164,'2024'!$I$24:$I$112,A164)+COUNTIFS('2025'!$L$24:$L$112,A164&amp;" / "&amp;B164,'2025'!$I$24:$I$112,A164)</x:f>
        <x:v>1</x:v>
      </x:c>
      <x:c r="E164" s="2" t="n">
        <x:f>COUNTIFS('2015'!$L$24:$L$96,A164&amp;" / "&amp;B164,'2015'!$I$24:$I$96,B164)+COUNTIFS('2016'!$L$24:$L$96,A164&amp;" / "&amp;B164,'2016'!$I$24:$I$96,B164)+COUNTIFS('2017'!$L$24:$L$106,A164&amp;" / "&amp;B164,'2017'!$I$24:$I$106,B164)+COUNTIFS('2018'!$L$24:$L$106,A164&amp;" / "&amp;B164,'2018'!$I$24:$I$106,B164)+COUNTIFS('2019'!$L$24:$L$106,A164&amp;" / "&amp;B164,'2019'!$I$24:$I$106,B164)+COUNTIFS('2020'!$L$24:$L$106,A164&amp;" / "&amp;B164,'2020'!$I$24:$I$106,B164)+COUNTIFS('2021'!$L$24:$L$112,A164&amp;" / "&amp;B164,'2021'!$I$24:$I$112,B164)+COUNTIFS('2022'!$L$24:$L$112,A164&amp;" / "&amp;B164,'2022'!$I$24:$I$112,B164)+COUNTIFS('2023'!$L$24:$L$112,A164&amp;" / "&amp;B164,'2023'!$I$24:$I$112,B164)+COUNTIFS('2024'!$L$24:$L$112,A164&amp;" / "&amp;B164,'2024'!$I$24:$I$112,B164)+COUNTIFS('2025'!$L$24:$L$112,A164&amp;" / "&amp;B164,'2025'!$I$24:$I$112,B164)</x:f>
        <x:v>1</x:v>
      </x:c>
      <x:c r="F164" s="2" t="n">
        <x:f>COUNTIFS('2015'!$L$24:$L$96,A164&amp;" / "&amp;B164,'2015'!$K$24:$K$96,1)+COUNTIFS('2016'!$L$24:$L$96,A164&amp;" / "&amp;B164,'2016'!$K$24:$K$96,1)+COUNTIFS('2017'!$L$24:$L$106,A164&amp;" / "&amp;B164,'2017'!$K$24:$K$106,1)+COUNTIFS('2018'!$L$24:$L$106,A164&amp;" / "&amp;B164,'2018'!$K$24:$K$106,1)+COUNTIFS('2019'!$L$24:$L$106,A164&amp;" / "&amp;B164,'2019'!$K$24:$K$106,1)+COUNTIFS('2020'!$L$24:$L$106,A164&amp;" / "&amp;B164,'2020'!$K$24:$K$106,1)+COUNTIFS('2021'!$L$24:$L$112,A164&amp;" / "&amp;B164,'2021'!$K$24:$K$112,1)+COUNTIFS('2022'!$L$24:$L$112,A164&amp;" / "&amp;B164,'2022'!$K$24:$K$112,1)+COUNTIFS('2023'!$L$24:$L$112,A164&amp;" / "&amp;B164,'2023'!$K$24:$K$112,1)+COUNTIFS('2024'!$L$24:$L$112,A164&amp;" / "&amp;B164,'2024'!$K$24:$K$112,1)+COUNTIFS('2025'!$L$24:$L$112,A164&amp;" / "&amp;B164,'2025'!$K$24:$K$112,1)</x:f>
        <x:v>0</x:v>
      </x:c>
      <x:c r="G164" s="25" t="n">
        <x:f>SUMIFS('2015'!$E$24:$E$96,'2015'!$L$24:$L$96,A164&amp;" / "&amp;B164,'2015'!$C$24:$C$96,A164)+SUMIFS('2015'!$H$24:$H$96,'2015'!$L$24:$L$96,A164&amp;" / "&amp;B164,'2015'!$F$24:$F$96,A164)+SUMIFS('2016'!$E$24:$E$96,'2016'!$L$24:$L$96,A164&amp;" / "&amp;B164,'2016'!$C$24:$C$96,A164)+SUMIFS('2016'!$H$24:$H$96,'2016'!$L$24:$L$96,A164&amp;" / "&amp;B164,'2016'!$F$24:$F$96,A164)+SUMIFS('2017'!$E$24:$E$106,'2017'!$L$24:$L$106,A164&amp;" / "&amp;B164,'2017'!$C$24:$C$106,A164)+SUMIFS('2017'!$H$24:$H$106,'2017'!$L$24:$L$106,A164&amp;" / "&amp;B164,'2017'!$F$24:$F$106,A164)+SUMIFS('2018'!$E$24:$E$106,'2018'!$L$24:$L$106,A164&amp;" / "&amp;B164,'2018'!$C$24:$C$106,A164)+SUMIFS('2018'!$H$24:$H$106,'2018'!$L$24:$L$106,A164&amp;" / "&amp;B164,'2018'!$F$24:$F$106,A164)+SUMIFS('2019'!$E$24:$E$106,'2019'!$L$24:$L$106,A164&amp;" / "&amp;B164,'2019'!$C$24:$C$106,A164)+SUMIFS('2019'!$H$24:$H$106,'2019'!$L$24:$L$106,A164&amp;" / "&amp;B164,'2019'!$F$24:$F$106,A164)+SUMIFS('2020'!$E$24:$E$106,'2020'!$L$24:$L$106,A164&amp;" / "&amp;B164,'2020'!$C$24:$C$106,A164)+SUMIFS('2020'!$H$24:$H$106,'2020'!$L$24:$L$106,A164&amp;" / "&amp;B164,'2020'!$F$24:$F$106,A164)+SUMIFS('2021'!$E$24:$E$112,'2021'!$L$24:$L$112,A164&amp;" / "&amp;B164,'2021'!$C$24:$C$112,A164)+SUMIFS('2021'!$H$24:$H$112,'2021'!$L$24:$L$112,A164&amp;" / "&amp;B164,'2021'!$F$24:$F$112,A164)+SUMIFS('2022'!$E$24:$E$112,'2022'!$L$24:$L$112,A164&amp;" / "&amp;B164,'2022'!$C$24:$C$112,A164)+SUMIFS('2022'!$H$24:$H$112,'2022'!$L$24:$L$112,A164&amp;" / "&amp;B164,'2022'!$F$24:$F$112,A164)+SUMIFS('2023'!$E$24:$E$112,'2023'!$L$24:$L$112,A164&amp;" / "&amp;B164,'2023'!$C$24:$C$112,A164)+SUMIFS('2023'!$H$24:$H$112,'2023'!$L$24:$L$112,A164&amp;" / "&amp;B164,'2023'!$F$24:$F$112,A164)+SUMIFS('2024'!$E$24:$E$112,'2024'!$L$24:$L$112,A164&amp;" / "&amp;B164,'2024'!$C$24:$C$112,A164)+SUMIFS('2024'!$H$24:$H$112,'2024'!$L$24:$L$112,A164&amp;" / "&amp;B164,'2024'!$F$24:$F$112,A164)+SUMIFS('2025'!$E$24:$E$112,'2025'!$L$24:$L$112,A164&amp;" / "&amp;B164,'2025'!$C$24:$C$112,A164)+SUMIFS('2025'!$H$24:$H$112,'2025'!$L$24:$L$112,A164&amp;" / "&amp;B164,'2025'!$F$24:$F$112,A164)</x:f>
        <x:v>287</x:v>
      </x:c>
      <x:c r="H164" s="25" t="n">
        <x:f>SUMIFS('2015'!$E$24:$E$96,'2015'!$L$24:$L$96,A164&amp;" / "&amp;B164,'2015'!$C$24:$C$96,B164)+SUMIFS('2015'!$H$24:$H$96,'2015'!$L$24:$L$96,A164&amp;" / "&amp;B164,'2015'!$F$24:$F$96,B164)+SUMIFS('2016'!$E$24:$E$96,'2016'!$L$24:$L$96,A164&amp;" / "&amp;B164,'2016'!$C$24:$C$96,B164)+SUMIFS('2016'!$H$24:$H$96,'2016'!$L$24:$L$96,A164&amp;" / "&amp;B164,'2016'!$F$24:$F$96,B164)+SUMIFS('2017'!$E$24:$E$106,'2017'!$L$24:$L$106,A164&amp;" / "&amp;B164,'2017'!$C$24:$C$106,B164)+SUMIFS('2017'!$H$24:$H$106,'2017'!$L$24:$L$106,A164&amp;" / "&amp;B164,'2017'!$F$24:$F$106,B164)+SUMIFS('2018'!$E$24:$E$106,'2018'!$L$24:$L$106,A164&amp;" / "&amp;B164,'2018'!$C$24:$C$106,B164)+SUMIFS('2018'!$H$24:$H$106,'2018'!$L$24:$L$106,A164&amp;" / "&amp;B164,'2018'!$F$24:$F$106,B164)+SUMIFS('2019'!$E$24:$E$106,'2019'!$L$24:$L$106,A164&amp;" / "&amp;B164,'2019'!$C$24:$C$106,B164)+SUMIFS('2019'!$H$24:$H$106,'2019'!$L$24:$L$106,A164&amp;" / "&amp;B164,'2019'!$F$24:$F$106,B164)+SUMIFS('2020'!$E$24:$E$106,'2020'!$L$24:$L$106,A164&amp;" / "&amp;B164,'2020'!$C$24:$C$106,B164)+SUMIFS('2020'!$H$24:$H$106,'2020'!$L$24:$L$106,A164&amp;" / "&amp;B164,'2020'!$F$24:$F$106,B164)+SUMIFS('2021'!$E$24:$E$112,'2021'!$L$24:$L$112,A164&amp;" / "&amp;B164,'2021'!$C$24:$C$112,B164)+SUMIFS('2021'!$H$24:$H$112,'2021'!$L$24:$L$112,A164&amp;" / "&amp;B164,'2021'!$F$24:$F$112,B164)+SUMIFS('2022'!$E$24:$E$112,'2022'!$L$24:$L$112,A164&amp;" / "&amp;B164,'2022'!$C$24:$C$112,B164)+SUMIFS('2022'!$H$24:$H$112,'2022'!$L$24:$L$112,A164&amp;" / "&amp;B164,'2022'!$F$24:$F$112,B164)+SUMIFS('2023'!$E$24:$E$112,'2023'!$L$24:$L$112,A164&amp;" / "&amp;B164,'2023'!$C$24:$C$112,B164)+SUMIFS('2023'!$H$24:$H$112,'2023'!$L$24:$L$112,A164&amp;" / "&amp;B164,'2023'!$F$24:$F$112,B164)+SUMIFS('2024'!$E$24:$E$112,'2024'!$L$24:$L$112,A164&amp;" / "&amp;B164,'2024'!$C$24:$C$112,B164)+SUMIFS('2024'!$H$24:$H$112,'2024'!$L$24:$L$112,A164&amp;" / "&amp;B164,'2024'!$F$24:$F$112,B164)+SUMIFS('2025'!$E$24:$E$112,'2025'!$L$24:$L$112,A164&amp;" / "&amp;B164,'2025'!$C$24:$C$112,B164)+SUMIFS('2025'!$H$24:$H$112,'2025'!$L$24:$L$112,A164&amp;" / "&amp;B164,'2025'!$F$24:$F$112,B164)</x:f>
        <x:v>285.75</x:v>
      </x:c>
      <x:c r="I164" s="11" t="n">
        <x:f>IF(C164=0,0,(D164+0.5*F164)/C164)</x:f>
        <x:v>0.5</x:v>
      </x:c>
      <x:c r="J164" s="2" t="n">
        <x:f>COUNTIFS('2015'!$L$24:$L$96,A164&amp;" / "&amp;B164,'2015'!$B$24:$B$96,"Regular")+COUNTIFS('2016'!$L$24:$L$96,A164&amp;" / "&amp;B164,'2016'!$B$24:$B$96,"Regular")+COUNTIFS('2017'!$L$24:$L$106,A164&amp;" / "&amp;B164,'2017'!$B$24:$B$106,"Regular")+COUNTIFS('2018'!$L$24:$L$106,A164&amp;" / "&amp;B164,'2018'!$B$24:$B$106,"Regular")+COUNTIFS('2019'!$L$24:$L$106,A164&amp;" / "&amp;B164,'2019'!$B$24:$B$106,"Regular")+COUNTIFS('2020'!$L$24:$L$106,A164&amp;" / "&amp;B164,'2020'!$B$24:$B$106,"Regular")+COUNTIFS('2021'!$L$24:$L$112,A164&amp;" / "&amp;B164,'2021'!$B$24:$B$112,"Regular")+COUNTIFS('2022'!$L$24:$L$112,A164&amp;" / "&amp;B164,'2022'!$B$24:$B$112,"Regular")+COUNTIFS('2023'!$L$24:$L$112,A164&amp;" / "&amp;B164,'2023'!$B$24:$B$112,"Regular")+COUNTIFS('2024'!$L$24:$L$112,A164&amp;" / "&amp;B164,'2024'!$B$24:$B$112,"Regular")+COUNTIFS('2025'!$L$24:$L$112,A164&amp;" / "&amp;B164,'2025'!$B$24:$B$112,"Regular")</x:f>
        <x:v>2</x:v>
      </x:c>
      <x:c r="K164" s="2" t="n">
        <x:f>COUNTIFS('2015'!$L$24:$L$96,A164&amp;" / "&amp;B164,'2015'!$B$24:$B$96,"Playoffs")+COUNTIFS('2016'!$L$24:$L$96,A164&amp;" / "&amp;B164,'2016'!$B$24:$B$96,"Playoffs")+COUNTIFS('2017'!$L$24:$L$106,A164&amp;" / "&amp;B164,'2017'!$B$24:$B$106,"Playoffs")+COUNTIFS('2018'!$L$24:$L$106,A164&amp;" / "&amp;B164,'2018'!$B$24:$B$106,"Playoffs")+COUNTIFS('2019'!$L$24:$L$106,A164&amp;" / "&amp;B164,'2019'!$B$24:$B$106,"Playoffs")+COUNTIFS('2020'!$L$24:$L$106,A164&amp;" / "&amp;B164,'2020'!$B$24:$B$106,"Playoffs")+COUNTIFS('2021'!$L$24:$L$112,A164&amp;" / "&amp;B164,'2021'!$B$24:$B$112,"Playoffs")+COUNTIFS('2022'!$L$24:$L$112,A164&amp;" / "&amp;B164,'2022'!$B$24:$B$112,"Playoffs")+COUNTIFS('2023'!$L$24:$L$112,A164&amp;" / "&amp;B164,'2023'!$B$24:$B$112,"Playoffs")+COUNTIFS('2024'!$L$24:$L$112,A164&amp;" / "&amp;B164,'2024'!$B$24:$B$112,"Playoffs")+COUNTIFS('2025'!$L$24:$L$112,A164&amp;" / "&amp;B164,'2025'!$B$24:$B$112,"Playoffs")</x:f>
        <x:v>0</x:v>
      </x:c>
      <x:c r="L164" s="2" t="n">
        <x:f>COUNTIFS('2015'!$L$24:$L$96,A164&amp;" / "&amp;B164,'2015'!$B$24:$B$96,"Unconfirmed")+COUNTIFS('2016'!$L$24:$L$96,A164&amp;" / "&amp;B164,'2016'!$B$24:$B$96,"Unconfirmed")+COUNTIFS('2017'!$L$24:$L$106,A164&amp;" / "&amp;B164,'2017'!$B$24:$B$106,"Unconfirmed")+COUNTIFS('2018'!$L$24:$L$106,A164&amp;" / "&amp;B164,'2018'!$B$24:$B$106,"Unconfirmed")+COUNTIFS('2019'!$L$24:$L$106,A164&amp;" / "&amp;B164,'2019'!$B$24:$B$106,"Unconfirmed")+COUNTIFS('2020'!$L$24:$L$106,A164&amp;" / "&amp;B164,'2020'!$B$24:$B$106,"Unconfirmed")+COUNTIFS('2021'!$L$24:$L$112,A164&amp;" / "&amp;B164,'2021'!$B$24:$B$112,"Unconfirmed")+COUNTIFS('2022'!$L$24:$L$112,A164&amp;" / "&amp;B164,'2022'!$B$24:$B$112,"Unconfirmed")+COUNTIFS('2023'!$L$24:$L$112,A164&amp;" / "&amp;B164,'2023'!$B$24:$B$112,"Unconfirmed")+COUNTIFS('2024'!$L$24:$L$112,A164&amp;" / "&amp;B164,'2024'!$B$24:$B$112,"Unconfirmed")+COUNTIFS('2025'!$L$24:$L$112,A164&amp;" / "&amp;B164,'2025'!$B$24:$B$112,"Unconfirmed")</x:f>
        <x:v>0</x:v>
      </x:c>
    </x:row>
    <x:row r="165" ht="22" customHeight="1">
      <x:c r="A165" s="2" t="str">
        <x:v>Nick</x:v>
      </x:c>
      <x:c r="B165" s="2" t="str">
        <x:v>Ryan</x:v>
      </x:c>
      <x:c r="C165" s="2" t="n">
        <x:f>COUNTIFS('2015'!$L$24:$L$96,A165&amp;" / "&amp;B165)+COUNTIFS('2016'!$L$24:$L$96,A165&amp;" / "&amp;B165)+COUNTIFS('2017'!$L$24:$L$106,A165&amp;" / "&amp;B165)+COUNTIFS('2018'!$L$24:$L$106,A165&amp;" / "&amp;B165)+COUNTIFS('2019'!$L$24:$L$106,A165&amp;" / "&amp;B165)+COUNTIFS('2020'!$L$24:$L$106,A165&amp;" / "&amp;B165)+COUNTIFS('2021'!$L$24:$L$112,A165&amp;" / "&amp;B165)+COUNTIFS('2022'!$L$24:$L$112,A165&amp;" / "&amp;B165)+COUNTIFS('2023'!$L$24:$L$112,A165&amp;" / "&amp;B165)+COUNTIFS('2024'!$L$24:$L$112,A165&amp;" / "&amp;B165)+COUNTIFS('2025'!$L$24:$L$112,A165&amp;" / "&amp;B165)</x:f>
        <x:v>1</x:v>
      </x:c>
      <x:c r="D165" s="2" t="n">
        <x:f>COUNTIFS('2015'!$L$24:$L$96,A165&amp;" / "&amp;B165,'2015'!$I$24:$I$96,A165)+COUNTIFS('2016'!$L$24:$L$96,A165&amp;" / "&amp;B165,'2016'!$I$24:$I$96,A165)+COUNTIFS('2017'!$L$24:$L$106,A165&amp;" / "&amp;B165,'2017'!$I$24:$I$106,A165)+COUNTIFS('2018'!$L$24:$L$106,A165&amp;" / "&amp;B165,'2018'!$I$24:$I$106,A165)+COUNTIFS('2019'!$L$24:$L$106,A165&amp;" / "&amp;B165,'2019'!$I$24:$I$106,A165)+COUNTIFS('2020'!$L$24:$L$106,A165&amp;" / "&amp;B165,'2020'!$I$24:$I$106,A165)+COUNTIFS('2021'!$L$24:$L$112,A165&amp;" / "&amp;B165,'2021'!$I$24:$I$112,A165)+COUNTIFS('2022'!$L$24:$L$112,A165&amp;" / "&amp;B165,'2022'!$I$24:$I$112,A165)+COUNTIFS('2023'!$L$24:$L$112,A165&amp;" / "&amp;B165,'2023'!$I$24:$I$112,A165)+COUNTIFS('2024'!$L$24:$L$112,A165&amp;" / "&amp;B165,'2024'!$I$24:$I$112,A165)+COUNTIFS('2025'!$L$24:$L$112,A165&amp;" / "&amp;B165,'2025'!$I$24:$I$112,A165)</x:f>
        <x:v>1</x:v>
      </x:c>
      <x:c r="E165" s="2" t="n">
        <x:f>COUNTIFS('2015'!$L$24:$L$96,A165&amp;" / "&amp;B165,'2015'!$I$24:$I$96,B165)+COUNTIFS('2016'!$L$24:$L$96,A165&amp;" / "&amp;B165,'2016'!$I$24:$I$96,B165)+COUNTIFS('2017'!$L$24:$L$106,A165&amp;" / "&amp;B165,'2017'!$I$24:$I$106,B165)+COUNTIFS('2018'!$L$24:$L$106,A165&amp;" / "&amp;B165,'2018'!$I$24:$I$106,B165)+COUNTIFS('2019'!$L$24:$L$106,A165&amp;" / "&amp;B165,'2019'!$I$24:$I$106,B165)+COUNTIFS('2020'!$L$24:$L$106,A165&amp;" / "&amp;B165,'2020'!$I$24:$I$106,B165)+COUNTIFS('2021'!$L$24:$L$112,A165&amp;" / "&amp;B165,'2021'!$I$24:$I$112,B165)+COUNTIFS('2022'!$L$24:$L$112,A165&amp;" / "&amp;B165,'2022'!$I$24:$I$112,B165)+COUNTIFS('2023'!$L$24:$L$112,A165&amp;" / "&amp;B165,'2023'!$I$24:$I$112,B165)+COUNTIFS('2024'!$L$24:$L$112,A165&amp;" / "&amp;B165,'2024'!$I$24:$I$112,B165)+COUNTIFS('2025'!$L$24:$L$112,A165&amp;" / "&amp;B165,'2025'!$I$24:$I$112,B165)</x:f>
        <x:v>0</x:v>
      </x:c>
      <x:c r="F165" s="2" t="n">
        <x:f>COUNTIFS('2015'!$L$24:$L$96,A165&amp;" / "&amp;B165,'2015'!$K$24:$K$96,1)+COUNTIFS('2016'!$L$24:$L$96,A165&amp;" / "&amp;B165,'2016'!$K$24:$K$96,1)+COUNTIFS('2017'!$L$24:$L$106,A165&amp;" / "&amp;B165,'2017'!$K$24:$K$106,1)+COUNTIFS('2018'!$L$24:$L$106,A165&amp;" / "&amp;B165,'2018'!$K$24:$K$106,1)+COUNTIFS('2019'!$L$24:$L$106,A165&amp;" / "&amp;B165,'2019'!$K$24:$K$106,1)+COUNTIFS('2020'!$L$24:$L$106,A165&amp;" / "&amp;B165,'2020'!$K$24:$K$106,1)+COUNTIFS('2021'!$L$24:$L$112,A165&amp;" / "&amp;B165,'2021'!$K$24:$K$112,1)+COUNTIFS('2022'!$L$24:$L$112,A165&amp;" / "&amp;B165,'2022'!$K$24:$K$112,1)+COUNTIFS('2023'!$L$24:$L$112,A165&amp;" / "&amp;B165,'2023'!$K$24:$K$112,1)+COUNTIFS('2024'!$L$24:$L$112,A165&amp;" / "&amp;B165,'2024'!$K$24:$K$112,1)+COUNTIFS('2025'!$L$24:$L$112,A165&amp;" / "&amp;B165,'2025'!$K$24:$K$112,1)</x:f>
        <x:v>0</x:v>
      </x:c>
      <x:c r="G165" s="25" t="n">
        <x:f>SUMIFS('2015'!$E$24:$E$96,'2015'!$L$24:$L$96,A165&amp;" / "&amp;B165,'2015'!$C$24:$C$96,A165)+SUMIFS('2015'!$H$24:$H$96,'2015'!$L$24:$L$96,A165&amp;" / "&amp;B165,'2015'!$F$24:$F$96,A165)+SUMIFS('2016'!$E$24:$E$96,'2016'!$L$24:$L$96,A165&amp;" / "&amp;B165,'2016'!$C$24:$C$96,A165)+SUMIFS('2016'!$H$24:$H$96,'2016'!$L$24:$L$96,A165&amp;" / "&amp;B165,'2016'!$F$24:$F$96,A165)+SUMIFS('2017'!$E$24:$E$106,'2017'!$L$24:$L$106,A165&amp;" / "&amp;B165,'2017'!$C$24:$C$106,A165)+SUMIFS('2017'!$H$24:$H$106,'2017'!$L$24:$L$106,A165&amp;" / "&amp;B165,'2017'!$F$24:$F$106,A165)+SUMIFS('2018'!$E$24:$E$106,'2018'!$L$24:$L$106,A165&amp;" / "&amp;B165,'2018'!$C$24:$C$106,A165)+SUMIFS('2018'!$H$24:$H$106,'2018'!$L$24:$L$106,A165&amp;" / "&amp;B165,'2018'!$F$24:$F$106,A165)+SUMIFS('2019'!$E$24:$E$106,'2019'!$L$24:$L$106,A165&amp;" / "&amp;B165,'2019'!$C$24:$C$106,A165)+SUMIFS('2019'!$H$24:$H$106,'2019'!$L$24:$L$106,A165&amp;" / "&amp;B165,'2019'!$F$24:$F$106,A165)+SUMIFS('2020'!$E$24:$E$106,'2020'!$L$24:$L$106,A165&amp;" / "&amp;B165,'2020'!$C$24:$C$106,A165)+SUMIFS('2020'!$H$24:$H$106,'2020'!$L$24:$L$106,A165&amp;" / "&amp;B165,'2020'!$F$24:$F$106,A165)+SUMIFS('2021'!$E$24:$E$112,'2021'!$L$24:$L$112,A165&amp;" / "&amp;B165,'2021'!$C$24:$C$112,A165)+SUMIFS('2021'!$H$24:$H$112,'2021'!$L$24:$L$112,A165&amp;" / "&amp;B165,'2021'!$F$24:$F$112,A165)+SUMIFS('2022'!$E$24:$E$112,'2022'!$L$24:$L$112,A165&amp;" / "&amp;B165,'2022'!$C$24:$C$112,A165)+SUMIFS('2022'!$H$24:$H$112,'2022'!$L$24:$L$112,A165&amp;" / "&amp;B165,'2022'!$F$24:$F$112,A165)+SUMIFS('2023'!$E$24:$E$112,'2023'!$L$24:$L$112,A165&amp;" / "&amp;B165,'2023'!$C$24:$C$112,A165)+SUMIFS('2023'!$H$24:$H$112,'2023'!$L$24:$L$112,A165&amp;" / "&amp;B165,'2023'!$F$24:$F$112,A165)+SUMIFS('2024'!$E$24:$E$112,'2024'!$L$24:$L$112,A165&amp;" / "&amp;B165,'2024'!$C$24:$C$112,A165)+SUMIFS('2024'!$H$24:$H$112,'2024'!$L$24:$L$112,A165&amp;" / "&amp;B165,'2024'!$F$24:$F$112,A165)+SUMIFS('2025'!$E$24:$E$112,'2025'!$L$24:$L$112,A165&amp;" / "&amp;B165,'2025'!$C$24:$C$112,A165)+SUMIFS('2025'!$H$24:$H$112,'2025'!$L$24:$L$112,A165&amp;" / "&amp;B165,'2025'!$F$24:$F$112,A165)</x:f>
        <x:v>126.55</x:v>
      </x:c>
      <x:c r="H165" s="25" t="n">
        <x:f>SUMIFS('2015'!$E$24:$E$96,'2015'!$L$24:$L$96,A165&amp;" / "&amp;B165,'2015'!$C$24:$C$96,B165)+SUMIFS('2015'!$H$24:$H$96,'2015'!$L$24:$L$96,A165&amp;" / "&amp;B165,'2015'!$F$24:$F$96,B165)+SUMIFS('2016'!$E$24:$E$96,'2016'!$L$24:$L$96,A165&amp;" / "&amp;B165,'2016'!$C$24:$C$96,B165)+SUMIFS('2016'!$H$24:$H$96,'2016'!$L$24:$L$96,A165&amp;" / "&amp;B165,'2016'!$F$24:$F$96,B165)+SUMIFS('2017'!$E$24:$E$106,'2017'!$L$24:$L$106,A165&amp;" / "&amp;B165,'2017'!$C$24:$C$106,B165)+SUMIFS('2017'!$H$24:$H$106,'2017'!$L$24:$L$106,A165&amp;" / "&amp;B165,'2017'!$F$24:$F$106,B165)+SUMIFS('2018'!$E$24:$E$106,'2018'!$L$24:$L$106,A165&amp;" / "&amp;B165,'2018'!$C$24:$C$106,B165)+SUMIFS('2018'!$H$24:$H$106,'2018'!$L$24:$L$106,A165&amp;" / "&amp;B165,'2018'!$F$24:$F$106,B165)+SUMIFS('2019'!$E$24:$E$106,'2019'!$L$24:$L$106,A165&amp;" / "&amp;B165,'2019'!$C$24:$C$106,B165)+SUMIFS('2019'!$H$24:$H$106,'2019'!$L$24:$L$106,A165&amp;" / "&amp;B165,'2019'!$F$24:$F$106,B165)+SUMIFS('2020'!$E$24:$E$106,'2020'!$L$24:$L$106,A165&amp;" / "&amp;B165,'2020'!$C$24:$C$106,B165)+SUMIFS('2020'!$H$24:$H$106,'2020'!$L$24:$L$106,A165&amp;" / "&amp;B165,'2020'!$F$24:$F$106,B165)+SUMIFS('2021'!$E$24:$E$112,'2021'!$L$24:$L$112,A165&amp;" / "&amp;B165,'2021'!$C$24:$C$112,B165)+SUMIFS('2021'!$H$24:$H$112,'2021'!$L$24:$L$112,A165&amp;" / "&amp;B165,'2021'!$F$24:$F$112,B165)+SUMIFS('2022'!$E$24:$E$112,'2022'!$L$24:$L$112,A165&amp;" / "&amp;B165,'2022'!$C$24:$C$112,B165)+SUMIFS('2022'!$H$24:$H$112,'2022'!$L$24:$L$112,A165&amp;" / "&amp;B165,'2022'!$F$24:$F$112,B165)+SUMIFS('2023'!$E$24:$E$112,'2023'!$L$24:$L$112,A165&amp;" / "&amp;B165,'2023'!$C$24:$C$112,B165)+SUMIFS('2023'!$H$24:$H$112,'2023'!$L$24:$L$112,A165&amp;" / "&amp;B165,'2023'!$F$24:$F$112,B165)+SUMIFS('2024'!$E$24:$E$112,'2024'!$L$24:$L$112,A165&amp;" / "&amp;B165,'2024'!$C$24:$C$112,B165)+SUMIFS('2024'!$H$24:$H$112,'2024'!$L$24:$L$112,A165&amp;" / "&amp;B165,'2024'!$F$24:$F$112,B165)+SUMIFS('2025'!$E$24:$E$112,'2025'!$L$24:$L$112,A165&amp;" / "&amp;B165,'2025'!$C$24:$C$112,B165)+SUMIFS('2025'!$H$24:$H$112,'2025'!$L$24:$L$112,A165&amp;" / "&amp;B165,'2025'!$F$24:$F$112,B165)</x:f>
        <x:v>123.95</x:v>
      </x:c>
      <x:c r="I165" s="11" t="n">
        <x:f>IF(C165=0,0,(D165+0.5*F165)/C165)</x:f>
        <x:v>1</x:v>
      </x:c>
      <x:c r="J165" s="2" t="n">
        <x:f>COUNTIFS('2015'!$L$24:$L$96,A165&amp;" / "&amp;B165,'2015'!$B$24:$B$96,"Regular")+COUNTIFS('2016'!$L$24:$L$96,A165&amp;" / "&amp;B165,'2016'!$B$24:$B$96,"Regular")+COUNTIFS('2017'!$L$24:$L$106,A165&amp;" / "&amp;B165,'2017'!$B$24:$B$106,"Regular")+COUNTIFS('2018'!$L$24:$L$106,A165&amp;" / "&amp;B165,'2018'!$B$24:$B$106,"Regular")+COUNTIFS('2019'!$L$24:$L$106,A165&amp;" / "&amp;B165,'2019'!$B$24:$B$106,"Regular")+COUNTIFS('2020'!$L$24:$L$106,A165&amp;" / "&amp;B165,'2020'!$B$24:$B$106,"Regular")+COUNTIFS('2021'!$L$24:$L$112,A165&amp;" / "&amp;B165,'2021'!$B$24:$B$112,"Regular")+COUNTIFS('2022'!$L$24:$L$112,A165&amp;" / "&amp;B165,'2022'!$B$24:$B$112,"Regular")+COUNTIFS('2023'!$L$24:$L$112,A165&amp;" / "&amp;B165,'2023'!$B$24:$B$112,"Regular")+COUNTIFS('2024'!$L$24:$L$112,A165&amp;" / "&amp;B165,'2024'!$B$24:$B$112,"Regular")+COUNTIFS('2025'!$L$24:$L$112,A165&amp;" / "&amp;B165,'2025'!$B$24:$B$112,"Regular")</x:f>
        <x:v>1</x:v>
      </x:c>
      <x:c r="K165" s="2" t="n">
        <x:f>COUNTIFS('2015'!$L$24:$L$96,A165&amp;" / "&amp;B165,'2015'!$B$24:$B$96,"Playoffs")+COUNTIFS('2016'!$L$24:$L$96,A165&amp;" / "&amp;B165,'2016'!$B$24:$B$96,"Playoffs")+COUNTIFS('2017'!$L$24:$L$106,A165&amp;" / "&amp;B165,'2017'!$B$24:$B$106,"Playoffs")+COUNTIFS('2018'!$L$24:$L$106,A165&amp;" / "&amp;B165,'2018'!$B$24:$B$106,"Playoffs")+COUNTIFS('2019'!$L$24:$L$106,A165&amp;" / "&amp;B165,'2019'!$B$24:$B$106,"Playoffs")+COUNTIFS('2020'!$L$24:$L$106,A165&amp;" / "&amp;B165,'2020'!$B$24:$B$106,"Playoffs")+COUNTIFS('2021'!$L$24:$L$112,A165&amp;" / "&amp;B165,'2021'!$B$24:$B$112,"Playoffs")+COUNTIFS('2022'!$L$24:$L$112,A165&amp;" / "&amp;B165,'2022'!$B$24:$B$112,"Playoffs")+COUNTIFS('2023'!$L$24:$L$112,A165&amp;" / "&amp;B165,'2023'!$B$24:$B$112,"Playoffs")+COUNTIFS('2024'!$L$24:$L$112,A165&amp;" / "&amp;B165,'2024'!$B$24:$B$112,"Playoffs")+COUNTIFS('2025'!$L$24:$L$112,A165&amp;" / "&amp;B165,'2025'!$B$24:$B$112,"Playoffs")</x:f>
        <x:v>0</x:v>
      </x:c>
      <x:c r="L165" s="2" t="n">
        <x:f>COUNTIFS('2015'!$L$24:$L$96,A165&amp;" / "&amp;B165,'2015'!$B$24:$B$96,"Unconfirmed")+COUNTIFS('2016'!$L$24:$L$96,A165&amp;" / "&amp;B165,'2016'!$B$24:$B$96,"Unconfirmed")+COUNTIFS('2017'!$L$24:$L$106,A165&amp;" / "&amp;B165,'2017'!$B$24:$B$106,"Unconfirmed")+COUNTIFS('2018'!$L$24:$L$106,A165&amp;" / "&amp;B165,'2018'!$B$24:$B$106,"Unconfirmed")+COUNTIFS('2019'!$L$24:$L$106,A165&amp;" / "&amp;B165,'2019'!$B$24:$B$106,"Unconfirmed")+COUNTIFS('2020'!$L$24:$L$106,A165&amp;" / "&amp;B165,'2020'!$B$24:$B$106,"Unconfirmed")+COUNTIFS('2021'!$L$24:$L$112,A165&amp;" / "&amp;B165,'2021'!$B$24:$B$112,"Unconfirmed")+COUNTIFS('2022'!$L$24:$L$112,A165&amp;" / "&amp;B165,'2022'!$B$24:$B$112,"Unconfirmed")+COUNTIFS('2023'!$L$24:$L$112,A165&amp;" / "&amp;B165,'2023'!$B$24:$B$112,"Unconfirmed")+COUNTIFS('2024'!$L$24:$L$112,A165&amp;" / "&amp;B165,'2024'!$B$24:$B$112,"Unconfirmed")+COUNTIFS('2025'!$L$24:$L$112,A165&amp;" / "&amp;B165,'2025'!$B$24:$B$112,"Unconfirmed")</x:f>
        <x:v>0</x:v>
      </x:c>
    </x:row>
    <x:row r="166" ht="22" customHeight="1">
      <x:c r="A166" s="2" t="str">
        <x:v>Paul</x:v>
      </x:c>
      <x:c r="B166" s="2" t="str">
        <x:v>Poker Dude</x:v>
      </x:c>
      <x:c r="C166" s="2" t="n">
        <x:f>COUNTIFS('2015'!$L$24:$L$96,A166&amp;" / "&amp;B166)+COUNTIFS('2016'!$L$24:$L$96,A166&amp;" / "&amp;B166)+COUNTIFS('2017'!$L$24:$L$106,A166&amp;" / "&amp;B166)+COUNTIFS('2018'!$L$24:$L$106,A166&amp;" / "&amp;B166)+COUNTIFS('2019'!$L$24:$L$106,A166&amp;" / "&amp;B166)+COUNTIFS('2020'!$L$24:$L$106,A166&amp;" / "&amp;B166)+COUNTIFS('2021'!$L$24:$L$112,A166&amp;" / "&amp;B166)+COUNTIFS('2022'!$L$24:$L$112,A166&amp;" / "&amp;B166)+COUNTIFS('2023'!$L$24:$L$112,A166&amp;" / "&amp;B166)+COUNTIFS('2024'!$L$24:$L$112,A166&amp;" / "&amp;B166)+COUNTIFS('2025'!$L$24:$L$112,A166&amp;" / "&amp;B166)</x:f>
        <x:v>7</x:v>
      </x:c>
      <x:c r="D166" s="2" t="n">
        <x:f>COUNTIFS('2015'!$L$24:$L$96,A166&amp;" / "&amp;B166,'2015'!$I$24:$I$96,A166)+COUNTIFS('2016'!$L$24:$L$96,A166&amp;" / "&amp;B166,'2016'!$I$24:$I$96,A166)+COUNTIFS('2017'!$L$24:$L$106,A166&amp;" / "&amp;B166,'2017'!$I$24:$I$106,A166)+COUNTIFS('2018'!$L$24:$L$106,A166&amp;" / "&amp;B166,'2018'!$I$24:$I$106,A166)+COUNTIFS('2019'!$L$24:$L$106,A166&amp;" / "&amp;B166,'2019'!$I$24:$I$106,A166)+COUNTIFS('2020'!$L$24:$L$106,A166&amp;" / "&amp;B166,'2020'!$I$24:$I$106,A166)+COUNTIFS('2021'!$L$24:$L$112,A166&amp;" / "&amp;B166,'2021'!$I$24:$I$112,A166)+COUNTIFS('2022'!$L$24:$L$112,A166&amp;" / "&amp;B166,'2022'!$I$24:$I$112,A166)+COUNTIFS('2023'!$L$24:$L$112,A166&amp;" / "&amp;B166,'2023'!$I$24:$I$112,A166)+COUNTIFS('2024'!$L$24:$L$112,A166&amp;" / "&amp;B166,'2024'!$I$24:$I$112,A166)+COUNTIFS('2025'!$L$24:$L$112,A166&amp;" / "&amp;B166,'2025'!$I$24:$I$112,A166)</x:f>
        <x:v>2</x:v>
      </x:c>
      <x:c r="E166" s="2" t="n">
        <x:f>COUNTIFS('2015'!$L$24:$L$96,A166&amp;" / "&amp;B166,'2015'!$I$24:$I$96,B166)+COUNTIFS('2016'!$L$24:$L$96,A166&amp;" / "&amp;B166,'2016'!$I$24:$I$96,B166)+COUNTIFS('2017'!$L$24:$L$106,A166&amp;" / "&amp;B166,'2017'!$I$24:$I$106,B166)+COUNTIFS('2018'!$L$24:$L$106,A166&amp;" / "&amp;B166,'2018'!$I$24:$I$106,B166)+COUNTIFS('2019'!$L$24:$L$106,A166&amp;" / "&amp;B166,'2019'!$I$24:$I$106,B166)+COUNTIFS('2020'!$L$24:$L$106,A166&amp;" / "&amp;B166,'2020'!$I$24:$I$106,B166)+COUNTIFS('2021'!$L$24:$L$112,A166&amp;" / "&amp;B166,'2021'!$I$24:$I$112,B166)+COUNTIFS('2022'!$L$24:$L$112,A166&amp;" / "&amp;B166,'2022'!$I$24:$I$112,B166)+COUNTIFS('2023'!$L$24:$L$112,A166&amp;" / "&amp;B166,'2023'!$I$24:$I$112,B166)+COUNTIFS('2024'!$L$24:$L$112,A166&amp;" / "&amp;B166,'2024'!$I$24:$I$112,B166)+COUNTIFS('2025'!$L$24:$L$112,A166&amp;" / "&amp;B166,'2025'!$I$24:$I$112,B166)</x:f>
        <x:v>5</x:v>
      </x:c>
      <x:c r="F166" s="2" t="n">
        <x:f>COUNTIFS('2015'!$L$24:$L$96,A166&amp;" / "&amp;B166,'2015'!$K$24:$K$96,1)+COUNTIFS('2016'!$L$24:$L$96,A166&amp;" / "&amp;B166,'2016'!$K$24:$K$96,1)+COUNTIFS('2017'!$L$24:$L$106,A166&amp;" / "&amp;B166,'2017'!$K$24:$K$106,1)+COUNTIFS('2018'!$L$24:$L$106,A166&amp;" / "&amp;B166,'2018'!$K$24:$K$106,1)+COUNTIFS('2019'!$L$24:$L$106,A166&amp;" / "&amp;B166,'2019'!$K$24:$K$106,1)+COUNTIFS('2020'!$L$24:$L$106,A166&amp;" / "&amp;B166,'2020'!$K$24:$K$106,1)+COUNTIFS('2021'!$L$24:$L$112,A166&amp;" / "&amp;B166,'2021'!$K$24:$K$112,1)+COUNTIFS('2022'!$L$24:$L$112,A166&amp;" / "&amp;B166,'2022'!$K$24:$K$112,1)+COUNTIFS('2023'!$L$24:$L$112,A166&amp;" / "&amp;B166,'2023'!$K$24:$K$112,1)+COUNTIFS('2024'!$L$24:$L$112,A166&amp;" / "&amp;B166,'2024'!$K$24:$K$112,1)+COUNTIFS('2025'!$L$24:$L$112,A166&amp;" / "&amp;B166,'2025'!$K$24:$K$112,1)</x:f>
        <x:v>0</x:v>
      </x:c>
      <x:c r="G166" s="25" t="n">
        <x:f>SUMIFS('2015'!$E$24:$E$96,'2015'!$L$24:$L$96,A166&amp;" / "&amp;B166,'2015'!$C$24:$C$96,A166)+SUMIFS('2015'!$H$24:$H$96,'2015'!$L$24:$L$96,A166&amp;" / "&amp;B166,'2015'!$F$24:$F$96,A166)+SUMIFS('2016'!$E$24:$E$96,'2016'!$L$24:$L$96,A166&amp;" / "&amp;B166,'2016'!$C$24:$C$96,A166)+SUMIFS('2016'!$H$24:$H$96,'2016'!$L$24:$L$96,A166&amp;" / "&amp;B166,'2016'!$F$24:$F$96,A166)+SUMIFS('2017'!$E$24:$E$106,'2017'!$L$24:$L$106,A166&amp;" / "&amp;B166,'2017'!$C$24:$C$106,A166)+SUMIFS('2017'!$H$24:$H$106,'2017'!$L$24:$L$106,A166&amp;" / "&amp;B166,'2017'!$F$24:$F$106,A166)+SUMIFS('2018'!$E$24:$E$106,'2018'!$L$24:$L$106,A166&amp;" / "&amp;B166,'2018'!$C$24:$C$106,A166)+SUMIFS('2018'!$H$24:$H$106,'2018'!$L$24:$L$106,A166&amp;" / "&amp;B166,'2018'!$F$24:$F$106,A166)+SUMIFS('2019'!$E$24:$E$106,'2019'!$L$24:$L$106,A166&amp;" / "&amp;B166,'2019'!$C$24:$C$106,A166)+SUMIFS('2019'!$H$24:$H$106,'2019'!$L$24:$L$106,A166&amp;" / "&amp;B166,'2019'!$F$24:$F$106,A166)+SUMIFS('2020'!$E$24:$E$106,'2020'!$L$24:$L$106,A166&amp;" / "&amp;B166,'2020'!$C$24:$C$106,A166)+SUMIFS('2020'!$H$24:$H$106,'2020'!$L$24:$L$106,A166&amp;" / "&amp;B166,'2020'!$F$24:$F$106,A166)+SUMIFS('2021'!$E$24:$E$112,'2021'!$L$24:$L$112,A166&amp;" / "&amp;B166,'2021'!$C$24:$C$112,A166)+SUMIFS('2021'!$H$24:$H$112,'2021'!$L$24:$L$112,A166&amp;" / "&amp;B166,'2021'!$F$24:$F$112,A166)+SUMIFS('2022'!$E$24:$E$112,'2022'!$L$24:$L$112,A166&amp;" / "&amp;B166,'2022'!$C$24:$C$112,A166)+SUMIFS('2022'!$H$24:$H$112,'2022'!$L$24:$L$112,A166&amp;" / "&amp;B166,'2022'!$F$24:$F$112,A166)+SUMIFS('2023'!$E$24:$E$112,'2023'!$L$24:$L$112,A166&amp;" / "&amp;B166,'2023'!$C$24:$C$112,A166)+SUMIFS('2023'!$H$24:$H$112,'2023'!$L$24:$L$112,A166&amp;" / "&amp;B166,'2023'!$F$24:$F$112,A166)+SUMIFS('2024'!$E$24:$E$112,'2024'!$L$24:$L$112,A166&amp;" / "&amp;B166,'2024'!$C$24:$C$112,A166)+SUMIFS('2024'!$H$24:$H$112,'2024'!$L$24:$L$112,A166&amp;" / "&amp;B166,'2024'!$F$24:$F$112,A166)+SUMIFS('2025'!$E$24:$E$112,'2025'!$L$24:$L$112,A166&amp;" / "&amp;B166,'2025'!$C$24:$C$112,A166)+SUMIFS('2025'!$H$24:$H$112,'2025'!$L$24:$L$112,A166&amp;" / "&amp;B166,'2025'!$F$24:$F$112,A166)</x:f>
        <x:v>818.3</x:v>
      </x:c>
      <x:c r="H166" s="25" t="n">
        <x:f>SUMIFS('2015'!$E$24:$E$96,'2015'!$L$24:$L$96,A166&amp;" / "&amp;B166,'2015'!$C$24:$C$96,B166)+SUMIFS('2015'!$H$24:$H$96,'2015'!$L$24:$L$96,A166&amp;" / "&amp;B166,'2015'!$F$24:$F$96,B166)+SUMIFS('2016'!$E$24:$E$96,'2016'!$L$24:$L$96,A166&amp;" / "&amp;B166,'2016'!$C$24:$C$96,B166)+SUMIFS('2016'!$H$24:$H$96,'2016'!$L$24:$L$96,A166&amp;" / "&amp;B166,'2016'!$F$24:$F$96,B166)+SUMIFS('2017'!$E$24:$E$106,'2017'!$L$24:$L$106,A166&amp;" / "&amp;B166,'2017'!$C$24:$C$106,B166)+SUMIFS('2017'!$H$24:$H$106,'2017'!$L$24:$L$106,A166&amp;" / "&amp;B166,'2017'!$F$24:$F$106,B166)+SUMIFS('2018'!$E$24:$E$106,'2018'!$L$24:$L$106,A166&amp;" / "&amp;B166,'2018'!$C$24:$C$106,B166)+SUMIFS('2018'!$H$24:$H$106,'2018'!$L$24:$L$106,A166&amp;" / "&amp;B166,'2018'!$F$24:$F$106,B166)+SUMIFS('2019'!$E$24:$E$106,'2019'!$L$24:$L$106,A166&amp;" / "&amp;B166,'2019'!$C$24:$C$106,B166)+SUMIFS('2019'!$H$24:$H$106,'2019'!$L$24:$L$106,A166&amp;" / "&amp;B166,'2019'!$F$24:$F$106,B166)+SUMIFS('2020'!$E$24:$E$106,'2020'!$L$24:$L$106,A166&amp;" / "&amp;B166,'2020'!$C$24:$C$106,B166)+SUMIFS('2020'!$H$24:$H$106,'2020'!$L$24:$L$106,A166&amp;" / "&amp;B166,'2020'!$F$24:$F$106,B166)+SUMIFS('2021'!$E$24:$E$112,'2021'!$L$24:$L$112,A166&amp;" / "&amp;B166,'2021'!$C$24:$C$112,B166)+SUMIFS('2021'!$H$24:$H$112,'2021'!$L$24:$L$112,A166&amp;" / "&amp;B166,'2021'!$F$24:$F$112,B166)+SUMIFS('2022'!$E$24:$E$112,'2022'!$L$24:$L$112,A166&amp;" / "&amp;B166,'2022'!$C$24:$C$112,B166)+SUMIFS('2022'!$H$24:$H$112,'2022'!$L$24:$L$112,A166&amp;" / "&amp;B166,'2022'!$F$24:$F$112,B166)+SUMIFS('2023'!$E$24:$E$112,'2023'!$L$24:$L$112,A166&amp;" / "&amp;B166,'2023'!$C$24:$C$112,B166)+SUMIFS('2023'!$H$24:$H$112,'2023'!$L$24:$L$112,A166&amp;" / "&amp;B166,'2023'!$F$24:$F$112,B166)+SUMIFS('2024'!$E$24:$E$112,'2024'!$L$24:$L$112,A166&amp;" / "&amp;B166,'2024'!$C$24:$C$112,B166)+SUMIFS('2024'!$H$24:$H$112,'2024'!$L$24:$L$112,A166&amp;" / "&amp;B166,'2024'!$F$24:$F$112,B166)+SUMIFS('2025'!$E$24:$E$112,'2025'!$L$24:$L$112,A166&amp;" / "&amp;B166,'2025'!$C$24:$C$112,B166)+SUMIFS('2025'!$H$24:$H$112,'2025'!$L$24:$L$112,A166&amp;" / "&amp;B166,'2025'!$F$24:$F$112,B166)</x:f>
        <x:v>948.55</x:v>
      </x:c>
      <x:c r="I166" s="11" t="n">
        <x:f>IF(C166=0,0,(D166+0.5*F166)/C166)</x:f>
        <x:v>0.2857142857142857</x:v>
      </x:c>
      <x:c r="J166" s="2" t="n">
        <x:f>COUNTIFS('2015'!$L$24:$L$96,A166&amp;" / "&amp;B166,'2015'!$B$24:$B$96,"Regular")+COUNTIFS('2016'!$L$24:$L$96,A166&amp;" / "&amp;B166,'2016'!$B$24:$B$96,"Regular")+COUNTIFS('2017'!$L$24:$L$106,A166&amp;" / "&amp;B166,'2017'!$B$24:$B$106,"Regular")+COUNTIFS('2018'!$L$24:$L$106,A166&amp;" / "&amp;B166,'2018'!$B$24:$B$106,"Regular")+COUNTIFS('2019'!$L$24:$L$106,A166&amp;" / "&amp;B166,'2019'!$B$24:$B$106,"Regular")+COUNTIFS('2020'!$L$24:$L$106,A166&amp;" / "&amp;B166,'2020'!$B$24:$B$106,"Regular")+COUNTIFS('2021'!$L$24:$L$112,A166&amp;" / "&amp;B166,'2021'!$B$24:$B$112,"Regular")+COUNTIFS('2022'!$L$24:$L$112,A166&amp;" / "&amp;B166,'2022'!$B$24:$B$112,"Regular")+COUNTIFS('2023'!$L$24:$L$112,A166&amp;" / "&amp;B166,'2023'!$B$24:$B$112,"Regular")+COUNTIFS('2024'!$L$24:$L$112,A166&amp;" / "&amp;B166,'2024'!$B$24:$B$112,"Regular")+COUNTIFS('2025'!$L$24:$L$112,A166&amp;" / "&amp;B166,'2025'!$B$24:$B$112,"Regular")</x:f>
        <x:v>5</x:v>
      </x:c>
      <x:c r="K166" s="2" t="n">
        <x:f>COUNTIFS('2015'!$L$24:$L$96,A166&amp;" / "&amp;B166,'2015'!$B$24:$B$96,"Playoffs")+COUNTIFS('2016'!$L$24:$L$96,A166&amp;" / "&amp;B166,'2016'!$B$24:$B$96,"Playoffs")+COUNTIFS('2017'!$L$24:$L$106,A166&amp;" / "&amp;B166,'2017'!$B$24:$B$106,"Playoffs")+COUNTIFS('2018'!$L$24:$L$106,A166&amp;" / "&amp;B166,'2018'!$B$24:$B$106,"Playoffs")+COUNTIFS('2019'!$L$24:$L$106,A166&amp;" / "&amp;B166,'2019'!$B$24:$B$106,"Playoffs")+COUNTIFS('2020'!$L$24:$L$106,A166&amp;" / "&amp;B166,'2020'!$B$24:$B$106,"Playoffs")+COUNTIFS('2021'!$L$24:$L$112,A166&amp;" / "&amp;B166,'2021'!$B$24:$B$112,"Playoffs")+COUNTIFS('2022'!$L$24:$L$112,A166&amp;" / "&amp;B166,'2022'!$B$24:$B$112,"Playoffs")+COUNTIFS('2023'!$L$24:$L$112,A166&amp;" / "&amp;B166,'2023'!$B$24:$B$112,"Playoffs")+COUNTIFS('2024'!$L$24:$L$112,A166&amp;" / "&amp;B166,'2024'!$B$24:$B$112,"Playoffs")+COUNTIFS('2025'!$L$24:$L$112,A166&amp;" / "&amp;B166,'2025'!$B$24:$B$112,"Playoffs")</x:f>
        <x:v>2</x:v>
      </x:c>
      <x:c r="L166" s="2" t="n">
        <x:f>COUNTIFS('2015'!$L$24:$L$96,A166&amp;" / "&amp;B166,'2015'!$B$24:$B$96,"Unconfirmed")+COUNTIFS('2016'!$L$24:$L$96,A166&amp;" / "&amp;B166,'2016'!$B$24:$B$96,"Unconfirmed")+COUNTIFS('2017'!$L$24:$L$106,A166&amp;" / "&amp;B166,'2017'!$B$24:$B$106,"Unconfirmed")+COUNTIFS('2018'!$L$24:$L$106,A166&amp;" / "&amp;B166,'2018'!$B$24:$B$106,"Unconfirmed")+COUNTIFS('2019'!$L$24:$L$106,A166&amp;" / "&amp;B166,'2019'!$B$24:$B$106,"Unconfirmed")+COUNTIFS('2020'!$L$24:$L$106,A166&amp;" / "&amp;B166,'2020'!$B$24:$B$106,"Unconfirmed")+COUNTIFS('2021'!$L$24:$L$112,A166&amp;" / "&amp;B166,'2021'!$B$24:$B$112,"Unconfirmed")+COUNTIFS('2022'!$L$24:$L$112,A166&amp;" / "&amp;B166,'2022'!$B$24:$B$112,"Unconfirmed")+COUNTIFS('2023'!$L$24:$L$112,A166&amp;" / "&amp;B166,'2023'!$B$24:$B$112,"Unconfirmed")+COUNTIFS('2024'!$L$24:$L$112,A166&amp;" / "&amp;B166,'2024'!$B$24:$B$112,"Unconfirmed")+COUNTIFS('2025'!$L$24:$L$112,A166&amp;" / "&amp;B166,'2025'!$B$24:$B$112,"Unconfirmed")</x:f>
        <x:v>0</x:v>
      </x:c>
    </x:row>
    <x:row r="167" ht="22" customHeight="1">
      <x:c r="A167" s="2" t="str">
        <x:v>Paul</x:v>
      </x:c>
      <x:c r="B167" s="2" t="str">
        <x:v>Taylor</x:v>
      </x:c>
      <x:c r="C167" s="2" t="n">
        <x:f>COUNTIFS('2015'!$L$24:$L$96,A167&amp;" / "&amp;B167)+COUNTIFS('2016'!$L$24:$L$96,A167&amp;" / "&amp;B167)+COUNTIFS('2017'!$L$24:$L$106,A167&amp;" / "&amp;B167)+COUNTIFS('2018'!$L$24:$L$106,A167&amp;" / "&amp;B167)+COUNTIFS('2019'!$L$24:$L$106,A167&amp;" / "&amp;B167)+COUNTIFS('2020'!$L$24:$L$106,A167&amp;" / "&amp;B167)+COUNTIFS('2021'!$L$24:$L$112,A167&amp;" / "&amp;B167)+COUNTIFS('2022'!$L$24:$L$112,A167&amp;" / "&amp;B167)+COUNTIFS('2023'!$L$24:$L$112,A167&amp;" / "&amp;B167)+COUNTIFS('2024'!$L$24:$L$112,A167&amp;" / "&amp;B167)+COUNTIFS('2025'!$L$24:$L$112,A167&amp;" / "&amp;B167)</x:f>
        <x:v>1</x:v>
      </x:c>
      <x:c r="D167" s="2" t="n">
        <x:f>COUNTIFS('2015'!$L$24:$L$96,A167&amp;" / "&amp;B167,'2015'!$I$24:$I$96,A167)+COUNTIFS('2016'!$L$24:$L$96,A167&amp;" / "&amp;B167,'2016'!$I$24:$I$96,A167)+COUNTIFS('2017'!$L$24:$L$106,A167&amp;" / "&amp;B167,'2017'!$I$24:$I$106,A167)+COUNTIFS('2018'!$L$24:$L$106,A167&amp;" / "&amp;B167,'2018'!$I$24:$I$106,A167)+COUNTIFS('2019'!$L$24:$L$106,A167&amp;" / "&amp;B167,'2019'!$I$24:$I$106,A167)+COUNTIFS('2020'!$L$24:$L$106,A167&amp;" / "&amp;B167,'2020'!$I$24:$I$106,A167)+COUNTIFS('2021'!$L$24:$L$112,A167&amp;" / "&amp;B167,'2021'!$I$24:$I$112,A167)+COUNTIFS('2022'!$L$24:$L$112,A167&amp;" / "&amp;B167,'2022'!$I$24:$I$112,A167)+COUNTIFS('2023'!$L$24:$L$112,A167&amp;" / "&amp;B167,'2023'!$I$24:$I$112,A167)+COUNTIFS('2024'!$L$24:$L$112,A167&amp;" / "&amp;B167,'2024'!$I$24:$I$112,A167)+COUNTIFS('2025'!$L$24:$L$112,A167&amp;" / "&amp;B167,'2025'!$I$24:$I$112,A167)</x:f>
        <x:v>0</x:v>
      </x:c>
      <x:c r="E167" s="2" t="n">
        <x:f>COUNTIFS('2015'!$L$24:$L$96,A167&amp;" / "&amp;B167,'2015'!$I$24:$I$96,B167)+COUNTIFS('2016'!$L$24:$L$96,A167&amp;" / "&amp;B167,'2016'!$I$24:$I$96,B167)+COUNTIFS('2017'!$L$24:$L$106,A167&amp;" / "&amp;B167,'2017'!$I$24:$I$106,B167)+COUNTIFS('2018'!$L$24:$L$106,A167&amp;" / "&amp;B167,'2018'!$I$24:$I$106,B167)+COUNTIFS('2019'!$L$24:$L$106,A167&amp;" / "&amp;B167,'2019'!$I$24:$I$106,B167)+COUNTIFS('2020'!$L$24:$L$106,A167&amp;" / "&amp;B167,'2020'!$I$24:$I$106,B167)+COUNTIFS('2021'!$L$24:$L$112,A167&amp;" / "&amp;B167,'2021'!$I$24:$I$112,B167)+COUNTIFS('2022'!$L$24:$L$112,A167&amp;" / "&amp;B167,'2022'!$I$24:$I$112,B167)+COUNTIFS('2023'!$L$24:$L$112,A167&amp;" / "&amp;B167,'2023'!$I$24:$I$112,B167)+COUNTIFS('2024'!$L$24:$L$112,A167&amp;" / "&amp;B167,'2024'!$I$24:$I$112,B167)+COUNTIFS('2025'!$L$24:$L$112,A167&amp;" / "&amp;B167,'2025'!$I$24:$I$112,B167)</x:f>
        <x:v>1</x:v>
      </x:c>
      <x:c r="F167" s="2" t="n">
        <x:f>COUNTIFS('2015'!$L$24:$L$96,A167&amp;" / "&amp;B167,'2015'!$K$24:$K$96,1)+COUNTIFS('2016'!$L$24:$L$96,A167&amp;" / "&amp;B167,'2016'!$K$24:$K$96,1)+COUNTIFS('2017'!$L$24:$L$106,A167&amp;" / "&amp;B167,'2017'!$K$24:$K$106,1)+COUNTIFS('2018'!$L$24:$L$106,A167&amp;" / "&amp;B167,'2018'!$K$24:$K$106,1)+COUNTIFS('2019'!$L$24:$L$106,A167&amp;" / "&amp;B167,'2019'!$K$24:$K$106,1)+COUNTIFS('2020'!$L$24:$L$106,A167&amp;" / "&amp;B167,'2020'!$K$24:$K$106,1)+COUNTIFS('2021'!$L$24:$L$112,A167&amp;" / "&amp;B167,'2021'!$K$24:$K$112,1)+COUNTIFS('2022'!$L$24:$L$112,A167&amp;" / "&amp;B167,'2022'!$K$24:$K$112,1)+COUNTIFS('2023'!$L$24:$L$112,A167&amp;" / "&amp;B167,'2023'!$K$24:$K$112,1)+COUNTIFS('2024'!$L$24:$L$112,A167&amp;" / "&amp;B167,'2024'!$K$24:$K$112,1)+COUNTIFS('2025'!$L$24:$L$112,A167&amp;" / "&amp;B167,'2025'!$K$24:$K$112,1)</x:f>
        <x:v>0</x:v>
      </x:c>
      <x:c r="G167" s="25" t="n">
        <x:f>SUMIFS('2015'!$E$24:$E$96,'2015'!$L$24:$L$96,A167&amp;" / "&amp;B167,'2015'!$C$24:$C$96,A167)+SUMIFS('2015'!$H$24:$H$96,'2015'!$L$24:$L$96,A167&amp;" / "&amp;B167,'2015'!$F$24:$F$96,A167)+SUMIFS('2016'!$E$24:$E$96,'2016'!$L$24:$L$96,A167&amp;" / "&amp;B167,'2016'!$C$24:$C$96,A167)+SUMIFS('2016'!$H$24:$H$96,'2016'!$L$24:$L$96,A167&amp;" / "&amp;B167,'2016'!$F$24:$F$96,A167)+SUMIFS('2017'!$E$24:$E$106,'2017'!$L$24:$L$106,A167&amp;" / "&amp;B167,'2017'!$C$24:$C$106,A167)+SUMIFS('2017'!$H$24:$H$106,'2017'!$L$24:$L$106,A167&amp;" / "&amp;B167,'2017'!$F$24:$F$106,A167)+SUMIFS('2018'!$E$24:$E$106,'2018'!$L$24:$L$106,A167&amp;" / "&amp;B167,'2018'!$C$24:$C$106,A167)+SUMIFS('2018'!$H$24:$H$106,'2018'!$L$24:$L$106,A167&amp;" / "&amp;B167,'2018'!$F$24:$F$106,A167)+SUMIFS('2019'!$E$24:$E$106,'2019'!$L$24:$L$106,A167&amp;" / "&amp;B167,'2019'!$C$24:$C$106,A167)+SUMIFS('2019'!$H$24:$H$106,'2019'!$L$24:$L$106,A167&amp;" / "&amp;B167,'2019'!$F$24:$F$106,A167)+SUMIFS('2020'!$E$24:$E$106,'2020'!$L$24:$L$106,A167&amp;" / "&amp;B167,'2020'!$C$24:$C$106,A167)+SUMIFS('2020'!$H$24:$H$106,'2020'!$L$24:$L$106,A167&amp;" / "&amp;B167,'2020'!$F$24:$F$106,A167)+SUMIFS('2021'!$E$24:$E$112,'2021'!$L$24:$L$112,A167&amp;" / "&amp;B167,'2021'!$C$24:$C$112,A167)+SUMIFS('2021'!$H$24:$H$112,'2021'!$L$24:$L$112,A167&amp;" / "&amp;B167,'2021'!$F$24:$F$112,A167)+SUMIFS('2022'!$E$24:$E$112,'2022'!$L$24:$L$112,A167&amp;" / "&amp;B167,'2022'!$C$24:$C$112,A167)+SUMIFS('2022'!$H$24:$H$112,'2022'!$L$24:$L$112,A167&amp;" / "&amp;B167,'2022'!$F$24:$F$112,A167)+SUMIFS('2023'!$E$24:$E$112,'2023'!$L$24:$L$112,A167&amp;" / "&amp;B167,'2023'!$C$24:$C$112,A167)+SUMIFS('2023'!$H$24:$H$112,'2023'!$L$24:$L$112,A167&amp;" / "&amp;B167,'2023'!$F$24:$F$112,A167)+SUMIFS('2024'!$E$24:$E$112,'2024'!$L$24:$L$112,A167&amp;" / "&amp;B167,'2024'!$C$24:$C$112,A167)+SUMIFS('2024'!$H$24:$H$112,'2024'!$L$24:$L$112,A167&amp;" / "&amp;B167,'2024'!$F$24:$F$112,A167)+SUMIFS('2025'!$E$24:$E$112,'2025'!$L$24:$L$112,A167&amp;" / "&amp;B167,'2025'!$C$24:$C$112,A167)+SUMIFS('2025'!$H$24:$H$112,'2025'!$L$24:$L$112,A167&amp;" / "&amp;B167,'2025'!$F$24:$F$112,A167)</x:f>
        <x:v>100</x:v>
      </x:c>
      <x:c r="H167" s="25" t="n">
        <x:f>SUMIFS('2015'!$E$24:$E$96,'2015'!$L$24:$L$96,A167&amp;" / "&amp;B167,'2015'!$C$24:$C$96,B167)+SUMIFS('2015'!$H$24:$H$96,'2015'!$L$24:$L$96,A167&amp;" / "&amp;B167,'2015'!$F$24:$F$96,B167)+SUMIFS('2016'!$E$24:$E$96,'2016'!$L$24:$L$96,A167&amp;" / "&amp;B167,'2016'!$C$24:$C$96,B167)+SUMIFS('2016'!$H$24:$H$96,'2016'!$L$24:$L$96,A167&amp;" / "&amp;B167,'2016'!$F$24:$F$96,B167)+SUMIFS('2017'!$E$24:$E$106,'2017'!$L$24:$L$106,A167&amp;" / "&amp;B167,'2017'!$C$24:$C$106,B167)+SUMIFS('2017'!$H$24:$H$106,'2017'!$L$24:$L$106,A167&amp;" / "&amp;B167,'2017'!$F$24:$F$106,B167)+SUMIFS('2018'!$E$24:$E$106,'2018'!$L$24:$L$106,A167&amp;" / "&amp;B167,'2018'!$C$24:$C$106,B167)+SUMIFS('2018'!$H$24:$H$106,'2018'!$L$24:$L$106,A167&amp;" / "&amp;B167,'2018'!$F$24:$F$106,B167)+SUMIFS('2019'!$E$24:$E$106,'2019'!$L$24:$L$106,A167&amp;" / "&amp;B167,'2019'!$C$24:$C$106,B167)+SUMIFS('2019'!$H$24:$H$106,'2019'!$L$24:$L$106,A167&amp;" / "&amp;B167,'2019'!$F$24:$F$106,B167)+SUMIFS('2020'!$E$24:$E$106,'2020'!$L$24:$L$106,A167&amp;" / "&amp;B167,'2020'!$C$24:$C$106,B167)+SUMIFS('2020'!$H$24:$H$106,'2020'!$L$24:$L$106,A167&amp;" / "&amp;B167,'2020'!$F$24:$F$106,B167)+SUMIFS('2021'!$E$24:$E$112,'2021'!$L$24:$L$112,A167&amp;" / "&amp;B167,'2021'!$C$24:$C$112,B167)+SUMIFS('2021'!$H$24:$H$112,'2021'!$L$24:$L$112,A167&amp;" / "&amp;B167,'2021'!$F$24:$F$112,B167)+SUMIFS('2022'!$E$24:$E$112,'2022'!$L$24:$L$112,A167&amp;" / "&amp;B167,'2022'!$C$24:$C$112,B167)+SUMIFS('2022'!$H$24:$H$112,'2022'!$L$24:$L$112,A167&amp;" / "&amp;B167,'2022'!$F$24:$F$112,B167)+SUMIFS('2023'!$E$24:$E$112,'2023'!$L$24:$L$112,A167&amp;" / "&amp;B167,'2023'!$C$24:$C$112,B167)+SUMIFS('2023'!$H$24:$H$112,'2023'!$L$24:$L$112,A167&amp;" / "&amp;B167,'2023'!$F$24:$F$112,B167)+SUMIFS('2024'!$E$24:$E$112,'2024'!$L$24:$L$112,A167&amp;" / "&amp;B167,'2024'!$C$24:$C$112,B167)+SUMIFS('2024'!$H$24:$H$112,'2024'!$L$24:$L$112,A167&amp;" / "&amp;B167,'2024'!$F$24:$F$112,B167)+SUMIFS('2025'!$E$24:$E$112,'2025'!$L$24:$L$112,A167&amp;" / "&amp;B167,'2025'!$C$24:$C$112,B167)+SUMIFS('2025'!$H$24:$H$112,'2025'!$L$24:$L$112,A167&amp;" / "&amp;B167,'2025'!$F$24:$F$112,B167)</x:f>
        <x:v>101</x:v>
      </x:c>
      <x:c r="I167" s="11" t="n">
        <x:f>IF(C167=0,0,(D167+0.5*F167)/C167)</x:f>
        <x:v>0</x:v>
      </x:c>
      <x:c r="J167" s="2" t="n">
        <x:f>COUNTIFS('2015'!$L$24:$L$96,A167&amp;" / "&amp;B167,'2015'!$B$24:$B$96,"Regular")+COUNTIFS('2016'!$L$24:$L$96,A167&amp;" / "&amp;B167,'2016'!$B$24:$B$96,"Regular")+COUNTIFS('2017'!$L$24:$L$106,A167&amp;" / "&amp;B167,'2017'!$B$24:$B$106,"Regular")+COUNTIFS('2018'!$L$24:$L$106,A167&amp;" / "&amp;B167,'2018'!$B$24:$B$106,"Regular")+COUNTIFS('2019'!$L$24:$L$106,A167&amp;" / "&amp;B167,'2019'!$B$24:$B$106,"Regular")+COUNTIFS('2020'!$L$24:$L$106,A167&amp;" / "&amp;B167,'2020'!$B$24:$B$106,"Regular")+COUNTIFS('2021'!$L$24:$L$112,A167&amp;" / "&amp;B167,'2021'!$B$24:$B$112,"Regular")+COUNTIFS('2022'!$L$24:$L$112,A167&amp;" / "&amp;B167,'2022'!$B$24:$B$112,"Regular")+COUNTIFS('2023'!$L$24:$L$112,A167&amp;" / "&amp;B167,'2023'!$B$24:$B$112,"Regular")+COUNTIFS('2024'!$L$24:$L$112,A167&amp;" / "&amp;B167,'2024'!$B$24:$B$112,"Regular")+COUNTIFS('2025'!$L$24:$L$112,A167&amp;" / "&amp;B167,'2025'!$B$24:$B$112,"Regular")</x:f>
        <x:v>1</x:v>
      </x:c>
      <x:c r="K167" s="2" t="n">
        <x:f>COUNTIFS('2015'!$L$24:$L$96,A167&amp;" / "&amp;B167,'2015'!$B$24:$B$96,"Playoffs")+COUNTIFS('2016'!$L$24:$L$96,A167&amp;" / "&amp;B167,'2016'!$B$24:$B$96,"Playoffs")+COUNTIFS('2017'!$L$24:$L$106,A167&amp;" / "&amp;B167,'2017'!$B$24:$B$106,"Playoffs")+COUNTIFS('2018'!$L$24:$L$106,A167&amp;" / "&amp;B167,'2018'!$B$24:$B$106,"Playoffs")+COUNTIFS('2019'!$L$24:$L$106,A167&amp;" / "&amp;B167,'2019'!$B$24:$B$106,"Playoffs")+COUNTIFS('2020'!$L$24:$L$106,A167&amp;" / "&amp;B167,'2020'!$B$24:$B$106,"Playoffs")+COUNTIFS('2021'!$L$24:$L$112,A167&amp;" / "&amp;B167,'2021'!$B$24:$B$112,"Playoffs")+COUNTIFS('2022'!$L$24:$L$112,A167&amp;" / "&amp;B167,'2022'!$B$24:$B$112,"Playoffs")+COUNTIFS('2023'!$L$24:$L$112,A167&amp;" / "&amp;B167,'2023'!$B$24:$B$112,"Playoffs")+COUNTIFS('2024'!$L$24:$L$112,A167&amp;" / "&amp;B167,'2024'!$B$24:$B$112,"Playoffs")+COUNTIFS('2025'!$L$24:$L$112,A167&amp;" / "&amp;B167,'2025'!$B$24:$B$112,"Playoffs")</x:f>
        <x:v>0</x:v>
      </x:c>
      <x:c r="L167" s="2" t="n">
        <x:f>COUNTIFS('2015'!$L$24:$L$96,A167&amp;" / "&amp;B167,'2015'!$B$24:$B$96,"Unconfirmed")+COUNTIFS('2016'!$L$24:$L$96,A167&amp;" / "&amp;B167,'2016'!$B$24:$B$96,"Unconfirmed")+COUNTIFS('2017'!$L$24:$L$106,A167&amp;" / "&amp;B167,'2017'!$B$24:$B$106,"Unconfirmed")+COUNTIFS('2018'!$L$24:$L$106,A167&amp;" / "&amp;B167,'2018'!$B$24:$B$106,"Unconfirmed")+COUNTIFS('2019'!$L$24:$L$106,A167&amp;" / "&amp;B167,'2019'!$B$24:$B$106,"Unconfirmed")+COUNTIFS('2020'!$L$24:$L$106,A167&amp;" / "&amp;B167,'2020'!$B$24:$B$106,"Unconfirmed")+COUNTIFS('2021'!$L$24:$L$112,A167&amp;" / "&amp;B167,'2021'!$B$24:$B$112,"Unconfirmed")+COUNTIFS('2022'!$L$24:$L$112,A167&amp;" / "&amp;B167,'2022'!$B$24:$B$112,"Unconfirmed")+COUNTIFS('2023'!$L$24:$L$112,A167&amp;" / "&amp;B167,'2023'!$B$24:$B$112,"Unconfirmed")+COUNTIFS('2024'!$L$24:$L$112,A167&amp;" / "&amp;B167,'2024'!$B$24:$B$112,"Unconfirmed")+COUNTIFS('2025'!$L$24:$L$112,A167&amp;" / "&amp;B167,'2025'!$B$24:$B$112,"Unconfirmed")</x:f>
        <x:v>0</x:v>
      </x:c>
    </x:row>
    <x:row r="168" ht="22" customHeight="1">
      <x:c r="A168" s="2" t="str">
        <x:v>Paul</x:v>
      </x:c>
      <x:c r="B168" s="2" t="str">
        <x:v>Troy</x:v>
      </x:c>
      <x:c r="C168" s="2" t="n">
        <x:f>COUNTIFS('2015'!$L$24:$L$96,A168&amp;" / "&amp;B168)+COUNTIFS('2016'!$L$24:$L$96,A168&amp;" / "&amp;B168)+COUNTIFS('2017'!$L$24:$L$106,A168&amp;" / "&amp;B168)+COUNTIFS('2018'!$L$24:$L$106,A168&amp;" / "&amp;B168)+COUNTIFS('2019'!$L$24:$L$106,A168&amp;" / "&amp;B168)+COUNTIFS('2020'!$L$24:$L$106,A168&amp;" / "&amp;B168)+COUNTIFS('2021'!$L$24:$L$112,A168&amp;" / "&amp;B168)+COUNTIFS('2022'!$L$24:$L$112,A168&amp;" / "&amp;B168)+COUNTIFS('2023'!$L$24:$L$112,A168&amp;" / "&amp;B168)+COUNTIFS('2024'!$L$24:$L$112,A168&amp;" / "&amp;B168)+COUNTIFS('2025'!$L$24:$L$112,A168&amp;" / "&amp;B168)</x:f>
        <x:v>1</x:v>
      </x:c>
      <x:c r="D168" s="2" t="n">
        <x:f>COUNTIFS('2015'!$L$24:$L$96,A168&amp;" / "&amp;B168,'2015'!$I$24:$I$96,A168)+COUNTIFS('2016'!$L$24:$L$96,A168&amp;" / "&amp;B168,'2016'!$I$24:$I$96,A168)+COUNTIFS('2017'!$L$24:$L$106,A168&amp;" / "&amp;B168,'2017'!$I$24:$I$106,A168)+COUNTIFS('2018'!$L$24:$L$106,A168&amp;" / "&amp;B168,'2018'!$I$24:$I$106,A168)+COUNTIFS('2019'!$L$24:$L$106,A168&amp;" / "&amp;B168,'2019'!$I$24:$I$106,A168)+COUNTIFS('2020'!$L$24:$L$106,A168&amp;" / "&amp;B168,'2020'!$I$24:$I$106,A168)+COUNTIFS('2021'!$L$24:$L$112,A168&amp;" / "&amp;B168,'2021'!$I$24:$I$112,A168)+COUNTIFS('2022'!$L$24:$L$112,A168&amp;" / "&amp;B168,'2022'!$I$24:$I$112,A168)+COUNTIFS('2023'!$L$24:$L$112,A168&amp;" / "&amp;B168,'2023'!$I$24:$I$112,A168)+COUNTIFS('2024'!$L$24:$L$112,A168&amp;" / "&amp;B168,'2024'!$I$24:$I$112,A168)+COUNTIFS('2025'!$L$24:$L$112,A168&amp;" / "&amp;B168,'2025'!$I$24:$I$112,A168)</x:f>
        <x:v>1</x:v>
      </x:c>
      <x:c r="E168" s="2" t="n">
        <x:f>COUNTIFS('2015'!$L$24:$L$96,A168&amp;" / "&amp;B168,'2015'!$I$24:$I$96,B168)+COUNTIFS('2016'!$L$24:$L$96,A168&amp;" / "&amp;B168,'2016'!$I$24:$I$96,B168)+COUNTIFS('2017'!$L$24:$L$106,A168&amp;" / "&amp;B168,'2017'!$I$24:$I$106,B168)+COUNTIFS('2018'!$L$24:$L$106,A168&amp;" / "&amp;B168,'2018'!$I$24:$I$106,B168)+COUNTIFS('2019'!$L$24:$L$106,A168&amp;" / "&amp;B168,'2019'!$I$24:$I$106,B168)+COUNTIFS('2020'!$L$24:$L$106,A168&amp;" / "&amp;B168,'2020'!$I$24:$I$106,B168)+COUNTIFS('2021'!$L$24:$L$112,A168&amp;" / "&amp;B168,'2021'!$I$24:$I$112,B168)+COUNTIFS('2022'!$L$24:$L$112,A168&amp;" / "&amp;B168,'2022'!$I$24:$I$112,B168)+COUNTIFS('2023'!$L$24:$L$112,A168&amp;" / "&amp;B168,'2023'!$I$24:$I$112,B168)+COUNTIFS('2024'!$L$24:$L$112,A168&amp;" / "&amp;B168,'2024'!$I$24:$I$112,B168)+COUNTIFS('2025'!$L$24:$L$112,A168&amp;" / "&amp;B168,'2025'!$I$24:$I$112,B168)</x:f>
        <x:v>0</x:v>
      </x:c>
      <x:c r="F168" s="2" t="n">
        <x:f>COUNTIFS('2015'!$L$24:$L$96,A168&amp;" / "&amp;B168,'2015'!$K$24:$K$96,1)+COUNTIFS('2016'!$L$24:$L$96,A168&amp;" / "&amp;B168,'2016'!$K$24:$K$96,1)+COUNTIFS('2017'!$L$24:$L$106,A168&amp;" / "&amp;B168,'2017'!$K$24:$K$106,1)+COUNTIFS('2018'!$L$24:$L$106,A168&amp;" / "&amp;B168,'2018'!$K$24:$K$106,1)+COUNTIFS('2019'!$L$24:$L$106,A168&amp;" / "&amp;B168,'2019'!$K$24:$K$106,1)+COUNTIFS('2020'!$L$24:$L$106,A168&amp;" / "&amp;B168,'2020'!$K$24:$K$106,1)+COUNTIFS('2021'!$L$24:$L$112,A168&amp;" / "&amp;B168,'2021'!$K$24:$K$112,1)+COUNTIFS('2022'!$L$24:$L$112,A168&amp;" / "&amp;B168,'2022'!$K$24:$K$112,1)+COUNTIFS('2023'!$L$24:$L$112,A168&amp;" / "&amp;B168,'2023'!$K$24:$K$112,1)+COUNTIFS('2024'!$L$24:$L$112,A168&amp;" / "&amp;B168,'2024'!$K$24:$K$112,1)+COUNTIFS('2025'!$L$24:$L$112,A168&amp;" / "&amp;B168,'2025'!$K$24:$K$112,1)</x:f>
        <x:v>0</x:v>
      </x:c>
      <x:c r="G168" s="25" t="n">
        <x:f>SUMIFS('2015'!$E$24:$E$96,'2015'!$L$24:$L$96,A168&amp;" / "&amp;B168,'2015'!$C$24:$C$96,A168)+SUMIFS('2015'!$H$24:$H$96,'2015'!$L$24:$L$96,A168&amp;" / "&amp;B168,'2015'!$F$24:$F$96,A168)+SUMIFS('2016'!$E$24:$E$96,'2016'!$L$24:$L$96,A168&amp;" / "&amp;B168,'2016'!$C$24:$C$96,A168)+SUMIFS('2016'!$H$24:$H$96,'2016'!$L$24:$L$96,A168&amp;" / "&amp;B168,'2016'!$F$24:$F$96,A168)+SUMIFS('2017'!$E$24:$E$106,'2017'!$L$24:$L$106,A168&amp;" / "&amp;B168,'2017'!$C$24:$C$106,A168)+SUMIFS('2017'!$H$24:$H$106,'2017'!$L$24:$L$106,A168&amp;" / "&amp;B168,'2017'!$F$24:$F$106,A168)+SUMIFS('2018'!$E$24:$E$106,'2018'!$L$24:$L$106,A168&amp;" / "&amp;B168,'2018'!$C$24:$C$106,A168)+SUMIFS('2018'!$H$24:$H$106,'2018'!$L$24:$L$106,A168&amp;" / "&amp;B168,'2018'!$F$24:$F$106,A168)+SUMIFS('2019'!$E$24:$E$106,'2019'!$L$24:$L$106,A168&amp;" / "&amp;B168,'2019'!$C$24:$C$106,A168)+SUMIFS('2019'!$H$24:$H$106,'2019'!$L$24:$L$106,A168&amp;" / "&amp;B168,'2019'!$F$24:$F$106,A168)+SUMIFS('2020'!$E$24:$E$106,'2020'!$L$24:$L$106,A168&amp;" / "&amp;B168,'2020'!$C$24:$C$106,A168)+SUMIFS('2020'!$H$24:$H$106,'2020'!$L$24:$L$106,A168&amp;" / "&amp;B168,'2020'!$F$24:$F$106,A168)+SUMIFS('2021'!$E$24:$E$112,'2021'!$L$24:$L$112,A168&amp;" / "&amp;B168,'2021'!$C$24:$C$112,A168)+SUMIFS('2021'!$H$24:$H$112,'2021'!$L$24:$L$112,A168&amp;" / "&amp;B168,'2021'!$F$24:$F$112,A168)+SUMIFS('2022'!$E$24:$E$112,'2022'!$L$24:$L$112,A168&amp;" / "&amp;B168,'2022'!$C$24:$C$112,A168)+SUMIFS('2022'!$H$24:$H$112,'2022'!$L$24:$L$112,A168&amp;" / "&amp;B168,'2022'!$F$24:$F$112,A168)+SUMIFS('2023'!$E$24:$E$112,'2023'!$L$24:$L$112,A168&amp;" / "&amp;B168,'2023'!$C$24:$C$112,A168)+SUMIFS('2023'!$H$24:$H$112,'2023'!$L$24:$L$112,A168&amp;" / "&amp;B168,'2023'!$F$24:$F$112,A168)+SUMIFS('2024'!$E$24:$E$112,'2024'!$L$24:$L$112,A168&amp;" / "&amp;B168,'2024'!$C$24:$C$112,A168)+SUMIFS('2024'!$H$24:$H$112,'2024'!$L$24:$L$112,A168&amp;" / "&amp;B168,'2024'!$F$24:$F$112,A168)+SUMIFS('2025'!$E$24:$E$112,'2025'!$L$24:$L$112,A168&amp;" / "&amp;B168,'2025'!$C$24:$C$112,A168)+SUMIFS('2025'!$H$24:$H$112,'2025'!$L$24:$L$112,A168&amp;" / "&amp;B168,'2025'!$F$24:$F$112,A168)</x:f>
        <x:v>142</x:v>
      </x:c>
      <x:c r="H168" s="25" t="n">
        <x:f>SUMIFS('2015'!$E$24:$E$96,'2015'!$L$24:$L$96,A168&amp;" / "&amp;B168,'2015'!$C$24:$C$96,B168)+SUMIFS('2015'!$H$24:$H$96,'2015'!$L$24:$L$96,A168&amp;" / "&amp;B168,'2015'!$F$24:$F$96,B168)+SUMIFS('2016'!$E$24:$E$96,'2016'!$L$24:$L$96,A168&amp;" / "&amp;B168,'2016'!$C$24:$C$96,B168)+SUMIFS('2016'!$H$24:$H$96,'2016'!$L$24:$L$96,A168&amp;" / "&amp;B168,'2016'!$F$24:$F$96,B168)+SUMIFS('2017'!$E$24:$E$106,'2017'!$L$24:$L$106,A168&amp;" / "&amp;B168,'2017'!$C$24:$C$106,B168)+SUMIFS('2017'!$H$24:$H$106,'2017'!$L$24:$L$106,A168&amp;" / "&amp;B168,'2017'!$F$24:$F$106,B168)+SUMIFS('2018'!$E$24:$E$106,'2018'!$L$24:$L$106,A168&amp;" / "&amp;B168,'2018'!$C$24:$C$106,B168)+SUMIFS('2018'!$H$24:$H$106,'2018'!$L$24:$L$106,A168&amp;" / "&amp;B168,'2018'!$F$24:$F$106,B168)+SUMIFS('2019'!$E$24:$E$106,'2019'!$L$24:$L$106,A168&amp;" / "&amp;B168,'2019'!$C$24:$C$106,B168)+SUMIFS('2019'!$H$24:$H$106,'2019'!$L$24:$L$106,A168&amp;" / "&amp;B168,'2019'!$F$24:$F$106,B168)+SUMIFS('2020'!$E$24:$E$106,'2020'!$L$24:$L$106,A168&amp;" / "&amp;B168,'2020'!$C$24:$C$106,B168)+SUMIFS('2020'!$H$24:$H$106,'2020'!$L$24:$L$106,A168&amp;" / "&amp;B168,'2020'!$F$24:$F$106,B168)+SUMIFS('2021'!$E$24:$E$112,'2021'!$L$24:$L$112,A168&amp;" / "&amp;B168,'2021'!$C$24:$C$112,B168)+SUMIFS('2021'!$H$24:$H$112,'2021'!$L$24:$L$112,A168&amp;" / "&amp;B168,'2021'!$F$24:$F$112,B168)+SUMIFS('2022'!$E$24:$E$112,'2022'!$L$24:$L$112,A168&amp;" / "&amp;B168,'2022'!$C$24:$C$112,B168)+SUMIFS('2022'!$H$24:$H$112,'2022'!$L$24:$L$112,A168&amp;" / "&amp;B168,'2022'!$F$24:$F$112,B168)+SUMIFS('2023'!$E$24:$E$112,'2023'!$L$24:$L$112,A168&amp;" / "&amp;B168,'2023'!$C$24:$C$112,B168)+SUMIFS('2023'!$H$24:$H$112,'2023'!$L$24:$L$112,A168&amp;" / "&amp;B168,'2023'!$F$24:$F$112,B168)+SUMIFS('2024'!$E$24:$E$112,'2024'!$L$24:$L$112,A168&amp;" / "&amp;B168,'2024'!$C$24:$C$112,B168)+SUMIFS('2024'!$H$24:$H$112,'2024'!$L$24:$L$112,A168&amp;" / "&amp;B168,'2024'!$F$24:$F$112,B168)+SUMIFS('2025'!$E$24:$E$112,'2025'!$L$24:$L$112,A168&amp;" / "&amp;B168,'2025'!$C$24:$C$112,B168)+SUMIFS('2025'!$H$24:$H$112,'2025'!$L$24:$L$112,A168&amp;" / "&amp;B168,'2025'!$F$24:$F$112,B168)</x:f>
        <x:v>117</x:v>
      </x:c>
      <x:c r="I168" s="11" t="n">
        <x:f>IF(C168=0,0,(D168+0.5*F168)/C168)</x:f>
        <x:v>1</x:v>
      </x:c>
      <x:c r="J168" s="2" t="n">
        <x:f>COUNTIFS('2015'!$L$24:$L$96,A168&amp;" / "&amp;B168,'2015'!$B$24:$B$96,"Regular")+COUNTIFS('2016'!$L$24:$L$96,A168&amp;" / "&amp;B168,'2016'!$B$24:$B$96,"Regular")+COUNTIFS('2017'!$L$24:$L$106,A168&amp;" / "&amp;B168,'2017'!$B$24:$B$106,"Regular")+COUNTIFS('2018'!$L$24:$L$106,A168&amp;" / "&amp;B168,'2018'!$B$24:$B$106,"Regular")+COUNTIFS('2019'!$L$24:$L$106,A168&amp;" / "&amp;B168,'2019'!$B$24:$B$106,"Regular")+COUNTIFS('2020'!$L$24:$L$106,A168&amp;" / "&amp;B168,'2020'!$B$24:$B$106,"Regular")+COUNTIFS('2021'!$L$24:$L$112,A168&amp;" / "&amp;B168,'2021'!$B$24:$B$112,"Regular")+COUNTIFS('2022'!$L$24:$L$112,A168&amp;" / "&amp;B168,'2022'!$B$24:$B$112,"Regular")+COUNTIFS('2023'!$L$24:$L$112,A168&amp;" / "&amp;B168,'2023'!$B$24:$B$112,"Regular")+COUNTIFS('2024'!$L$24:$L$112,A168&amp;" / "&amp;B168,'2024'!$B$24:$B$112,"Regular")+COUNTIFS('2025'!$L$24:$L$112,A168&amp;" / "&amp;B168,'2025'!$B$24:$B$112,"Regular")</x:f>
        <x:v>1</x:v>
      </x:c>
      <x:c r="K168" s="2" t="n">
        <x:f>COUNTIFS('2015'!$L$24:$L$96,A168&amp;" / "&amp;B168,'2015'!$B$24:$B$96,"Playoffs")+COUNTIFS('2016'!$L$24:$L$96,A168&amp;" / "&amp;B168,'2016'!$B$24:$B$96,"Playoffs")+COUNTIFS('2017'!$L$24:$L$106,A168&amp;" / "&amp;B168,'2017'!$B$24:$B$106,"Playoffs")+COUNTIFS('2018'!$L$24:$L$106,A168&amp;" / "&amp;B168,'2018'!$B$24:$B$106,"Playoffs")+COUNTIFS('2019'!$L$24:$L$106,A168&amp;" / "&amp;B168,'2019'!$B$24:$B$106,"Playoffs")+COUNTIFS('2020'!$L$24:$L$106,A168&amp;" / "&amp;B168,'2020'!$B$24:$B$106,"Playoffs")+COUNTIFS('2021'!$L$24:$L$112,A168&amp;" / "&amp;B168,'2021'!$B$24:$B$112,"Playoffs")+COUNTIFS('2022'!$L$24:$L$112,A168&amp;" / "&amp;B168,'2022'!$B$24:$B$112,"Playoffs")+COUNTIFS('2023'!$L$24:$L$112,A168&amp;" / "&amp;B168,'2023'!$B$24:$B$112,"Playoffs")+COUNTIFS('2024'!$L$24:$L$112,A168&amp;" / "&amp;B168,'2024'!$B$24:$B$112,"Playoffs")+COUNTIFS('2025'!$L$24:$L$112,A168&amp;" / "&amp;B168,'2025'!$B$24:$B$112,"Playoffs")</x:f>
        <x:v>0</x:v>
      </x:c>
      <x:c r="L168" s="2" t="n">
        <x:f>COUNTIFS('2015'!$L$24:$L$96,A168&amp;" / "&amp;B168,'2015'!$B$24:$B$96,"Unconfirmed")+COUNTIFS('2016'!$L$24:$L$96,A168&amp;" / "&amp;B168,'2016'!$B$24:$B$96,"Unconfirmed")+COUNTIFS('2017'!$L$24:$L$106,A168&amp;" / "&amp;B168,'2017'!$B$24:$B$106,"Unconfirmed")+COUNTIFS('2018'!$L$24:$L$106,A168&amp;" / "&amp;B168,'2018'!$B$24:$B$106,"Unconfirmed")+COUNTIFS('2019'!$L$24:$L$106,A168&amp;" / "&amp;B168,'2019'!$B$24:$B$106,"Unconfirmed")+COUNTIFS('2020'!$L$24:$L$106,A168&amp;" / "&amp;B168,'2020'!$B$24:$B$106,"Unconfirmed")+COUNTIFS('2021'!$L$24:$L$112,A168&amp;" / "&amp;B168,'2021'!$B$24:$B$112,"Unconfirmed")+COUNTIFS('2022'!$L$24:$L$112,A168&amp;" / "&amp;B168,'2022'!$B$24:$B$112,"Unconfirmed")+COUNTIFS('2023'!$L$24:$L$112,A168&amp;" / "&amp;B168,'2023'!$B$24:$B$112,"Unconfirmed")+COUNTIFS('2024'!$L$24:$L$112,A168&amp;" / "&amp;B168,'2024'!$B$24:$B$112,"Unconfirmed")+COUNTIFS('2025'!$L$24:$L$112,A168&amp;" / "&amp;B168,'2025'!$B$24:$B$112,"Unconfirmed")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501d8fe75e4d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2015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Taylor</x:v>
      </x:c>
      <x:c r="C4" s="2"/>
      <x:c r="D4" s="2" t="str">
        <x:v>Runner-up</x:v>
      </x:c>
      <x:c r="E4" s="2" t="str">
        <x:v>James B.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6" t="str">
        <x:v>Manager</x:v>
      </x:c>
      <x:c r="B6" s="6" t="str">
        <x:v>Team</x:v>
      </x:c>
      <x:c r="C6" s="6" t="str">
        <x:v>W</x:v>
      </x:c>
      <x:c r="D6" s="6" t="str">
        <x:v>L</x:v>
      </x:c>
      <x:c r="E6" s="6" t="str">
        <x:v>T</x:v>
      </x:c>
      <x:c r="F6" s="6" t="str">
        <x:v>Games</x:v>
      </x:c>
      <x:c r="G6" s="6" t="str">
        <x:v>Win %</x:v>
      </x:c>
      <x:c r="H6" s="6" t="str">
        <x:v>PF</x:v>
      </x:c>
      <x:c r="I6" s="6" t="str">
        <x:v>PA</x:v>
      </x:c>
      <x:c r="J6" s="6" t="str">
        <x:v>Moves</x:v>
      </x:c>
      <x:c r="K6" s="6" t="str">
        <x:v>Trades</x:v>
      </x:c>
      <x:c r="L6" s="6" t="str">
        <x:v>Waiver</x:v>
      </x:c>
    </x:row>
    <x:row r="7" ht="22" customHeight="1">
      <x:c r="A7" s="2" t="str">
        <x:v>Ben</x:v>
      </x:c>
      <x:c r="B7" s="2" t="str">
        <x:v>Ben's Team</x:v>
      </x:c>
      <x:c r="C7" s="2" t="n">
        <x:f>COUNTIFS('2015'!$I$24:$I$96,A7,'2015'!$B$24:$B$96,"&lt;&gt;Playoffs")</x:f>
        <x:v>10</x:v>
      </x:c>
      <x:c r="D7" s="2" t="n">
        <x:f>COUNTIFS('2015'!$J$24:$J$96,A7,'2015'!$B$24:$B$96,"&lt;&gt;Playoffs")</x:f>
        <x:v>4</x:v>
      </x:c>
      <x:c r="E7" s="2" t="n">
        <x:f>COUNTIFS('2015'!$C$24:$C$96,A7,'2015'!$K$24:$K$96,1,'2015'!$B$24:$B$96,"&lt;&gt;Playoffs")+COUNTIFS('2015'!$F$24:$F$96,A7,'2015'!$K$24:$K$96,1,'2015'!$B$24:$B$96,"&lt;&gt;Playoffs")</x:f>
        <x:v>0</x:v>
      </x:c>
      <x:c r="F7" s="2" t="n">
        <x:f>SUM(C7:E7)</x:f>
        <x:v>14</x:v>
      </x:c>
      <x:c r="G7" s="11" t="n">
        <x:f>IF(F7=0,0,(C7+0.5*E7)/F7)</x:f>
        <x:v>0.7142857142857143</x:v>
      </x:c>
      <x:c r="H7" s="13" t="n">
        <x:f>SUMIFS('2015'!$E$24:$E$96,'2015'!$C$24:$C$96,A7,'2015'!$B$24:$B$96,"&lt;&gt;Playoffs")+SUMIFS('2015'!$H$24:$H$96,'2015'!$F$24:$F$96,A7,'2015'!$B$24:$B$96,"&lt;&gt;Playoffs")</x:f>
        <x:v>1805</x:v>
      </x:c>
      <x:c r="I7" s="13" t="n">
        <x:f>SUMIFS('2015'!$H$24:$H$96,'2015'!$C$24:$C$96,A7,'2015'!$B$24:$B$96,"&lt;&gt;Playoffs")+SUMIFS('2015'!$E$24:$E$96,'2015'!$F$24:$F$96,A7,'2015'!$B$24:$B$96,"&lt;&gt;Playoffs")</x:f>
        <x:v>1561</x:v>
      </x:c>
      <x:c r="J7" s="2" t="n">
        <x:v>17</x:v>
      </x:c>
      <x:c r="K7" s="2" t="n">
        <x:v>1</x:v>
      </x:c>
      <x:c r="L7" s="2"/>
    </x:row>
    <x:row r="8" ht="22" customHeight="1">
      <x:c r="A8" s="10" t="str">
        <x:v>Bruce</x:v>
      </x:c>
      <x:c r="B8" s="10" t="str">
        <x:v>The Storm</x:v>
      </x:c>
      <x:c r="C8" s="10" t="n">
        <x:f>COUNTIFS('2015'!$I$24:$I$96,A8,'2015'!$B$24:$B$96,"&lt;&gt;Playoffs")</x:f>
        <x:v>5</x:v>
      </x:c>
      <x:c r="D8" s="10" t="n">
        <x:f>COUNTIFS('2015'!$J$24:$J$96,A8,'2015'!$B$24:$B$96,"&lt;&gt;Playoffs")</x:f>
        <x:v>8</x:v>
      </x:c>
      <x:c r="E8" s="10" t="n">
        <x:f>COUNTIFS('2015'!$C$24:$C$96,A8,'2015'!$K$24:$K$96,1,'2015'!$B$24:$B$96,"&lt;&gt;Playoffs")+COUNTIFS('2015'!$F$24:$F$96,A8,'2015'!$K$24:$K$96,1,'2015'!$B$24:$B$96,"&lt;&gt;Playoffs")</x:f>
        <x:v>1</x:v>
      </x:c>
      <x:c r="F8" s="10" t="n">
        <x:f>SUM(C8:E8)</x:f>
        <x:v>14</x:v>
      </x:c>
      <x:c r="G8" s="12" t="n">
        <x:f>IF(F8=0,0,(C8+0.5*E8)/F8)</x:f>
        <x:v>0.39285714285714285</x:v>
      </x:c>
      <x:c r="H8" s="14" t="n">
        <x:f>SUMIFS('2015'!$E$24:$E$96,'2015'!$C$24:$C$96,A8,'2015'!$B$24:$B$96,"&lt;&gt;Playoffs")+SUMIFS('2015'!$H$24:$H$96,'2015'!$F$24:$F$96,A8,'2015'!$B$24:$B$96,"&lt;&gt;Playoffs")</x:f>
        <x:v>1576</x:v>
      </x:c>
      <x:c r="I8" s="14" t="n">
        <x:f>SUMIFS('2015'!$H$24:$H$96,'2015'!$C$24:$C$96,A8,'2015'!$B$24:$B$96,"&lt;&gt;Playoffs")+SUMIFS('2015'!$E$24:$E$96,'2015'!$F$24:$F$96,A8,'2015'!$B$24:$B$96,"&lt;&gt;Playoffs")</x:f>
        <x:v>1772</x:v>
      </x:c>
      <x:c r="J8" s="10" t="n">
        <x:v>7</x:v>
      </x:c>
      <x:c r="K8" s="10" t="n">
        <x:v>1</x:v>
      </x:c>
      <x:c r="L8" s="10"/>
    </x:row>
    <x:row r="9" ht="22" customHeight="1">
      <x:c r="A9" s="2" t="str">
        <x:v>Craig</x:v>
      </x:c>
      <x:c r="B9" s="2" t="str">
        <x:v>The Ants Marching</x:v>
      </x:c>
      <x:c r="C9" s="2" t="n">
        <x:f>COUNTIFS('2015'!$I$24:$I$96,A9,'2015'!$B$24:$B$96,"&lt;&gt;Playoffs")</x:f>
        <x:v>5</x:v>
      </x:c>
      <x:c r="D9" s="2" t="n">
        <x:f>COUNTIFS('2015'!$J$24:$J$96,A9,'2015'!$B$24:$B$96,"&lt;&gt;Playoffs")</x:f>
        <x:v>9</x:v>
      </x:c>
      <x:c r="E9" s="2" t="n">
        <x:f>COUNTIFS('2015'!$C$24:$C$96,A9,'2015'!$K$24:$K$96,1,'2015'!$B$24:$B$96,"&lt;&gt;Playoffs")+COUNTIFS('2015'!$F$24:$F$96,A9,'2015'!$K$24:$K$96,1,'2015'!$B$24:$B$96,"&lt;&gt;Playoffs")</x:f>
        <x:v>0</x:v>
      </x:c>
      <x:c r="F9" s="2" t="n">
        <x:f>SUM(C9:E9)</x:f>
        <x:v>14</x:v>
      </x:c>
      <x:c r="G9" s="11" t="n">
        <x:f>IF(F9=0,0,(C9+0.5*E9)/F9)</x:f>
        <x:v>0.35714285714285715</x:v>
      </x:c>
      <x:c r="H9" s="13" t="n">
        <x:f>SUMIFS('2015'!$E$24:$E$96,'2015'!$C$24:$C$96,A9,'2015'!$B$24:$B$96,"&lt;&gt;Playoffs")+SUMIFS('2015'!$H$24:$H$96,'2015'!$F$24:$F$96,A9,'2015'!$B$24:$B$96,"&lt;&gt;Playoffs")</x:f>
        <x:v>1651</x:v>
      </x:c>
      <x:c r="I9" s="13" t="n">
        <x:f>SUMIFS('2015'!$H$24:$H$96,'2015'!$C$24:$C$96,A9,'2015'!$B$24:$B$96,"&lt;&gt;Playoffs")+SUMIFS('2015'!$E$24:$E$96,'2015'!$F$24:$F$96,A9,'2015'!$B$24:$B$96,"&lt;&gt;Playoffs")</x:f>
        <x:v>1675</x:v>
      </x:c>
      <x:c r="J9" s="2" t="n">
        <x:v>9</x:v>
      </x:c>
      <x:c r="K9" s="2" t="n">
        <x:v>2</x:v>
      </x:c>
      <x:c r="L9" s="2"/>
    </x:row>
    <x:row r="10" ht="22" customHeight="1">
      <x:c r="A10" s="10" t="str">
        <x:v>Ed</x:v>
      </x:c>
      <x:c r="B10" s="10" t="str">
        <x:v>Poff's Pocket Rocket</x:v>
      </x:c>
      <x:c r="C10" s="10" t="n">
        <x:f>COUNTIFS('2015'!$I$24:$I$96,A10,'2015'!$B$24:$B$96,"&lt;&gt;Playoffs")</x:f>
        <x:v>7</x:v>
      </x:c>
      <x:c r="D10" s="10" t="n">
        <x:f>COUNTIFS('2015'!$J$24:$J$96,A10,'2015'!$B$24:$B$96,"&lt;&gt;Playoffs")</x:f>
        <x:v>7</x:v>
      </x:c>
      <x:c r="E10" s="10" t="n">
        <x:f>COUNTIFS('2015'!$C$24:$C$96,A10,'2015'!$K$24:$K$96,1,'2015'!$B$24:$B$96,"&lt;&gt;Playoffs")+COUNTIFS('2015'!$F$24:$F$96,A10,'2015'!$K$24:$K$96,1,'2015'!$B$24:$B$96,"&lt;&gt;Playoffs")</x:f>
        <x:v>0</x:v>
      </x:c>
      <x:c r="F10" s="10" t="n">
        <x:f>SUM(C10:E10)</x:f>
        <x:v>14</x:v>
      </x:c>
      <x:c r="G10" s="12" t="n">
        <x:f>IF(F10=0,0,(C10+0.5*E10)/F10)</x:f>
        <x:v>0.5</x:v>
      </x:c>
      <x:c r="H10" s="14" t="n">
        <x:f>SUMIFS('2015'!$E$24:$E$96,'2015'!$C$24:$C$96,A10,'2015'!$B$24:$B$96,"&lt;&gt;Playoffs")+SUMIFS('2015'!$H$24:$H$96,'2015'!$F$24:$F$96,A10,'2015'!$B$24:$B$96,"&lt;&gt;Playoffs")</x:f>
        <x:v>1432</x:v>
      </x:c>
      <x:c r="I10" s="14" t="n">
        <x:f>SUMIFS('2015'!$H$24:$H$96,'2015'!$C$24:$C$96,A10,'2015'!$B$24:$B$96,"&lt;&gt;Playoffs")+SUMIFS('2015'!$E$24:$E$96,'2015'!$F$24:$F$96,A10,'2015'!$B$24:$B$96,"&lt;&gt;Playoffs")</x:f>
        <x:v>1509</x:v>
      </x:c>
      <x:c r="J10" s="10" t="n">
        <x:v>10</x:v>
      </x:c>
      <x:c r="K10" s="10" t="n">
        <x:v>3</x:v>
      </x:c>
      <x:c r="L10" s="10"/>
    </x:row>
    <x:row r="11" ht="22" customHeight="1">
      <x:c r="A11" s="2" t="str">
        <x:v>Grossi</x:v>
      </x:c>
      <x:c r="B11" s="2" t="str">
        <x:v>Grossi Posse</x:v>
      </x:c>
      <x:c r="C11" s="2" t="n">
        <x:f>COUNTIFS('2015'!$I$24:$I$96,A11,'2015'!$B$24:$B$96,"&lt;&gt;Playoffs")</x:f>
        <x:v>5</x:v>
      </x:c>
      <x:c r="D11" s="2" t="n">
        <x:f>COUNTIFS('2015'!$J$24:$J$96,A11,'2015'!$B$24:$B$96,"&lt;&gt;Playoffs")</x:f>
        <x:v>9</x:v>
      </x:c>
      <x:c r="E11" s="2" t="n">
        <x:f>COUNTIFS('2015'!$C$24:$C$96,A11,'2015'!$K$24:$K$96,1,'2015'!$B$24:$B$96,"&lt;&gt;Playoffs")+COUNTIFS('2015'!$F$24:$F$96,A11,'2015'!$K$24:$K$96,1,'2015'!$B$24:$B$96,"&lt;&gt;Playoffs")</x:f>
        <x:v>0</x:v>
      </x:c>
      <x:c r="F11" s="2" t="n">
        <x:f>SUM(C11:E11)</x:f>
        <x:v>14</x:v>
      </x:c>
      <x:c r="G11" s="11" t="n">
        <x:f>IF(F11=0,0,(C11+0.5*E11)/F11)</x:f>
        <x:v>0.35714285714285715</x:v>
      </x:c>
      <x:c r="H11" s="13" t="n">
        <x:f>SUMIFS('2015'!$E$24:$E$96,'2015'!$C$24:$C$96,A11,'2015'!$B$24:$B$96,"&lt;&gt;Playoffs")+SUMIFS('2015'!$H$24:$H$96,'2015'!$F$24:$F$96,A11,'2015'!$B$24:$B$96,"&lt;&gt;Playoffs")</x:f>
        <x:v>1652</x:v>
      </x:c>
      <x:c r="I11" s="13" t="n">
        <x:f>SUMIFS('2015'!$H$24:$H$96,'2015'!$C$24:$C$96,A11,'2015'!$B$24:$B$96,"&lt;&gt;Playoffs")+SUMIFS('2015'!$E$24:$E$96,'2015'!$F$24:$F$96,A11,'2015'!$B$24:$B$96,"&lt;&gt;Playoffs")</x:f>
        <x:v>1713</x:v>
      </x:c>
      <x:c r="J11" s="2" t="n">
        <x:v>10</x:v>
      </x:c>
      <x:c r="K11" s="2" t="n">
        <x:v>0</x:v>
      </x:c>
      <x:c r="L11" s="2"/>
    </x:row>
    <x:row r="12" ht="22" customHeight="1">
      <x:c r="A12" s="10" t="str">
        <x:v>James B.</x:v>
      </x:c>
      <x:c r="B12" s="10" t="str">
        <x:v>Bend it Beckham Jr.</x:v>
      </x:c>
      <x:c r="C12" s="10" t="n">
        <x:f>COUNTIFS('2015'!$I$24:$I$96,A12,'2015'!$B$24:$B$96,"&lt;&gt;Playoffs")</x:f>
        <x:v>7</x:v>
      </x:c>
      <x:c r="D12" s="10" t="n">
        <x:f>COUNTIFS('2015'!$J$24:$J$96,A12,'2015'!$B$24:$B$96,"&lt;&gt;Playoffs")</x:f>
        <x:v>6</x:v>
      </x:c>
      <x:c r="E12" s="10" t="n">
        <x:f>COUNTIFS('2015'!$C$24:$C$96,A12,'2015'!$K$24:$K$96,1,'2015'!$B$24:$B$96,"&lt;&gt;Playoffs")+COUNTIFS('2015'!$F$24:$F$96,A12,'2015'!$K$24:$K$96,1,'2015'!$B$24:$B$96,"&lt;&gt;Playoffs")</x:f>
        <x:v>1</x:v>
      </x:c>
      <x:c r="F12" s="10" t="n">
        <x:f>SUM(C12:E12)</x:f>
        <x:v>14</x:v>
      </x:c>
      <x:c r="G12" s="12" t="n">
        <x:f>IF(F12=0,0,(C12+0.5*E12)/F12)</x:f>
        <x:v>0.5357142857142857</x:v>
      </x:c>
      <x:c r="H12" s="14" t="n">
        <x:f>SUMIFS('2015'!$E$24:$E$96,'2015'!$C$24:$C$96,A12,'2015'!$B$24:$B$96,"&lt;&gt;Playoffs")+SUMIFS('2015'!$H$24:$H$96,'2015'!$F$24:$F$96,A12,'2015'!$B$24:$B$96,"&lt;&gt;Playoffs")</x:f>
        <x:v>1807</x:v>
      </x:c>
      <x:c r="I12" s="14" t="n">
        <x:f>SUMIFS('2015'!$H$24:$H$96,'2015'!$C$24:$C$96,A12,'2015'!$B$24:$B$96,"&lt;&gt;Playoffs")+SUMIFS('2015'!$E$24:$E$96,'2015'!$F$24:$F$96,A12,'2015'!$B$24:$B$96,"&lt;&gt;Playoffs")</x:f>
        <x:v>1714</x:v>
      </x:c>
      <x:c r="J12" s="10" t="n">
        <x:v>17</x:v>
      </x:c>
      <x:c r="K12" s="10" t="n">
        <x:v>2</x:v>
      </x:c>
      <x:c r="L12" s="10"/>
    </x:row>
    <x:row r="13" ht="22" customHeight="1">
      <x:c r="A13" s="2" t="str">
        <x:v>Josh</x:v>
      </x:c>
      <x:c r="B13" s="2" t="str">
        <x:v>bobby rawls</x:v>
      </x:c>
      <x:c r="C13" s="2" t="n">
        <x:f>COUNTIFS('2015'!$I$24:$I$96,A13,'2015'!$B$24:$B$96,"&lt;&gt;Playoffs")</x:f>
        <x:v>9</x:v>
      </x:c>
      <x:c r="D13" s="2" t="n">
        <x:f>COUNTIFS('2015'!$J$24:$J$96,A13,'2015'!$B$24:$B$96,"&lt;&gt;Playoffs")</x:f>
        <x:v>5</x:v>
      </x:c>
      <x:c r="E13" s="2" t="n">
        <x:f>COUNTIFS('2015'!$C$24:$C$96,A13,'2015'!$K$24:$K$96,1,'2015'!$B$24:$B$96,"&lt;&gt;Playoffs")+COUNTIFS('2015'!$F$24:$F$96,A13,'2015'!$K$24:$K$96,1,'2015'!$B$24:$B$96,"&lt;&gt;Playoffs")</x:f>
        <x:v>0</x:v>
      </x:c>
      <x:c r="F13" s="2" t="n">
        <x:f>SUM(C13:E13)</x:f>
        <x:v>14</x:v>
      </x:c>
      <x:c r="G13" s="11" t="n">
        <x:f>IF(F13=0,0,(C13+0.5*E13)/F13)</x:f>
        <x:v>0.6428571428571429</x:v>
      </x:c>
      <x:c r="H13" s="13" t="n">
        <x:f>SUMIFS('2015'!$E$24:$E$96,'2015'!$C$24:$C$96,A13,'2015'!$B$24:$B$96,"&lt;&gt;Playoffs")+SUMIFS('2015'!$H$24:$H$96,'2015'!$F$24:$F$96,A13,'2015'!$B$24:$B$96,"&lt;&gt;Playoffs")</x:f>
        <x:v>1704</x:v>
      </x:c>
      <x:c r="I13" s="13" t="n">
        <x:f>SUMIFS('2015'!$H$24:$H$96,'2015'!$C$24:$C$96,A13,'2015'!$B$24:$B$96,"&lt;&gt;Playoffs")+SUMIFS('2015'!$E$24:$E$96,'2015'!$F$24:$F$96,A13,'2015'!$B$24:$B$96,"&lt;&gt;Playoffs")</x:f>
        <x:v>1618</x:v>
      </x:c>
      <x:c r="J13" s="2" t="n">
        <x:v>21</x:v>
      </x:c>
      <x:c r="K13" s="2" t="n">
        <x:v>3</x:v>
      </x:c>
      <x:c r="L13" s="2"/>
    </x:row>
    <x:row r="14" ht="22" customHeight="1">
      <x:c r="A14" s="10" t="str">
        <x:v>Mark</x:v>
      </x:c>
      <x:c r="B14" s="10" t="str">
        <x:v>wacky waving arms</x:v>
      </x:c>
      <x:c r="C14" s="10" t="n">
        <x:f>COUNTIFS('2015'!$I$24:$I$96,A14,'2015'!$B$24:$B$96,"&lt;&gt;Playoffs")</x:f>
        <x:v>6</x:v>
      </x:c>
      <x:c r="D14" s="10" t="n">
        <x:f>COUNTIFS('2015'!$J$24:$J$96,A14,'2015'!$B$24:$B$96,"&lt;&gt;Playoffs")</x:f>
        <x:v>8</x:v>
      </x:c>
      <x:c r="E14" s="10" t="n">
        <x:f>COUNTIFS('2015'!$C$24:$C$96,A14,'2015'!$K$24:$K$96,1,'2015'!$B$24:$B$96,"&lt;&gt;Playoffs")+COUNTIFS('2015'!$F$24:$F$96,A14,'2015'!$K$24:$K$96,1,'2015'!$B$24:$B$96,"&lt;&gt;Playoffs")</x:f>
        <x:v>0</x:v>
      </x:c>
      <x:c r="F14" s="10" t="n">
        <x:f>SUM(C14:E14)</x:f>
        <x:v>14</x:v>
      </x:c>
      <x:c r="G14" s="12" t="n">
        <x:f>IF(F14=0,0,(C14+0.5*E14)/F14)</x:f>
        <x:v>0.42857142857142855</x:v>
      </x:c>
      <x:c r="H14" s="14" t="n">
        <x:f>SUMIFS('2015'!$E$24:$E$96,'2015'!$C$24:$C$96,A14,'2015'!$B$24:$B$96,"&lt;&gt;Playoffs")+SUMIFS('2015'!$H$24:$H$96,'2015'!$F$24:$F$96,A14,'2015'!$B$24:$B$96,"&lt;&gt;Playoffs")</x:f>
        <x:v>1713</x:v>
      </x:c>
      <x:c r="I14" s="14" t="n">
        <x:f>SUMIFS('2015'!$H$24:$H$96,'2015'!$C$24:$C$96,A14,'2015'!$B$24:$B$96,"&lt;&gt;Playoffs")+SUMIFS('2015'!$E$24:$E$96,'2015'!$F$24:$F$96,A14,'2015'!$B$24:$B$96,"&lt;&gt;Playoffs")</x:f>
        <x:v>1774</x:v>
      </x:c>
      <x:c r="J14" s="10" t="n">
        <x:v>8</x:v>
      </x:c>
      <x:c r="K14" s="10" t="n">
        <x:v>1</x:v>
      </x:c>
      <x:c r="L14" s="10"/>
    </x:row>
    <x:row r="15" ht="22" customHeight="1">
      <x:c r="A15" s="2" t="str">
        <x:v>Matt</x:v>
      </x:c>
      <x:c r="B15" s="2" t="str">
        <x:v>🌵</x:v>
      </x:c>
      <x:c r="C15" s="2" t="n">
        <x:f>COUNTIFS('2015'!$I$24:$I$96,A15,'2015'!$B$24:$B$96,"&lt;&gt;Playoffs")</x:f>
        <x:v>5</x:v>
      </x:c>
      <x:c r="D15" s="2" t="n">
        <x:f>COUNTIFS('2015'!$J$24:$J$96,A15,'2015'!$B$24:$B$96,"&lt;&gt;Playoffs")</x:f>
        <x:v>9</x:v>
      </x:c>
      <x:c r="E15" s="2" t="n">
        <x:f>COUNTIFS('2015'!$C$24:$C$96,A15,'2015'!$K$24:$K$96,1,'2015'!$B$24:$B$96,"&lt;&gt;Playoffs")+COUNTIFS('2015'!$F$24:$F$96,A15,'2015'!$K$24:$K$96,1,'2015'!$B$24:$B$96,"&lt;&gt;Playoffs")</x:f>
        <x:v>0</x:v>
      </x:c>
      <x:c r="F15" s="2" t="n">
        <x:f>SUM(C15:E15)</x:f>
        <x:v>14</x:v>
      </x:c>
      <x:c r="G15" s="11" t="n">
        <x:f>IF(F15=0,0,(C15+0.5*E15)/F15)</x:f>
        <x:v>0.35714285714285715</x:v>
      </x:c>
      <x:c r="H15" s="13" t="n">
        <x:f>SUMIFS('2015'!$E$24:$E$96,'2015'!$C$24:$C$96,A15,'2015'!$B$24:$B$96,"&lt;&gt;Playoffs")+SUMIFS('2015'!$H$24:$H$96,'2015'!$F$24:$F$96,A15,'2015'!$B$24:$B$96,"&lt;&gt;Playoffs")</x:f>
        <x:v>1548</x:v>
      </x:c>
      <x:c r="I15" s="13" t="n">
        <x:f>SUMIFS('2015'!$H$24:$H$96,'2015'!$C$24:$C$96,A15,'2015'!$B$24:$B$96,"&lt;&gt;Playoffs")+SUMIFS('2015'!$E$24:$E$96,'2015'!$F$24:$F$96,A15,'2015'!$B$24:$B$96,"&lt;&gt;Playoffs")</x:f>
        <x:v>1768</x:v>
      </x:c>
      <x:c r="J15" s="2" t="n">
        <x:v>16</x:v>
      </x:c>
      <x:c r="K15" s="2" t="n">
        <x:v>1</x:v>
      </x:c>
      <x:c r="L15" s="2"/>
    </x:row>
    <x:row r="16" ht="22" customHeight="1">
      <x:c r="A16" s="10" t="str">
        <x:v>Taylor</x:v>
      </x:c>
      <x:c r="B16" s="10" t="str">
        <x:v>who s 10 was it</x:v>
      </x:c>
      <x:c r="C16" s="10" t="n">
        <x:f>COUNTIFS('2015'!$I$24:$I$96,A16,'2015'!$B$24:$B$96,"&lt;&gt;Playoffs")</x:f>
        <x:v>10</x:v>
      </x:c>
      <x:c r="D16" s="10" t="n">
        <x:f>COUNTIFS('2015'!$J$24:$J$96,A16,'2015'!$B$24:$B$96,"&lt;&gt;Playoffs")</x:f>
        <x:v>4</x:v>
      </x:c>
      <x:c r="E16" s="10" t="n">
        <x:f>COUNTIFS('2015'!$C$24:$C$96,A16,'2015'!$K$24:$K$96,1,'2015'!$B$24:$B$96,"&lt;&gt;Playoffs")+COUNTIFS('2015'!$F$24:$F$96,A16,'2015'!$K$24:$K$96,1,'2015'!$B$24:$B$96,"&lt;&gt;Playoffs")</x:f>
        <x:v>0</x:v>
      </x:c>
      <x:c r="F16" s="10" t="n">
        <x:f>SUM(C16:E16)</x:f>
        <x:v>14</x:v>
      </x:c>
      <x:c r="G16" s="12" t="n">
        <x:f>IF(F16=0,0,(C16+0.5*E16)/F16)</x:f>
        <x:v>0.7142857142857143</x:v>
      </x:c>
      <x:c r="H16" s="14" t="n">
        <x:f>SUMIFS('2015'!$E$24:$E$96,'2015'!$C$24:$C$96,A16,'2015'!$B$24:$B$96,"&lt;&gt;Playoffs")+SUMIFS('2015'!$H$24:$H$96,'2015'!$F$24:$F$96,A16,'2015'!$B$24:$B$96,"&lt;&gt;Playoffs")</x:f>
        <x:v>1758</x:v>
      </x:c>
      <x:c r="I16" s="14" t="n">
        <x:f>SUMIFS('2015'!$H$24:$H$96,'2015'!$C$24:$C$96,A16,'2015'!$B$24:$B$96,"&lt;&gt;Playoffs")+SUMIFS('2015'!$E$24:$E$96,'2015'!$F$24:$F$96,A16,'2015'!$B$24:$B$96,"&lt;&gt;Playoffs")</x:f>
        <x:v>1542</x:v>
      </x:c>
      <x:c r="J16" s="10" t="n">
        <x:v>38</x:v>
      </x:c>
      <x:c r="K16" s="10" t="n">
        <x:v>0</x:v>
      </x:c>
      <x:c r="L16" s="10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6" t="str">
        <x:v>Week</x:v>
      </x:c>
      <x:c r="B23" s="6" t="str">
        <x:v>Phase</x:v>
      </x:c>
      <x:c r="C23" s="6" t="str">
        <x:v>Manager A</x:v>
      </x:c>
      <x:c r="D23" s="6" t="str">
        <x:v>Team A</x:v>
      </x:c>
      <x:c r="E23" s="6" t="str">
        <x:v>Score A</x:v>
      </x:c>
      <x:c r="F23" s="6" t="str">
        <x:v>Manager B</x:v>
      </x:c>
      <x:c r="G23" s="6" t="str">
        <x:v>Team B</x:v>
      </x:c>
      <x:c r="H23" s="6" t="str">
        <x:v>Score B</x:v>
      </x:c>
      <x:c r="I23" s="6" t="str">
        <x:v>Winner</x:v>
      </x:c>
      <x:c r="J23" s="6" t="str">
        <x:v>Loser</x:v>
      </x:c>
      <x:c r="K23" s="6" t="str">
        <x:v>Tie</x:v>
      </x:c>
      <x:c r="L23" s="6" t="str">
        <x:v>Pair</x:v>
      </x:c>
      <x:c r="M23" s="9" t="str">
        <x:v>Round</x:v>
      </x:c>
      <x:c r="N23" s="9" t="str">
        <x:v>Week source</x:v>
      </x:c>
    </x:row>
    <x:row r="24" ht="22" customHeight="1">
      <x:c r="A24" s="2" t="n">
        <x:v>1</x:v>
      </x:c>
      <x:c r="B24" s="2" t="str">
        <x:v>Regular</x:v>
      </x:c>
      <x:c r="C24" s="2" t="str">
        <x:v>Craig</x:v>
      </x:c>
      <x:c r="D24" s="2" t="str">
        <x:v>The Ants Marching</x:v>
      </x:c>
      <x:c r="E24" s="15" t="n">
        <x:v>116</x:v>
      </x:c>
      <x:c r="F24" s="2" t="str">
        <x:v>Bruce</x:v>
      </x:c>
      <x:c r="G24" s="2" t="str">
        <x:v>The Storm</x:v>
      </x:c>
      <x:c r="H24" s="15" t="n">
        <x:v>132</x:v>
      </x:c>
      <x:c r="I24" s="2" t="str">
        <x:f>IF(E24&gt;H24,C24,IF(E24&lt;H24,F24,"Tie"))</x:f>
        <x:v>Bruce</x:v>
      </x:c>
      <x:c r="J24" s="2" t="str">
        <x:f>IF(E24&gt;H24,F24,IF(E24&lt;H24,C24,"Tie"))</x:f>
        <x:v>Craig</x:v>
      </x:c>
      <x:c r="K24" s="2" t="n">
        <x:f>IF(E24=H24,1,0)</x:f>
        <x:v>0</x:v>
      </x:c>
      <x:c r="L24" s="2" t="str">
        <x:v>Bruce / Craig</x:v>
      </x:c>
      <x:c r="M24" t="str"/>
      <x:c r="N24" t="str">
        <x:v>Supplied</x:v>
      </x:c>
    </x:row>
    <x:row r="25" ht="22" customHeight="1">
      <x:c r="A25" s="2" t="n">
        <x:v>1</x:v>
      </x:c>
      <x:c r="B25" s="2" t="str">
        <x:v>Regular</x:v>
      </x:c>
      <x:c r="C25" s="2" t="str">
        <x:v>Mark</x:v>
      </x:c>
      <x:c r="D25" s="2" t="str">
        <x:v>wacky waving arms</x:v>
      </x:c>
      <x:c r="E25" s="15" t="n">
        <x:v>137</x:v>
      </x:c>
      <x:c r="F25" s="2" t="str">
        <x:v>James B.</x:v>
      </x:c>
      <x:c r="G25" s="2" t="str">
        <x:v>Bend it Beckham Jr.</x:v>
      </x:c>
      <x:c r="H25" s="15" t="n">
        <x:v>132</x:v>
      </x:c>
      <x:c r="I25" s="2" t="str">
        <x:f>IF(E25&gt;H25,C25,IF(E25&lt;H25,F25,"Tie"))</x:f>
        <x:v>Mark</x:v>
      </x:c>
      <x:c r="J25" s="2" t="str">
        <x:f>IF(E25&gt;H25,F25,IF(E25&lt;H25,C25,"Tie"))</x:f>
        <x:v>James B.</x:v>
      </x:c>
      <x:c r="K25" s="2" t="n">
        <x:f>IF(E25=H25,1,0)</x:f>
        <x:v>0</x:v>
      </x:c>
      <x:c r="L25" s="2" t="str">
        <x:v>James B. / Mark</x:v>
      </x:c>
      <x:c r="M25" t="str"/>
      <x:c r="N25" t="str">
        <x:v>Supplied</x:v>
      </x:c>
    </x:row>
    <x:row r="26" ht="22" customHeight="1">
      <x:c r="A26" s="2" t="n">
        <x:v>1</x:v>
      </x:c>
      <x:c r="B26" s="2" t="str">
        <x:v>Regular</x:v>
      </x:c>
      <x:c r="C26" s="2" t="str">
        <x:v>Josh</x:v>
      </x:c>
      <x:c r="D26" s="2" t="str">
        <x:v>bobby rawls</x:v>
      </x:c>
      <x:c r="E26" s="15" t="n">
        <x:v>104</x:v>
      </x:c>
      <x:c r="F26" s="2" t="str">
        <x:v>Ben</x:v>
      </x:c>
      <x:c r="G26" s="2" t="str">
        <x:v>Ben's Team</x:v>
      </x:c>
      <x:c r="H26" s="15" t="n">
        <x:v>163</x:v>
      </x:c>
      <x:c r="I26" s="2" t="str">
        <x:f>IF(E26&gt;H26,C26,IF(E26&lt;H26,F26,"Tie"))</x:f>
        <x:v>Ben</x:v>
      </x:c>
      <x:c r="J26" s="2" t="str">
        <x:f>IF(E26&gt;H26,F26,IF(E26&lt;H26,C26,"Tie"))</x:f>
        <x:v>Josh</x:v>
      </x:c>
      <x:c r="K26" s="2" t="n">
        <x:f>IF(E26=H26,1,0)</x:f>
        <x:v>0</x:v>
      </x:c>
      <x:c r="L26" s="2" t="str">
        <x:v>Ben / Josh</x:v>
      </x:c>
      <x:c r="M26" t="str"/>
      <x:c r="N26" t="str">
        <x:v>Supplied</x:v>
      </x:c>
    </x:row>
    <x:row r="27" ht="22" customHeight="1">
      <x:c r="A27" s="2" t="n">
        <x:v>1</x:v>
      </x:c>
      <x:c r="B27" s="2" t="str">
        <x:v>Regular</x:v>
      </x:c>
      <x:c r="C27" s="2" t="str">
        <x:v>Ed</x:v>
      </x:c>
      <x:c r="D27" s="2" t="str">
        <x:v>Poff's Pocket Rocket</x:v>
      </x:c>
      <x:c r="E27" s="15" t="n">
        <x:v>96</x:v>
      </x:c>
      <x:c r="F27" s="2" t="str">
        <x:v>Taylor</x:v>
      </x:c>
      <x:c r="G27" s="2" t="str">
        <x:v>who s 10 was it</x:v>
      </x:c>
      <x:c r="H27" s="15" t="n">
        <x:v>121</x:v>
      </x:c>
      <x:c r="I27" s="2" t="str">
        <x:f>IF(E27&gt;H27,C27,IF(E27&lt;H27,F27,"Tie"))</x:f>
        <x:v>Taylor</x:v>
      </x:c>
      <x:c r="J27" s="2" t="str">
        <x:f>IF(E27&gt;H27,F27,IF(E27&lt;H27,C27,"Tie"))</x:f>
        <x:v>Ed</x:v>
      </x:c>
      <x:c r="K27" s="2" t="n">
        <x:f>IF(E27=H27,1,0)</x:f>
        <x:v>0</x:v>
      </x:c>
      <x:c r="L27" s="2" t="str">
        <x:v>Ed / Taylor</x:v>
      </x:c>
      <x:c r="M27" t="str"/>
      <x:c r="N27" t="str">
        <x:v>Supplied</x:v>
      </x:c>
    </x:row>
    <x:row r="28" ht="22" customHeight="1">
      <x:c r="A28" s="2" t="n">
        <x:v>1</x:v>
      </x:c>
      <x:c r="B28" s="2" t="str">
        <x:v>Regular</x:v>
      </x:c>
      <x:c r="C28" s="2" t="str">
        <x:v>Grossi</x:v>
      </x:c>
      <x:c r="D28" s="2" t="str">
        <x:v>Grossi Posse</x:v>
      </x:c>
      <x:c r="E28" s="15" t="n">
        <x:v>104</x:v>
      </x:c>
      <x:c r="F28" s="2" t="str">
        <x:v>Matt</x:v>
      </x:c>
      <x:c r="G28" s="2" t="str">
        <x:v>🌵</x:v>
      </x:c>
      <x:c r="H28" s="15" t="n">
        <x:v>137</x:v>
      </x:c>
      <x:c r="I28" s="2" t="str">
        <x:f>IF(E28&gt;H28,C28,IF(E28&lt;H28,F28,"Tie"))</x:f>
        <x:v>Matt</x:v>
      </x:c>
      <x:c r="J28" s="2" t="str">
        <x:f>IF(E28&gt;H28,F28,IF(E28&lt;H28,C28,"Tie"))</x:f>
        <x:v>Grossi</x:v>
      </x:c>
      <x:c r="K28" s="2" t="n">
        <x:f>IF(E28=H28,1,0)</x:f>
        <x:v>0</x:v>
      </x:c>
      <x:c r="L28" s="2" t="str">
        <x:v>Grossi / Matt</x:v>
      </x:c>
      <x:c r="M28" t="str"/>
      <x:c r="N28" t="str">
        <x:v>Supplied</x:v>
      </x:c>
    </x:row>
    <x:row r="29" ht="22" customHeight="1">
      <x:c r="A29" s="2" t="n">
        <x:v>2</x:v>
      </x:c>
      <x:c r="B29" s="2" t="str">
        <x:v>Regular</x:v>
      </x:c>
      <x:c r="C29" s="2" t="str">
        <x:v>Craig</x:v>
      </x:c>
      <x:c r="D29" s="2" t="str">
        <x:v>The Ants Marching</x:v>
      </x:c>
      <x:c r="E29" s="15" t="n">
        <x:v>124</x:v>
      </x:c>
      <x:c r="F29" s="2" t="str">
        <x:v>James B.</x:v>
      </x:c>
      <x:c r="G29" s="2" t="str">
        <x:v>Bend it Beckham Jr.</x:v>
      </x:c>
      <x:c r="H29" s="15" t="n">
        <x:v>160</x:v>
      </x:c>
      <x:c r="I29" s="2" t="str">
        <x:f>IF(E29&gt;H29,C29,IF(E29&lt;H29,F29,"Tie"))</x:f>
        <x:v>James B.</x:v>
      </x:c>
      <x:c r="J29" s="2" t="str">
        <x:f>IF(E29&gt;H29,F29,IF(E29&lt;H29,C29,"Tie"))</x:f>
        <x:v>Craig</x:v>
      </x:c>
      <x:c r="K29" s="2" t="n">
        <x:f>IF(E29=H29,1,0)</x:f>
        <x:v>0</x:v>
      </x:c>
      <x:c r="L29" s="2" t="str">
        <x:v>Craig / James B.</x:v>
      </x:c>
      <x:c r="M29" t="str"/>
      <x:c r="N29" t="str">
        <x:v>Supplied</x:v>
      </x:c>
    </x:row>
    <x:row r="30" ht="22" customHeight="1">
      <x:c r="A30" s="2" t="n">
        <x:v>2</x:v>
      </x:c>
      <x:c r="B30" s="2" t="str">
        <x:v>Regular</x:v>
      </x:c>
      <x:c r="C30" s="2" t="str">
        <x:v>Mark</x:v>
      </x:c>
      <x:c r="D30" s="2" t="str">
        <x:v>wacky waving arms</x:v>
      </x:c>
      <x:c r="E30" s="15" t="n">
        <x:v>116</x:v>
      </x:c>
      <x:c r="F30" s="2" t="str">
        <x:v>Ben</x:v>
      </x:c>
      <x:c r="G30" s="2" t="str">
        <x:v>Ben's Team</x:v>
      </x:c>
      <x:c r="H30" s="15" t="n">
        <x:v>170</x:v>
      </x:c>
      <x:c r="I30" s="2" t="str">
        <x:f>IF(E30&gt;H30,C30,IF(E30&lt;H30,F30,"Tie"))</x:f>
        <x:v>Ben</x:v>
      </x:c>
      <x:c r="J30" s="2" t="str">
        <x:f>IF(E30&gt;H30,F30,IF(E30&lt;H30,C30,"Tie"))</x:f>
        <x:v>Mark</x:v>
      </x:c>
      <x:c r="K30" s="2" t="n">
        <x:f>IF(E30=H30,1,0)</x:f>
        <x:v>0</x:v>
      </x:c>
      <x:c r="L30" s="2" t="str">
        <x:v>Ben / Mark</x:v>
      </x:c>
      <x:c r="M30" t="str"/>
      <x:c r="N30" t="str">
        <x:v>Supplied</x:v>
      </x:c>
    </x:row>
    <x:row r="31" ht="22" customHeight="1">
      <x:c r="A31" s="2" t="n">
        <x:v>2</x:v>
      </x:c>
      <x:c r="B31" s="2" t="str">
        <x:v>Regular</x:v>
      </x:c>
      <x:c r="C31" s="2" t="str">
        <x:v>Bruce</x:v>
      </x:c>
      <x:c r="D31" s="2" t="str">
        <x:v>The Storm</x:v>
      </x:c>
      <x:c r="E31" s="15" t="n">
        <x:v>109</x:v>
      </x:c>
      <x:c r="F31" s="2" t="str">
        <x:v>Ed</x:v>
      </x:c>
      <x:c r="G31" s="2" t="str">
        <x:v>Poff's Pocket Rocket</x:v>
      </x:c>
      <x:c r="H31" s="15" t="n">
        <x:v>91</x:v>
      </x:c>
      <x:c r="I31" s="2" t="str">
        <x:f>IF(E31&gt;H31,C31,IF(E31&lt;H31,F31,"Tie"))</x:f>
        <x:v>Bruce</x:v>
      </x:c>
      <x:c r="J31" s="2" t="str">
        <x:f>IF(E31&gt;H31,F31,IF(E31&lt;H31,C31,"Tie"))</x:f>
        <x:v>Ed</x:v>
      </x:c>
      <x:c r="K31" s="2" t="n">
        <x:f>IF(E31=H31,1,0)</x:f>
        <x:v>0</x:v>
      </x:c>
      <x:c r="L31" s="2" t="str">
        <x:v>Bruce / Ed</x:v>
      </x:c>
      <x:c r="M31" t="str"/>
      <x:c r="N31" t="str">
        <x:v>Supplied</x:v>
      </x:c>
    </x:row>
    <x:row r="32" ht="22" customHeight="1">
      <x:c r="A32" s="2" t="n">
        <x:v>2</x:v>
      </x:c>
      <x:c r="B32" s="2" t="str">
        <x:v>Regular</x:v>
      </x:c>
      <x:c r="C32" s="2" t="str">
        <x:v>Josh</x:v>
      </x:c>
      <x:c r="D32" s="2" t="str">
        <x:v>bobby rawls</x:v>
      </x:c>
      <x:c r="E32" s="15" t="n">
        <x:v>135</x:v>
      </x:c>
      <x:c r="F32" s="2" t="str">
        <x:v>Matt</x:v>
      </x:c>
      <x:c r="G32" s="2" t="str">
        <x:v>🌵</x:v>
      </x:c>
      <x:c r="H32" s="15" t="n">
        <x:v>67</x:v>
      </x:c>
      <x:c r="I32" s="2" t="str">
        <x:f>IF(E32&gt;H32,C32,IF(E32&lt;H32,F32,"Tie"))</x:f>
        <x:v>Josh</x:v>
      </x:c>
      <x:c r="J32" s="2" t="str">
        <x:f>IF(E32&gt;H32,F32,IF(E32&lt;H32,C32,"Tie"))</x:f>
        <x:v>Matt</x:v>
      </x:c>
      <x:c r="K32" s="2" t="n">
        <x:f>IF(E32=H32,1,0)</x:f>
        <x:v>0</x:v>
      </x:c>
      <x:c r="L32" s="2" t="str">
        <x:v>Josh / Matt</x:v>
      </x:c>
      <x:c r="M32" t="str"/>
      <x:c r="N32" t="str">
        <x:v>Supplied</x:v>
      </x:c>
    </x:row>
    <x:row r="33" ht="22" customHeight="1">
      <x:c r="A33" s="2" t="n">
        <x:v>2</x:v>
      </x:c>
      <x:c r="B33" s="2" t="str">
        <x:v>Regular</x:v>
      </x:c>
      <x:c r="C33" s="2" t="str">
        <x:v>Grossi</x:v>
      </x:c>
      <x:c r="D33" s="2" t="str">
        <x:v>Grossi Posse</x:v>
      </x:c>
      <x:c r="E33" s="15" t="n">
        <x:v>110</x:v>
      </x:c>
      <x:c r="F33" s="2" t="str">
        <x:v>Taylor</x:v>
      </x:c>
      <x:c r="G33" s="2" t="str">
        <x:v>who s 10 was it</x:v>
      </x:c>
      <x:c r="H33" s="15" t="n">
        <x:v>124</x:v>
      </x:c>
      <x:c r="I33" s="2" t="str">
        <x:f>IF(E33&gt;H33,C33,IF(E33&lt;H33,F33,"Tie"))</x:f>
        <x:v>Taylor</x:v>
      </x:c>
      <x:c r="J33" s="2" t="str">
        <x:f>IF(E33&gt;H33,F33,IF(E33&lt;H33,C33,"Tie"))</x:f>
        <x:v>Grossi</x:v>
      </x:c>
      <x:c r="K33" s="2" t="n">
        <x:f>IF(E33=H33,1,0)</x:f>
        <x:v>0</x:v>
      </x:c>
      <x:c r="L33" s="2" t="str">
        <x:v>Grossi / Taylor</x:v>
      </x:c>
      <x:c r="M33" t="str"/>
      <x:c r="N33" t="str">
        <x:v>Supplied</x:v>
      </x:c>
    </x:row>
    <x:row r="34" ht="22" customHeight="1">
      <x:c r="A34" s="2" t="n">
        <x:v>3</x:v>
      </x:c>
      <x:c r="B34" s="2" t="str">
        <x:v>Regular</x:v>
      </x:c>
      <x:c r="C34" s="2" t="str">
        <x:v>Craig</x:v>
      </x:c>
      <x:c r="D34" s="2" t="str">
        <x:v>The Ants Marching</x:v>
      </x:c>
      <x:c r="E34" s="15" t="n">
        <x:v>128</x:v>
      </x:c>
      <x:c r="F34" s="2" t="str">
        <x:v>Mark</x:v>
      </x:c>
      <x:c r="G34" s="2" t="str">
        <x:v>wacky waving arms</x:v>
      </x:c>
      <x:c r="H34" s="15" t="n">
        <x:v>130</x:v>
      </x:c>
      <x:c r="I34" s="2" t="str">
        <x:f>IF(E34&gt;H34,C34,IF(E34&lt;H34,F34,"Tie"))</x:f>
        <x:v>Mark</x:v>
      </x:c>
      <x:c r="J34" s="2" t="str">
        <x:f>IF(E34&gt;H34,F34,IF(E34&lt;H34,C34,"Tie"))</x:f>
        <x:v>Craig</x:v>
      </x:c>
      <x:c r="K34" s="2" t="n">
        <x:f>IF(E34=H34,1,0)</x:f>
        <x:v>0</x:v>
      </x:c>
      <x:c r="L34" s="2" t="str">
        <x:v>Craig / Mark</x:v>
      </x:c>
      <x:c r="M34" t="str"/>
      <x:c r="N34" t="str">
        <x:v>Supplied</x:v>
      </x:c>
    </x:row>
    <x:row r="35" ht="22" customHeight="1">
      <x:c r="A35" s="2" t="n">
        <x:v>3</x:v>
      </x:c>
      <x:c r="B35" s="2" t="str">
        <x:v>Regular</x:v>
      </x:c>
      <x:c r="C35" s="2" t="str">
        <x:v>James B.</x:v>
      </x:c>
      <x:c r="D35" s="2" t="str">
        <x:v>Bend it Beckham Jr.</x:v>
      </x:c>
      <x:c r="E35" s="15" t="n">
        <x:v>130</x:v>
      </x:c>
      <x:c r="F35" s="2" t="str">
        <x:v>Grossi</x:v>
      </x:c>
      <x:c r="G35" s="2" t="str">
        <x:v>Grossi Posse</x:v>
      </x:c>
      <x:c r="H35" s="15" t="n">
        <x:v>131</x:v>
      </x:c>
      <x:c r="I35" s="2" t="str">
        <x:f>IF(E35&gt;H35,C35,IF(E35&lt;H35,F35,"Tie"))</x:f>
        <x:v>Grossi</x:v>
      </x:c>
      <x:c r="J35" s="2" t="str">
        <x:f>IF(E35&gt;H35,F35,IF(E35&lt;H35,C35,"Tie"))</x:f>
        <x:v>James B.</x:v>
      </x:c>
      <x:c r="K35" s="2" t="n">
        <x:f>IF(E35=H35,1,0)</x:f>
        <x:v>0</x:v>
      </x:c>
      <x:c r="L35" s="2" t="str">
        <x:v>Grossi / James B.</x:v>
      </x:c>
      <x:c r="M35" t="str"/>
      <x:c r="N35" t="str">
        <x:v>Supplied</x:v>
      </x:c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137</x:v>
      </x:c>
      <x:c r="F36" s="2" t="str">
        <x:v>Ben</x:v>
      </x:c>
      <x:c r="G36" s="2" t="str">
        <x:v>Ben's Team</x:v>
      </x:c>
      <x:c r="H36" s="15" t="n">
        <x:v>147</x:v>
      </x:c>
      <x:c r="I36" s="2" t="str">
        <x:f>IF(E36&gt;H36,C36,IF(E36&lt;H36,F36,"Tie"))</x:f>
        <x:v>Ben</x:v>
      </x:c>
      <x:c r="J36" s="2" t="str">
        <x:f>IF(E36&gt;H36,F36,IF(E36&lt;H36,C36,"Tie"))</x:f>
        <x:v>Bruce</x:v>
      </x:c>
      <x:c r="K36" s="2" t="n">
        <x:f>IF(E36=H36,1,0)</x:f>
        <x:v>0</x:v>
      </x:c>
      <x:c r="L36" s="2" t="str">
        <x:v>Ben / Bruce</x:v>
      </x:c>
      <x:c r="M36" t="str"/>
      <x:c r="N36" t="str">
        <x:v>Supplied</x:v>
      </x:c>
    </x:row>
    <x:row r="37" ht="22" customHeight="1">
      <x:c r="A37" s="2" t="n">
        <x:v>3</x:v>
      </x:c>
      <x:c r="B37" s="2" t="str">
        <x:v>Regular</x:v>
      </x:c>
      <x:c r="C37" s="2" t="str">
        <x:v>Josh</x:v>
      </x:c>
      <x:c r="D37" s="2" t="str">
        <x:v>bobby rawls</x:v>
      </x:c>
      <x:c r="E37" s="15" t="n">
        <x:v>122</x:v>
      </x:c>
      <x:c r="F37" s="2" t="str">
        <x:v>Ed</x:v>
      </x:c>
      <x:c r="G37" s="2" t="str">
        <x:v>Poff's Pocket Rocket</x:v>
      </x:c>
      <x:c r="H37" s="15" t="n">
        <x:v>86</x:v>
      </x:c>
      <x:c r="I37" s="2" t="str">
        <x:f>IF(E37&gt;H37,C37,IF(E37&lt;H37,F37,"Tie"))</x:f>
        <x:v>Josh</x:v>
      </x:c>
      <x:c r="J37" s="2" t="str">
        <x:f>IF(E37&gt;H37,F37,IF(E37&lt;H37,C37,"Tie"))</x:f>
        <x:v>Ed</x:v>
      </x:c>
      <x:c r="K37" s="2" t="n">
        <x:f>IF(E37=H37,1,0)</x:f>
        <x:v>0</x:v>
      </x:c>
      <x:c r="L37" s="2" t="str">
        <x:v>Ed / Josh</x:v>
      </x:c>
      <x:c r="M37" t="str"/>
      <x:c r="N37" t="str">
        <x:v>Supplied</x:v>
      </x:c>
    </x:row>
    <x:row r="38" ht="22" customHeight="1">
      <x:c r="A38" s="2" t="n">
        <x:v>3</x:v>
      </x:c>
      <x:c r="B38" s="2" t="str">
        <x:v>Regular</x:v>
      </x:c>
      <x:c r="C38" s="2" t="str">
        <x:v>Matt</x:v>
      </x:c>
      <x:c r="D38" s="2" t="str">
        <x:v>🌵</x:v>
      </x:c>
      <x:c r="E38" s="15" t="n">
        <x:v>121</x:v>
      </x:c>
      <x:c r="F38" s="2" t="str">
        <x:v>Taylor</x:v>
      </x:c>
      <x:c r="G38" s="2" t="str">
        <x:v>who s 10 was it</x:v>
      </x:c>
      <x:c r="H38" s="15" t="n">
        <x:v>187</x:v>
      </x:c>
      <x:c r="I38" s="2" t="str">
        <x:f>IF(E38&gt;H38,C38,IF(E38&lt;H38,F38,"Tie"))</x:f>
        <x:v>Taylor</x:v>
      </x:c>
      <x:c r="J38" s="2" t="str">
        <x:f>IF(E38&gt;H38,F38,IF(E38&lt;H38,C38,"Tie"))</x:f>
        <x:v>Matt</x:v>
      </x:c>
      <x:c r="K38" s="2" t="n">
        <x:f>IF(E38=H38,1,0)</x:f>
        <x:v>0</x:v>
      </x:c>
      <x:c r="L38" s="2" t="str">
        <x:v>Matt / Taylor</x:v>
      </x:c>
      <x:c r="M38" t="str"/>
      <x:c r="N38" t="str">
        <x:v>Supplied</x:v>
      </x:c>
    </x:row>
    <x:row r="39" ht="22" customHeight="1">
      <x:c r="A39" s="2" t="n">
        <x:v>4</x:v>
      </x:c>
      <x:c r="B39" s="2" t="str">
        <x:v>Regular</x:v>
      </x:c>
      <x:c r="C39" s="2" t="str">
        <x:v>Mark</x:v>
      </x:c>
      <x:c r="D39" s="2" t="str">
        <x:v>wacky waving arms</x:v>
      </x:c>
      <x:c r="E39" s="15" t="n">
        <x:v>81</x:v>
      </x:c>
      <x:c r="F39" s="2" t="str">
        <x:v>Taylor</x:v>
      </x:c>
      <x:c r="G39" s="2" t="str">
        <x:v>who s 10 was it</x:v>
      </x:c>
      <x:c r="H39" s="15" t="n">
        <x:v>94</x:v>
      </x:c>
      <x:c r="I39" s="2" t="str">
        <x:f>IF(E39&gt;H39,C39,IF(E39&lt;H39,F39,"Tie"))</x:f>
        <x:v>Taylor</x:v>
      </x:c>
      <x:c r="J39" s="2" t="str">
        <x:f>IF(E39&gt;H39,F39,IF(E39&lt;H39,C39,"Tie"))</x:f>
        <x:v>Mark</x:v>
      </x:c>
      <x:c r="K39" s="2" t="n">
        <x:f>IF(E39=H39,1,0)</x:f>
        <x:v>0</x:v>
      </x:c>
      <x:c r="L39" s="2" t="str">
        <x:v>Mark / Taylor</x:v>
      </x:c>
      <x:c r="M39" t="str"/>
      <x:c r="N39" t="str">
        <x:v>Supplied</x:v>
      </x:c>
    </x:row>
    <x:row r="40" ht="22" customHeight="1">
      <x:c r="A40" s="2" t="n">
        <x:v>4</x:v>
      </x:c>
      <x:c r="B40" s="2" t="str">
        <x:v>Regular</x:v>
      </x:c>
      <x:c r="C40" s="2" t="str">
        <x:v>James B.</x:v>
      </x:c>
      <x:c r="D40" s="2" t="str">
        <x:v>Bend it Beckham Jr.</x:v>
      </x:c>
      <x:c r="E40" s="15" t="n">
        <x:v>136</x:v>
      </x:c>
      <x:c r="F40" s="2" t="str">
        <x:v>Matt</x:v>
      </x:c>
      <x:c r="G40" s="2" t="str">
        <x:v>🌵</x:v>
      </x:c>
      <x:c r="H40" s="15" t="n">
        <x:v>106</x:v>
      </x:c>
      <x:c r="I40" s="2" t="str">
        <x:f>IF(E40&gt;H40,C40,IF(E40&lt;H40,F40,"Tie"))</x:f>
        <x:v>James B.</x:v>
      </x:c>
      <x:c r="J40" s="2" t="str">
        <x:f>IF(E40&gt;H40,F40,IF(E40&lt;H40,C40,"Tie"))</x:f>
        <x:v>Matt</x:v>
      </x:c>
      <x:c r="K40" s="2" t="n">
        <x:f>IF(E40=H40,1,0)</x:f>
        <x:v>0</x:v>
      </x:c>
      <x:c r="L40" s="2" t="str">
        <x:v>James B. / Matt</x:v>
      </x:c>
      <x:c r="M40" t="str"/>
      <x:c r="N40" t="str">
        <x:v>Supplied</x:v>
      </x:c>
    </x:row>
    <x:row r="41" ht="22" customHeight="1">
      <x:c r="A41" s="2" t="n">
        <x:v>4</x:v>
      </x:c>
      <x:c r="B41" s="2" t="str">
        <x:v>Regular</x:v>
      </x:c>
      <x:c r="C41" s="2" t="str">
        <x:v>Bruce</x:v>
      </x:c>
      <x:c r="D41" s="2" t="str">
        <x:v>The Storm</x:v>
      </x:c>
      <x:c r="E41" s="15" t="n">
        <x:v>83</x:v>
      </x:c>
      <x:c r="F41" s="2" t="str">
        <x:v>Grossi</x:v>
      </x:c>
      <x:c r="G41" s="2" t="str">
        <x:v>Grossi Posse</x:v>
      </x:c>
      <x:c r="H41" s="15" t="n">
        <x:v>79</x:v>
      </x:c>
      <x:c r="I41" s="2" t="str">
        <x:f>IF(E41&gt;H41,C41,IF(E41&lt;H41,F41,"Tie"))</x:f>
        <x:v>Bruce</x:v>
      </x:c>
      <x:c r="J41" s="2" t="str">
        <x:f>IF(E41&gt;H41,F41,IF(E41&lt;H41,C41,"Tie"))</x:f>
        <x:v>Grossi</x:v>
      </x:c>
      <x:c r="K41" s="2" t="n">
        <x:f>IF(E41=H41,1,0)</x:f>
        <x:v>0</x:v>
      </x:c>
      <x:c r="L41" s="2" t="str">
        <x:v>Bruce / Grossi</x:v>
      </x:c>
      <x:c r="M41" t="str"/>
      <x:c r="N41" t="str">
        <x:v>Supplied</x:v>
      </x:c>
    </x:row>
    <x:row r="42" ht="22" customHeight="1">
      <x:c r="A42" s="2" t="n">
        <x:v>4</x:v>
      </x:c>
      <x:c r="B42" s="2" t="str">
        <x:v>Regular</x:v>
      </x:c>
      <x:c r="C42" s="2" t="str">
        <x:v>Ben</x:v>
      </x:c>
      <x:c r="D42" s="2" t="str">
        <x:v>Ben's Team</x:v>
      </x:c>
      <x:c r="E42" s="15" t="n">
        <x:v>84</x:v>
      </x:c>
      <x:c r="F42" s="2" t="str">
        <x:v>Ed</x:v>
      </x:c>
      <x:c r="G42" s="2" t="str">
        <x:v>Poff's Pocket Rocket</x:v>
      </x:c>
      <x:c r="H42" s="15" t="n">
        <x:v>88</x:v>
      </x:c>
      <x:c r="I42" s="2" t="str">
        <x:f>IF(E42&gt;H42,C42,IF(E42&lt;H42,F42,"Tie"))</x:f>
        <x:v>Ed</x:v>
      </x:c>
      <x:c r="J42" s="2" t="str">
        <x:f>IF(E42&gt;H42,F42,IF(E42&lt;H42,C42,"Tie"))</x:f>
        <x:v>Ben</x:v>
      </x:c>
      <x:c r="K42" s="2" t="n">
        <x:f>IF(E42=H42,1,0)</x:f>
        <x:v>0</x:v>
      </x:c>
      <x:c r="L42" s="2" t="str">
        <x:v>Ben / Ed</x:v>
      </x:c>
      <x:c r="M42" t="str"/>
      <x:c r="N42" t="str">
        <x:v>Supplied</x:v>
      </x:c>
    </x:row>
    <x:row r="43" ht="22" customHeight="1">
      <x:c r="A43" s="2" t="n">
        <x:v>4</x:v>
      </x:c>
      <x:c r="B43" s="2" t="str">
        <x:v>Regular</x:v>
      </x:c>
      <x:c r="C43" s="2" t="str">
        <x:v>Josh</x:v>
      </x:c>
      <x:c r="D43" s="2" t="str">
        <x:v>bobby rawls</x:v>
      </x:c>
      <x:c r="E43" s="15" t="n">
        <x:v>84</x:v>
      </x:c>
      <x:c r="F43" s="2" t="str">
        <x:v>Craig</x:v>
      </x:c>
      <x:c r="G43" s="2" t="str">
        <x:v>The Ants Marching</x:v>
      </x:c>
      <x:c r="H43" s="15" t="n">
        <x:v>135</x:v>
      </x:c>
      <x:c r="I43" s="2" t="str">
        <x:f>IF(E43&gt;H43,C43,IF(E43&lt;H43,F43,"Tie"))</x:f>
        <x:v>Craig</x:v>
      </x:c>
      <x:c r="J43" s="2" t="str">
        <x:f>IF(E43&gt;H43,F43,IF(E43&lt;H43,C43,"Tie"))</x:f>
        <x:v>Josh</x:v>
      </x:c>
      <x:c r="K43" s="2" t="n">
        <x:f>IF(E43=H43,1,0)</x:f>
        <x:v>0</x:v>
      </x:c>
      <x:c r="L43" s="2" t="str">
        <x:v>Craig / Josh</x:v>
      </x:c>
      <x:c r="M43" t="str"/>
      <x:c r="N43" t="str">
        <x:v>Supplied</x:v>
      </x:c>
    </x:row>
    <x:row r="44" ht="22" customHeight="1">
      <x:c r="A44" s="2" t="n">
        <x:v>5</x:v>
      </x:c>
      <x:c r="B44" s="2" t="str">
        <x:v>Regular</x:v>
      </x:c>
      <x:c r="C44" s="2" t="str">
        <x:v>Craig</x:v>
      </x:c>
      <x:c r="D44" s="2" t="str">
        <x:v>The Ants Marching</x:v>
      </x:c>
      <x:c r="E44" s="15" t="n">
        <x:v>127</x:v>
      </x:c>
      <x:c r="F44" s="2" t="str">
        <x:v>Ed</x:v>
      </x:c>
      <x:c r="G44" s="2" t="str">
        <x:v>Poff's Pocket Rocket</x:v>
      </x:c>
      <x:c r="H44" s="15" t="n">
        <x:v>72</x:v>
      </x:c>
      <x:c r="I44" s="2" t="str">
        <x:f>IF(E44&gt;H44,C44,IF(E44&lt;H44,F44,"Tie"))</x:f>
        <x:v>Craig</x:v>
      </x:c>
      <x:c r="J44" s="2" t="str">
        <x:f>IF(E44&gt;H44,F44,IF(E44&lt;H44,C44,"Tie"))</x:f>
        <x:v>Ed</x:v>
      </x:c>
      <x:c r="K44" s="2" t="n">
        <x:f>IF(E44=H44,1,0)</x:f>
        <x:v>0</x:v>
      </x:c>
      <x:c r="L44" s="2" t="str">
        <x:v>Craig / Ed</x:v>
      </x:c>
      <x:c r="M44" t="str"/>
      <x:c r="N44" t="str">
        <x:v>Supplied</x:v>
      </x:c>
    </x:row>
    <x:row r="45" ht="22" customHeight="1">
      <x:c r="A45" s="2" t="n">
        <x:v>5</x:v>
      </x:c>
      <x:c r="B45" s="2" t="str">
        <x:v>Regular</x:v>
      </x:c>
      <x:c r="C45" s="2" t="str">
        <x:v>James B.</x:v>
      </x:c>
      <x:c r="D45" s="2" t="str">
        <x:v>Bend it Beckham Jr.</x:v>
      </x:c>
      <x:c r="E45" s="15" t="n">
        <x:v>126</x:v>
      </x:c>
      <x:c r="F45" s="2" t="str">
        <x:v>Taylor</x:v>
      </x:c>
      <x:c r="G45" s="2" t="str">
        <x:v>who s 10 was it</x:v>
      </x:c>
      <x:c r="H45" s="15" t="n">
        <x:v>122</x:v>
      </x:c>
      <x:c r="I45" s="2" t="str">
        <x:f>IF(E45&gt;H45,C45,IF(E45&lt;H45,F45,"Tie"))</x:f>
        <x:v>James B.</x:v>
      </x:c>
      <x:c r="J45" s="2" t="str">
        <x:f>IF(E45&gt;H45,F45,IF(E45&lt;H45,C45,"Tie"))</x:f>
        <x:v>Taylor</x:v>
      </x:c>
      <x:c r="K45" s="2" t="n">
        <x:f>IF(E45=H45,1,0)</x:f>
        <x:v>0</x:v>
      </x:c>
      <x:c r="L45" s="2" t="str">
        <x:v>James B. / Taylor</x:v>
      </x:c>
      <x:c r="M45" t="str"/>
      <x:c r="N45" t="str">
        <x:v>Supplied</x:v>
      </x:c>
    </x:row>
    <x:row r="46" ht="22" customHeight="1">
      <x:c r="A46" s="2" t="n">
        <x:v>5</x:v>
      </x:c>
      <x:c r="B46" s="2" t="str">
        <x:v>Regular</x:v>
      </x:c>
      <x:c r="C46" s="2" t="str">
        <x:v>Bruce</x:v>
      </x:c>
      <x:c r="D46" s="2" t="str">
        <x:v>The Storm</x:v>
      </x:c>
      <x:c r="E46" s="15" t="n">
        <x:v>94</x:v>
      </x:c>
      <x:c r="F46" s="2" t="str">
        <x:v>Matt</x:v>
      </x:c>
      <x:c r="G46" s="2" t="str">
        <x:v>🌵</x:v>
      </x:c>
      <x:c r="H46" s="15" t="n">
        <x:v>113</x:v>
      </x:c>
      <x:c r="I46" s="2" t="str">
        <x:f>IF(E46&gt;H46,C46,IF(E46&lt;H46,F46,"Tie"))</x:f>
        <x:v>Matt</x:v>
      </x:c>
      <x:c r="J46" s="2" t="str">
        <x:f>IF(E46&gt;H46,F46,IF(E46&lt;H46,C46,"Tie"))</x:f>
        <x:v>Bruce</x:v>
      </x:c>
      <x:c r="K46" s="2" t="n">
        <x:f>IF(E46=H46,1,0)</x:f>
        <x:v>0</x:v>
      </x:c>
      <x:c r="L46" s="2" t="str">
        <x:v>Bruce / Matt</x:v>
      </x:c>
      <x:c r="M46" t="str"/>
      <x:c r="N46" t="str">
        <x:v>Supplied</x:v>
      </x:c>
    </x:row>
    <x:row r="47" ht="22" customHeight="1">
      <x:c r="A47" s="2" t="n">
        <x:v>5</x:v>
      </x:c>
      <x:c r="B47" s="2" t="str">
        <x:v>Regular</x:v>
      </x:c>
      <x:c r="C47" s="2" t="str">
        <x:v>Ben</x:v>
      </x:c>
      <x:c r="D47" s="2" t="str">
        <x:v>Ben's Team</x:v>
      </x:c>
      <x:c r="E47" s="15" t="n">
        <x:v>160</x:v>
      </x:c>
      <x:c r="F47" s="2" t="str">
        <x:v>Grossi</x:v>
      </x:c>
      <x:c r="G47" s="2" t="str">
        <x:v>Grossi Posse</x:v>
      </x:c>
      <x:c r="H47" s="15" t="n">
        <x:v>104</x:v>
      </x:c>
      <x:c r="I47" s="2" t="str">
        <x:f>IF(E47&gt;H47,C47,IF(E47&lt;H47,F47,"Tie"))</x:f>
        <x:v>Ben</x:v>
      </x:c>
      <x:c r="J47" s="2" t="str">
        <x:f>IF(E47&gt;H47,F47,IF(E47&lt;H47,C47,"Tie"))</x:f>
        <x:v>Grossi</x:v>
      </x:c>
      <x:c r="K47" s="2" t="n">
        <x:f>IF(E47=H47,1,0)</x:f>
        <x:v>0</x:v>
      </x:c>
      <x:c r="L47" s="2" t="str">
        <x:v>Ben / Grossi</x:v>
      </x:c>
      <x:c r="M47" t="str"/>
      <x:c r="N47" t="str">
        <x:v>Supplied</x:v>
      </x:c>
    </x:row>
    <x:row r="48" ht="22" customHeight="1">
      <x:c r="A48" s="2" t="n">
        <x:v>5</x:v>
      </x:c>
      <x:c r="B48" s="2" t="str">
        <x:v>Regular</x:v>
      </x:c>
      <x:c r="C48" s="2" t="str">
        <x:v>Josh</x:v>
      </x:c>
      <x:c r="D48" s="2" t="str">
        <x:v>bobby rawls</x:v>
      </x:c>
      <x:c r="E48" s="15" t="n">
        <x:v>120</x:v>
      </x:c>
      <x:c r="F48" s="2" t="str">
        <x:v>Mark</x:v>
      </x:c>
      <x:c r="G48" s="2" t="str">
        <x:v>wacky waving arms</x:v>
      </x:c>
      <x:c r="H48" s="15" t="n">
        <x:v>118</x:v>
      </x:c>
      <x:c r="I48" s="2" t="str">
        <x:f>IF(E48&gt;H48,C48,IF(E48&lt;H48,F48,"Tie"))</x:f>
        <x:v>Josh</x:v>
      </x:c>
      <x:c r="J48" s="2" t="str">
        <x:f>IF(E48&gt;H48,F48,IF(E48&lt;H48,C48,"Tie"))</x:f>
        <x:v>Mark</x:v>
      </x:c>
      <x:c r="K48" s="2" t="n">
        <x:f>IF(E48=H48,1,0)</x:f>
        <x:v>0</x:v>
      </x:c>
      <x:c r="L48" s="2" t="str">
        <x:v>Josh / Mark</x:v>
      </x:c>
      <x:c r="M48" t="str"/>
      <x:c r="N48" t="str">
        <x:v>Supplied</x:v>
      </x:c>
    </x:row>
    <x:row r="49" ht="22" customHeight="1">
      <x:c r="A49" s="2" t="n">
        <x:v>6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118</x:v>
      </x:c>
      <x:c r="F49" s="2" t="str">
        <x:v>Ben</x:v>
      </x:c>
      <x:c r="G49" s="2" t="str">
        <x:v>Ben's Team</x:v>
      </x:c>
      <x:c r="H49" s="15" t="n">
        <x:v>148</x:v>
      </x:c>
      <x:c r="I49" s="2" t="str">
        <x:f>IF(E49&gt;H49,C49,IF(E49&lt;H49,F49,"Tie"))</x:f>
        <x:v>Ben</x:v>
      </x:c>
      <x:c r="J49" s="2" t="str">
        <x:f>IF(E49&gt;H49,F49,IF(E49&lt;H49,C49,"Tie"))</x:f>
        <x:v>Craig</x:v>
      </x:c>
      <x:c r="K49" s="2" t="n">
        <x:f>IF(E49=H49,1,0)</x:f>
        <x:v>0</x:v>
      </x:c>
      <x:c r="L49" s="2" t="str">
        <x:v>Ben / Craig</x:v>
      </x:c>
      <x:c r="M49" t="str"/>
      <x:c r="N49" t="str">
        <x:v>Supplied</x:v>
      </x:c>
    </x:row>
    <x:row r="50" ht="22" customHeight="1">
      <x:c r="A50" s="2" t="n">
        <x:v>6</x:v>
      </x:c>
      <x:c r="B50" s="2" t="str">
        <x:v>Regular</x:v>
      </x:c>
      <x:c r="C50" s="2" t="str">
        <x:v>Mark</x:v>
      </x:c>
      <x:c r="D50" s="2" t="str">
        <x:v>wacky waving arms</x:v>
      </x:c>
      <x:c r="E50" s="15" t="n">
        <x:v>156</x:v>
      </x:c>
      <x:c r="F50" s="2" t="str">
        <x:v>Matt</x:v>
      </x:c>
      <x:c r="G50" s="2" t="str">
        <x:v>🌵</x:v>
      </x:c>
      <x:c r="H50" s="15" t="n">
        <x:v>132</x:v>
      </x:c>
      <x:c r="I50" s="2" t="str">
        <x:f>IF(E50&gt;H50,C50,IF(E50&lt;H50,F50,"Tie"))</x:f>
        <x:v>Mark</x:v>
      </x:c>
      <x:c r="J50" s="2" t="str">
        <x:f>IF(E50&gt;H50,F50,IF(E50&lt;H50,C50,"Tie"))</x:f>
        <x:v>Matt</x:v>
      </x:c>
      <x:c r="K50" s="2" t="n">
        <x:f>IF(E50=H50,1,0)</x:f>
        <x:v>0</x:v>
      </x:c>
      <x:c r="L50" s="2" t="str">
        <x:v>Mark / Matt</x:v>
      </x:c>
      <x:c r="M50" t="str"/>
      <x:c r="N50" t="str">
        <x:v>Supplied</x:v>
      </x:c>
    </x:row>
    <x:row r="51" ht="22" customHeight="1">
      <x:c r="A51" s="2" t="n">
        <x:v>6</x:v>
      </x:c>
      <x:c r="B51" s="2" t="str">
        <x:v>Regular</x:v>
      </x:c>
      <x:c r="C51" s="2" t="str">
        <x:v>James B.</x:v>
      </x:c>
      <x:c r="D51" s="2" t="str">
        <x:v>Bend it Beckham Jr.</x:v>
      </x:c>
      <x:c r="E51" s="15" t="n">
        <x:v>155</x:v>
      </x:c>
      <x:c r="F51" s="2" t="str">
        <x:v>Bruce</x:v>
      </x:c>
      <x:c r="G51" s="2" t="str">
        <x:v>The Storm</x:v>
      </x:c>
      <x:c r="H51" s="15" t="n">
        <x:v>96</x:v>
      </x:c>
      <x:c r="I51" s="2" t="str">
        <x:f>IF(E51&gt;H51,C51,IF(E51&lt;H51,F51,"Tie"))</x:f>
        <x:v>James B.</x:v>
      </x:c>
      <x:c r="J51" s="2" t="str">
        <x:f>IF(E51&gt;H51,F51,IF(E51&lt;H51,C51,"Tie"))</x:f>
        <x:v>Bruce</x:v>
      </x:c>
      <x:c r="K51" s="2" t="n">
        <x:f>IF(E51=H51,1,0)</x:f>
        <x:v>0</x:v>
      </x:c>
      <x:c r="L51" s="2" t="str">
        <x:v>Bruce / James B.</x:v>
      </x:c>
      <x:c r="M51" t="str"/>
      <x:c r="N51" t="str">
        <x:v>Supplied</x:v>
      </x:c>
    </x:row>
    <x:row r="52" ht="22" customHeight="1">
      <x:c r="A52" s="2" t="n">
        <x:v>6</x:v>
      </x:c>
      <x:c r="B52" s="2" t="str">
        <x:v>Regular</x:v>
      </x:c>
      <x:c r="C52" s="2" t="str">
        <x:v>Josh</x:v>
      </x:c>
      <x:c r="D52" s="2" t="str">
        <x:v>bobby rawls</x:v>
      </x:c>
      <x:c r="E52" s="15" t="n">
        <x:v>135</x:v>
      </x:c>
      <x:c r="F52" s="2" t="str">
        <x:v>Taylor</x:v>
      </x:c>
      <x:c r="G52" s="2" t="str">
        <x:v>who s 10 was it</x:v>
      </x:c>
      <x:c r="H52" s="15" t="n">
        <x:v>126</x:v>
      </x:c>
      <x:c r="I52" s="2" t="str">
        <x:f>IF(E52&gt;H52,C52,IF(E52&lt;H52,F52,"Tie"))</x:f>
        <x:v>Josh</x:v>
      </x:c>
      <x:c r="J52" s="2" t="str">
        <x:f>IF(E52&gt;H52,F52,IF(E52&lt;H52,C52,"Tie"))</x:f>
        <x:v>Taylor</x:v>
      </x:c>
      <x:c r="K52" s="2" t="n">
        <x:f>IF(E52=H52,1,0)</x:f>
        <x:v>0</x:v>
      </x:c>
      <x:c r="L52" s="2" t="str">
        <x:v>Josh / Taylor</x:v>
      </x:c>
      <x:c r="M52" t="str"/>
      <x:c r="N52" t="str">
        <x:v>Supplied</x:v>
      </x:c>
    </x:row>
    <x:row r="53" ht="22" customHeight="1">
      <x:c r="A53" s="2" t="n">
        <x:v>6</x:v>
      </x:c>
      <x:c r="B53" s="2" t="str">
        <x:v>Regular</x:v>
      </x:c>
      <x:c r="C53" s="2" t="str">
        <x:v>Ed</x:v>
      </x:c>
      <x:c r="D53" s="2" t="str">
        <x:v>Poff's Pocket Rocket</x:v>
      </x:c>
      <x:c r="E53" s="15" t="n">
        <x:v>94</x:v>
      </x:c>
      <x:c r="F53" s="2" t="str">
        <x:v>Grossi</x:v>
      </x:c>
      <x:c r="G53" s="2" t="str">
        <x:v>Grossi Posse</x:v>
      </x:c>
      <x:c r="H53" s="15" t="n">
        <x:v>89</x:v>
      </x:c>
      <x:c r="I53" s="2" t="str">
        <x:f>IF(E53&gt;H53,C53,IF(E53&lt;H53,F53,"Tie"))</x:f>
        <x:v>Ed</x:v>
      </x:c>
      <x:c r="J53" s="2" t="str">
        <x:f>IF(E53&gt;H53,F53,IF(E53&lt;H53,C53,"Tie"))</x:f>
        <x:v>Grossi</x:v>
      </x:c>
      <x:c r="K53" s="2" t="n">
        <x:f>IF(E53=H53,1,0)</x:f>
        <x:v>0</x:v>
      </x:c>
      <x:c r="L53" s="2" t="str">
        <x:v>Ed / Grossi</x:v>
      </x:c>
      <x:c r="M53" t="str"/>
      <x:c r="N53" t="str">
        <x:v>Supplied</x:v>
      </x:c>
    </x:row>
    <x:row r="54" ht="22" customHeight="1">
      <x:c r="A54" s="2" t="n">
        <x:v>7</x:v>
      </x:c>
      <x:c r="B54" s="2" t="str">
        <x:v>Regular</x:v>
      </x:c>
      <x:c r="C54" s="2" t="str">
        <x:v>Craig</x:v>
      </x:c>
      <x:c r="D54" s="2" t="str">
        <x:v>The Ants Marching</x:v>
      </x:c>
      <x:c r="E54" s="15" t="n">
        <x:v>87</x:v>
      </x:c>
      <x:c r="F54" s="2" t="str">
        <x:v>Taylor</x:v>
      </x:c>
      <x:c r="G54" s="2" t="str">
        <x:v>who s 10 was it</x:v>
      </x:c>
      <x:c r="H54" s="15" t="n">
        <x:v>79</x:v>
      </x:c>
      <x:c r="I54" s="2" t="str">
        <x:f>IF(E54&gt;H54,C54,IF(E54&lt;H54,F54,"Tie"))</x:f>
        <x:v>Craig</x:v>
      </x:c>
      <x:c r="J54" s="2" t="str">
        <x:f>IF(E54&gt;H54,F54,IF(E54&lt;H54,C54,"Tie"))</x:f>
        <x:v>Taylor</x:v>
      </x:c>
      <x:c r="K54" s="2" t="n">
        <x:f>IF(E54=H54,1,0)</x:f>
        <x:v>0</x:v>
      </x:c>
      <x:c r="L54" s="2" t="str">
        <x:v>Craig / Taylor</x:v>
      </x:c>
      <x:c r="M54" t="str"/>
      <x:c r="N54" t="str">
        <x:v>Supplied</x:v>
      </x:c>
    </x:row>
    <x:row r="55" ht="22" customHeight="1">
      <x:c r="A55" s="2" t="n">
        <x:v>7</x:v>
      </x:c>
      <x:c r="B55" s="2" t="str">
        <x:v>Regular</x:v>
      </x:c>
      <x:c r="C55" s="2" t="str">
        <x:v>Mark</x:v>
      </x:c>
      <x:c r="D55" s="2" t="str">
        <x:v>wacky waving arms</x:v>
      </x:c>
      <x:c r="E55" s="15" t="n">
        <x:v>144</x:v>
      </x:c>
      <x:c r="F55" s="2" t="str">
        <x:v>Bruce</x:v>
      </x:c>
      <x:c r="G55" s="2" t="str">
        <x:v>The Storm</x:v>
      </x:c>
      <x:c r="H55" s="15" t="n">
        <x:v>96</x:v>
      </x:c>
      <x:c r="I55" s="2" t="str">
        <x:f>IF(E55&gt;H55,C55,IF(E55&lt;H55,F55,"Tie"))</x:f>
        <x:v>Mark</x:v>
      </x:c>
      <x:c r="J55" s="2" t="str">
        <x:f>IF(E55&gt;H55,F55,IF(E55&lt;H55,C55,"Tie"))</x:f>
        <x:v>Bruce</x:v>
      </x:c>
      <x:c r="K55" s="2" t="n">
        <x:f>IF(E55=H55,1,0)</x:f>
        <x:v>0</x:v>
      </x:c>
      <x:c r="L55" s="2" t="str">
        <x:v>Bruce / Mark</x:v>
      </x:c>
      <x:c r="M55" t="str"/>
      <x:c r="N55" t="str">
        <x:v>Supplied</x:v>
      </x:c>
    </x:row>
    <x:row r="56" ht="22" customHeight="1">
      <x:c r="A56" s="2" t="n">
        <x:v>7</x:v>
      </x:c>
      <x:c r="B56" s="2" t="str">
        <x:v>Regular</x:v>
      </x:c>
      <x:c r="C56" s="2" t="str">
        <x:v>James B.</x:v>
      </x:c>
      <x:c r="D56" s="2" t="str">
        <x:v>Bend it Beckham Jr.</x:v>
      </x:c>
      <x:c r="E56" s="15" t="n">
        <x:v>120</x:v>
      </x:c>
      <x:c r="F56" s="2" t="str">
        <x:v>Ben</x:v>
      </x:c>
      <x:c r="G56" s="2" t="str">
        <x:v>Ben's Team</x:v>
      </x:c>
      <x:c r="H56" s="15" t="n">
        <x:v>137</x:v>
      </x:c>
      <x:c r="I56" s="2" t="str">
        <x:f>IF(E56&gt;H56,C56,IF(E56&lt;H56,F56,"Tie"))</x:f>
        <x:v>Ben</x:v>
      </x:c>
      <x:c r="J56" s="2" t="str">
        <x:f>IF(E56&gt;H56,F56,IF(E56&lt;H56,C56,"Tie"))</x:f>
        <x:v>James B.</x:v>
      </x:c>
      <x:c r="K56" s="2" t="n">
        <x:f>IF(E56=H56,1,0)</x:f>
        <x:v>0</x:v>
      </x:c>
      <x:c r="L56" s="2" t="str">
        <x:v>Ben / James B.</x:v>
      </x:c>
      <x:c r="M56" t="str"/>
      <x:c r="N56" t="str">
        <x:v>Supplied</x:v>
      </x:c>
    </x:row>
    <x:row r="57" ht="22" customHeight="1">
      <x:c r="A57" s="2" t="n">
        <x:v>7</x:v>
      </x:c>
      <x:c r="B57" s="2" t="str">
        <x:v>Regular</x:v>
      </x:c>
      <x:c r="C57" s="2" t="str">
        <x:v>Josh</x:v>
      </x:c>
      <x:c r="D57" s="2" t="str">
        <x:v>bobby rawls</x:v>
      </x:c>
      <x:c r="E57" s="15" t="n">
        <x:v>128</x:v>
      </x:c>
      <x:c r="F57" s="2" t="str">
        <x:v>Grossi</x:v>
      </x:c>
      <x:c r="G57" s="2" t="str">
        <x:v>Grossi Posse</x:v>
      </x:c>
      <x:c r="H57" s="15" t="n">
        <x:v>111</x:v>
      </x:c>
      <x:c r="I57" s="2" t="str">
        <x:f>IF(E57&gt;H57,C57,IF(E57&lt;H57,F57,"Tie"))</x:f>
        <x:v>Josh</x:v>
      </x:c>
      <x:c r="J57" s="2" t="str">
        <x:f>IF(E57&gt;H57,F57,IF(E57&lt;H57,C57,"Tie"))</x:f>
        <x:v>Grossi</x:v>
      </x:c>
      <x:c r="K57" s="2" t="n">
        <x:f>IF(E57=H57,1,0)</x:f>
        <x:v>0</x:v>
      </x:c>
      <x:c r="L57" s="2" t="str">
        <x:v>Grossi / Josh</x:v>
      </x:c>
      <x:c r="M57" t="str"/>
      <x:c r="N57" t="str">
        <x:v>Supplied</x:v>
      </x:c>
    </x:row>
    <x:row r="58" ht="22" customHeight="1">
      <x:c r="A58" s="2" t="n">
        <x:v>7</x:v>
      </x:c>
      <x:c r="B58" s="2" t="str">
        <x:v>Regular</x:v>
      </x:c>
      <x:c r="C58" s="2" t="str">
        <x:v>Ed</x:v>
      </x:c>
      <x:c r="D58" s="2" t="str">
        <x:v>Poff's Pocket Rocket</x:v>
      </x:c>
      <x:c r="E58" s="15" t="n">
        <x:v>115</x:v>
      </x:c>
      <x:c r="F58" s="2" t="str">
        <x:v>Matt</x:v>
      </x:c>
      <x:c r="G58" s="2" t="str">
        <x:v>🌵</x:v>
      </x:c>
      <x:c r="H58" s="15" t="n">
        <x:v>121</x:v>
      </x:c>
      <x:c r="I58" s="2" t="str">
        <x:f>IF(E58&gt;H58,C58,IF(E58&lt;H58,F58,"Tie"))</x:f>
        <x:v>Matt</x:v>
      </x:c>
      <x:c r="J58" s="2" t="str">
        <x:f>IF(E58&gt;H58,F58,IF(E58&lt;H58,C58,"Tie"))</x:f>
        <x:v>Ed</x:v>
      </x:c>
      <x:c r="K58" s="2" t="n">
        <x:f>IF(E58=H58,1,0)</x:f>
        <x:v>0</x:v>
      </x:c>
      <x:c r="L58" s="2" t="str">
        <x:v>Ed / Matt</x:v>
      </x:c>
      <x:c r="M58" t="str"/>
      <x:c r="N58" t="str">
        <x:v>Supplied</x:v>
      </x:c>
    </x:row>
    <x:row r="59" ht="22" customHeight="1">
      <x:c r="A59" s="2" t="n">
        <x:v>8</x:v>
      </x:c>
      <x:c r="B59" s="2" t="str">
        <x:v>Regular</x:v>
      </x:c>
      <x:c r="C59" s="2" t="str">
        <x:v>Craig</x:v>
      </x:c>
      <x:c r="D59" s="2" t="str">
        <x:v>The Ants Marching</x:v>
      </x:c>
      <x:c r="E59" s="15" t="n">
        <x:v>150</x:v>
      </x:c>
      <x:c r="F59" s="2" t="str">
        <x:v>Bruce</x:v>
      </x:c>
      <x:c r="G59" s="2" t="str">
        <x:v>The Storm</x:v>
      </x:c>
      <x:c r="H59" s="15" t="n">
        <x:v>91</x:v>
      </x:c>
      <x:c r="I59" s="2" t="str">
        <x:f>IF(E59&gt;H59,C59,IF(E59&lt;H59,F59,"Tie"))</x:f>
        <x:v>Craig</x:v>
      </x:c>
      <x:c r="J59" s="2" t="str">
        <x:f>IF(E59&gt;H59,F59,IF(E59&lt;H59,C59,"Tie"))</x:f>
        <x:v>Bruce</x:v>
      </x:c>
      <x:c r="K59" s="2" t="n">
        <x:f>IF(E59=H59,1,0)</x:f>
        <x:v>0</x:v>
      </x:c>
      <x:c r="L59" s="2" t="str">
        <x:v>Bruce / Craig</x:v>
      </x:c>
      <x:c r="M59" t="str"/>
      <x:c r="N59" t="str">
        <x:v>Supplied</x:v>
      </x:c>
    </x:row>
    <x:row r="60" ht="22" customHeight="1">
      <x:c r="A60" s="2" t="n">
        <x:v>8</x:v>
      </x:c>
      <x:c r="B60" s="2" t="str">
        <x:v>Regular</x:v>
      </x:c>
      <x:c r="C60" s="2" t="str">
        <x:v>Mark</x:v>
      </x:c>
      <x:c r="D60" s="2" t="str">
        <x:v>wacky waving arms</x:v>
      </x:c>
      <x:c r="E60" s="15" t="n">
        <x:v>105</x:v>
      </x:c>
      <x:c r="F60" s="2" t="str">
        <x:v>James B.</x:v>
      </x:c>
      <x:c r="G60" s="2" t="str">
        <x:v>Bend it Beckham Jr.</x:v>
      </x:c>
      <x:c r="H60" s="15" t="n">
        <x:v>124</x:v>
      </x:c>
      <x:c r="I60" s="2" t="str">
        <x:f>IF(E60&gt;H60,C60,IF(E60&lt;H60,F60,"Tie"))</x:f>
        <x:v>James B.</x:v>
      </x:c>
      <x:c r="J60" s="2" t="str">
        <x:f>IF(E60&gt;H60,F60,IF(E60&lt;H60,C60,"Tie"))</x:f>
        <x:v>Mark</x:v>
      </x:c>
      <x:c r="K60" s="2" t="n">
        <x:f>IF(E60=H60,1,0)</x:f>
        <x:v>0</x:v>
      </x:c>
      <x:c r="L60" s="2" t="str">
        <x:v>James B. / Mark</x:v>
      </x:c>
      <x:c r="M60" t="str"/>
      <x:c r="N60" t="str">
        <x:v>Supplied</x:v>
      </x:c>
    </x:row>
    <x:row r="61" ht="22" customHeight="1">
      <x:c r="A61" s="2" t="n">
        <x:v>8</x:v>
      </x:c>
      <x:c r="B61" s="2" t="str">
        <x:v>Regular</x:v>
      </x:c>
      <x:c r="C61" s="2" t="str">
        <x:v>Ben</x:v>
      </x:c>
      <x:c r="D61" s="2" t="str">
        <x:v>Ben's Team</x:v>
      </x:c>
      <x:c r="E61" s="15" t="n">
        <x:v>139</x:v>
      </x:c>
      <x:c r="F61" s="2" t="str">
        <x:v>Matt</x:v>
      </x:c>
      <x:c r="G61" s="2" t="str">
        <x:v>🌵</x:v>
      </x:c>
      <x:c r="H61" s="15" t="n">
        <x:v>135</x:v>
      </x:c>
      <x:c r="I61" s="2" t="str">
        <x:f>IF(E61&gt;H61,C61,IF(E61&lt;H61,F61,"Tie"))</x:f>
        <x:v>Ben</x:v>
      </x:c>
      <x:c r="J61" s="2" t="str">
        <x:f>IF(E61&gt;H61,F61,IF(E61&lt;H61,C61,"Tie"))</x:f>
        <x:v>Matt</x:v>
      </x:c>
      <x:c r="K61" s="2" t="n">
        <x:f>IF(E61=H61,1,0)</x:f>
        <x:v>0</x:v>
      </x:c>
      <x:c r="L61" s="2" t="str">
        <x:v>Ben / Matt</x:v>
      </x:c>
      <x:c r="M61" t="str"/>
      <x:c r="N61" t="str">
        <x:v>Supplied</x:v>
      </x:c>
    </x:row>
    <x:row r="62" ht="22" customHeight="1">
      <x:c r="A62" s="2" t="n">
        <x:v>8</x:v>
      </x:c>
      <x:c r="B62" s="2" t="str">
        <x:v>Regular</x:v>
      </x:c>
      <x:c r="C62" s="2" t="str">
        <x:v>Josh</x:v>
      </x:c>
      <x:c r="D62" s="2" t="str">
        <x:v>bobby rawls</x:v>
      </x:c>
      <x:c r="E62" s="15" t="n">
        <x:v>114</x:v>
      </x:c>
      <x:c r="F62" s="2" t="str">
        <x:v>Taylor</x:v>
      </x:c>
      <x:c r="G62" s="2" t="str">
        <x:v>who s 10 was it</x:v>
      </x:c>
      <x:c r="H62" s="15" t="n">
        <x:v>162</x:v>
      </x:c>
      <x:c r="I62" s="2" t="str">
        <x:f>IF(E62&gt;H62,C62,IF(E62&lt;H62,F62,"Tie"))</x:f>
        <x:v>Taylor</x:v>
      </x:c>
      <x:c r="J62" s="2" t="str">
        <x:f>IF(E62&gt;H62,F62,IF(E62&lt;H62,C62,"Tie"))</x:f>
        <x:v>Josh</x:v>
      </x:c>
      <x:c r="K62" s="2" t="n">
        <x:f>IF(E62=H62,1,0)</x:f>
        <x:v>0</x:v>
      </x:c>
      <x:c r="L62" s="2" t="str">
        <x:v>Josh / Taylor</x:v>
      </x:c>
      <x:c r="M62" t="str"/>
      <x:c r="N62" t="str">
        <x:v>Supplied</x:v>
      </x:c>
    </x:row>
    <x:row r="63" ht="22" customHeight="1">
      <x:c r="A63" s="2" t="n">
        <x:v>8</x:v>
      </x:c>
      <x:c r="B63" s="2" t="str">
        <x:v>Regular</x:v>
      </x:c>
      <x:c r="C63" s="2" t="str">
        <x:v>Ed</x:v>
      </x:c>
      <x:c r="D63" s="2" t="str">
        <x:v>Poff's Pocket Rocket</x:v>
      </x:c>
      <x:c r="E63" s="15" t="n">
        <x:v>107</x:v>
      </x:c>
      <x:c r="F63" s="2" t="str">
        <x:v>Grossi</x:v>
      </x:c>
      <x:c r="G63" s="2" t="str">
        <x:v>Grossi Posse</x:v>
      </x:c>
      <x:c r="H63" s="15" t="n">
        <x:v>90</x:v>
      </x:c>
      <x:c r="I63" s="2" t="str">
        <x:f>IF(E63&gt;H63,C63,IF(E63&lt;H63,F63,"Tie"))</x:f>
        <x:v>Ed</x:v>
      </x:c>
      <x:c r="J63" s="2" t="str">
        <x:f>IF(E63&gt;H63,F63,IF(E63&lt;H63,C63,"Tie"))</x:f>
        <x:v>Grossi</x:v>
      </x:c>
      <x:c r="K63" s="2" t="n">
        <x:f>IF(E63=H63,1,0)</x:f>
        <x:v>0</x:v>
      </x:c>
      <x:c r="L63" s="2" t="str">
        <x:v>Ed / Grossi</x:v>
      </x:c>
      <x:c r="M63" t="str"/>
      <x:c r="N63" t="str">
        <x:v>Supplied</x:v>
      </x:c>
    </x:row>
    <x:row r="64" ht="22" customHeight="1">
      <x:c r="A64" s="2" t="n">
        <x:v>9</x:v>
      </x:c>
      <x:c r="B64" s="2" t="str">
        <x:v>Regular</x:v>
      </x:c>
      <x:c r="C64" s="2" t="str">
        <x:v>Craig</x:v>
      </x:c>
      <x:c r="D64" s="2" t="str">
        <x:v>The Ants Marching</x:v>
      </x:c>
      <x:c r="E64" s="15" t="n">
        <x:v>157</x:v>
      </x:c>
      <x:c r="F64" s="2" t="str">
        <x:v>Matt</x:v>
      </x:c>
      <x:c r="G64" s="2" t="str">
        <x:v>🌵</x:v>
      </x:c>
      <x:c r="H64" s="15" t="n">
        <x:v>122</x:v>
      </x:c>
      <x:c r="I64" s="2" t="str">
        <x:f>IF(E64&gt;H64,C64,IF(E64&lt;H64,F64,"Tie"))</x:f>
        <x:v>Craig</x:v>
      </x:c>
      <x:c r="J64" s="2" t="str">
        <x:f>IF(E64&gt;H64,F64,IF(E64&lt;H64,C64,"Tie"))</x:f>
        <x:v>Matt</x:v>
      </x:c>
      <x:c r="K64" s="2" t="n">
        <x:f>IF(E64=H64,1,0)</x:f>
        <x:v>0</x:v>
      </x:c>
      <x:c r="L64" s="2" t="str">
        <x:v>Craig / Matt</x:v>
      </x:c>
      <x:c r="M64" t="str"/>
      <x:c r="N64" t="str">
        <x:v>Supplied</x:v>
      </x:c>
    </x:row>
    <x:row r="65" ht="22" customHeight="1">
      <x:c r="A65" s="2" t="n">
        <x:v>9</x:v>
      </x:c>
      <x:c r="B65" s="2" t="str">
        <x:v>Regular</x:v>
      </x:c>
      <x:c r="C65" s="2" t="str">
        <x:v>Mark</x:v>
      </x:c>
      <x:c r="D65" s="2" t="str">
        <x:v>wacky waving arms</x:v>
      </x:c>
      <x:c r="E65" s="15" t="n">
        <x:v>141</x:v>
      </x:c>
      <x:c r="F65" s="2" t="str">
        <x:v>Grossi</x:v>
      </x:c>
      <x:c r="G65" s="2" t="str">
        <x:v>Grossi Posse</x:v>
      </x:c>
      <x:c r="H65" s="15" t="n">
        <x:v>188</x:v>
      </x:c>
      <x:c r="I65" s="2" t="str">
        <x:f>IF(E65&gt;H65,C65,IF(E65&lt;H65,F65,"Tie"))</x:f>
        <x:v>Grossi</x:v>
      </x:c>
      <x:c r="J65" s="2" t="str">
        <x:f>IF(E65&gt;H65,F65,IF(E65&lt;H65,C65,"Tie"))</x:f>
        <x:v>Mark</x:v>
      </x:c>
      <x:c r="K65" s="2" t="n">
        <x:f>IF(E65=H65,1,0)</x:f>
        <x:v>0</x:v>
      </x:c>
      <x:c r="L65" s="2" t="str">
        <x:v>Grossi / Mark</x:v>
      </x:c>
      <x:c r="M65" t="str"/>
      <x:c r="N65" t="str">
        <x:v>Supplied</x:v>
      </x:c>
    </x:row>
    <x:row r="66" ht="22" customHeight="1">
      <x:c r="A66" s="2" t="n">
        <x:v>9</x:v>
      </x:c>
      <x:c r="B66" s="2" t="str">
        <x:v>Regular</x:v>
      </x:c>
      <x:c r="C66" s="2" t="str">
        <x:v>James B.</x:v>
      </x:c>
      <x:c r="D66" s="2" t="str">
        <x:v>Bend it Beckham Jr.</x:v>
      </x:c>
      <x:c r="E66" s="15" t="n">
        <x:v>133</x:v>
      </x:c>
      <x:c r="F66" s="2" t="str">
        <x:v>Ed</x:v>
      </x:c>
      <x:c r="G66" s="2" t="str">
        <x:v>Poff's Pocket Rocket</x:v>
      </x:c>
      <x:c r="H66" s="15" t="n">
        <x:v>139</x:v>
      </x:c>
      <x:c r="I66" s="2" t="str">
        <x:f>IF(E66&gt;H66,C66,IF(E66&lt;H66,F66,"Tie"))</x:f>
        <x:v>Ed</x:v>
      </x:c>
      <x:c r="J66" s="2" t="str">
        <x:f>IF(E66&gt;H66,F66,IF(E66&lt;H66,C66,"Tie"))</x:f>
        <x:v>James B.</x:v>
      </x:c>
      <x:c r="K66" s="2" t="n">
        <x:f>IF(E66=H66,1,0)</x:f>
        <x:v>0</x:v>
      </x:c>
      <x:c r="L66" s="2" t="str">
        <x:v>Ed / James B.</x:v>
      </x:c>
      <x:c r="M66" t="str"/>
      <x:c r="N66" t="str">
        <x:v>Supplied</x:v>
      </x:c>
    </x:row>
    <x:row r="67" ht="22" customHeight="1">
      <x:c r="A67" s="2" t="n">
        <x:v>9</x:v>
      </x:c>
      <x:c r="B67" s="2" t="str">
        <x:v>Regular</x:v>
      </x:c>
      <x:c r="C67" s="2" t="str">
        <x:v>Ben</x:v>
      </x:c>
      <x:c r="D67" s="2" t="str">
        <x:v>Ben's Team</x:v>
      </x:c>
      <x:c r="E67" s="15" t="n">
        <x:v>102</x:v>
      </x:c>
      <x:c r="F67" s="2" t="str">
        <x:v>Taylor</x:v>
      </x:c>
      <x:c r="G67" s="2" t="str">
        <x:v>who s 10 was it</x:v>
      </x:c>
      <x:c r="H67" s="15" t="n">
        <x:v>123</x:v>
      </x:c>
      <x:c r="I67" s="2" t="str">
        <x:f>IF(E67&gt;H67,C67,IF(E67&lt;H67,F67,"Tie"))</x:f>
        <x:v>Taylor</x:v>
      </x:c>
      <x:c r="J67" s="2" t="str">
        <x:f>IF(E67&gt;H67,F67,IF(E67&lt;H67,C67,"Tie"))</x:f>
        <x:v>Ben</x:v>
      </x:c>
      <x:c r="K67" s="2" t="n">
        <x:f>IF(E67=H67,1,0)</x:f>
        <x:v>0</x:v>
      </x:c>
      <x:c r="L67" s="2" t="str">
        <x:v>Ben / Taylor</x:v>
      </x:c>
      <x:c r="M67" t="str"/>
      <x:c r="N67" t="str">
        <x:v>Supplied</x:v>
      </x:c>
    </x:row>
    <x:row r="68" ht="22" customHeight="1">
      <x:c r="A68" s="2" t="n">
        <x:v>9</x:v>
      </x:c>
      <x:c r="B68" s="2" t="str">
        <x:v>Regular</x:v>
      </x:c>
      <x:c r="C68" s="2" t="str">
        <x:v>Josh</x:v>
      </x:c>
      <x:c r="D68" s="2" t="str">
        <x:v>bobby rawls</x:v>
      </x:c>
      <x:c r="E68" s="15" t="n">
        <x:v>128</x:v>
      </x:c>
      <x:c r="F68" s="2" t="str">
        <x:v>Bruce</x:v>
      </x:c>
      <x:c r="G68" s="2" t="str">
        <x:v>The Storm</x:v>
      </x:c>
      <x:c r="H68" s="15" t="n">
        <x:v>130</x:v>
      </x:c>
      <x:c r="I68" s="2" t="str">
        <x:f>IF(E68&gt;H68,C68,IF(E68&lt;H68,F68,"Tie"))</x:f>
        <x:v>Bruce</x:v>
      </x:c>
      <x:c r="J68" s="2" t="str">
        <x:f>IF(E68&gt;H68,F68,IF(E68&lt;H68,C68,"Tie"))</x:f>
        <x:v>Josh</x:v>
      </x:c>
      <x:c r="K68" s="2" t="n">
        <x:f>IF(E68=H68,1,0)</x:f>
        <x:v>0</x:v>
      </x:c>
      <x:c r="L68" s="2" t="str">
        <x:v>Bruce / Josh</x:v>
      </x:c>
      <x:c r="M68" t="str"/>
      <x:c r="N68" t="str">
        <x:v>Supplied</x:v>
      </x:c>
    </x:row>
    <x:row r="69" ht="22" customHeight="1">
      <x:c r="A69" s="2" t="n">
        <x:v>10</x:v>
      </x:c>
      <x:c r="B69" s="2" t="str">
        <x:v>Regular</x:v>
      </x:c>
      <x:c r="C69" s="2" t="str">
        <x:v>Craig</x:v>
      </x:c>
      <x:c r="D69" s="2" t="str">
        <x:v>The Ants Marching</x:v>
      </x:c>
      <x:c r="E69" s="15" t="n">
        <x:v>94</x:v>
      </x:c>
      <x:c r="F69" s="2" t="str">
        <x:v>Grossi</x:v>
      </x:c>
      <x:c r="G69" s="2" t="str">
        <x:v>Grossi Posse</x:v>
      </x:c>
      <x:c r="H69" s="15" t="n">
        <x:v>144</x:v>
      </x:c>
      <x:c r="I69" s="2" t="str">
        <x:f>IF(E69&gt;H69,C69,IF(E69&lt;H69,F69,"Tie"))</x:f>
        <x:v>Grossi</x:v>
      </x:c>
      <x:c r="J69" s="2" t="str">
        <x:f>IF(E69&gt;H69,F69,IF(E69&lt;H69,C69,"Tie"))</x:f>
        <x:v>Craig</x:v>
      </x:c>
      <x:c r="K69" s="2" t="n">
        <x:f>IF(E69=H69,1,0)</x:f>
        <x:v>0</x:v>
      </x:c>
      <x:c r="L69" s="2" t="str">
        <x:v>Craig / Grossi</x:v>
      </x:c>
      <x:c r="M69" t="str"/>
      <x:c r="N69" t="str">
        <x:v>Supplied</x:v>
      </x:c>
    </x:row>
    <x:row r="70" ht="22" customHeight="1">
      <x:c r="A70" s="2" t="n">
        <x:v>10</x:v>
      </x:c>
      <x:c r="B70" s="2" t="str">
        <x:v>Regular</x:v>
      </x:c>
      <x:c r="C70" s="2" t="str">
        <x:v>Mark</x:v>
      </x:c>
      <x:c r="D70" s="2" t="str">
        <x:v>wacky waving arms</x:v>
      </x:c>
      <x:c r="E70" s="15" t="n">
        <x:v>121</x:v>
      </x:c>
      <x:c r="F70" s="2" t="str">
        <x:v>Ed</x:v>
      </x:c>
      <x:c r="G70" s="2" t="str">
        <x:v>Poff's Pocket Rocket</x:v>
      </x:c>
      <x:c r="H70" s="15" t="n">
        <x:v>137</x:v>
      </x:c>
      <x:c r="I70" s="2" t="str">
        <x:f>IF(E70&gt;H70,C70,IF(E70&lt;H70,F70,"Tie"))</x:f>
        <x:v>Ed</x:v>
      </x:c>
      <x:c r="J70" s="2" t="str">
        <x:f>IF(E70&gt;H70,F70,IF(E70&lt;H70,C70,"Tie"))</x:f>
        <x:v>Mark</x:v>
      </x:c>
      <x:c r="K70" s="2" t="n">
        <x:f>IF(E70=H70,1,0)</x:f>
        <x:v>0</x:v>
      </x:c>
      <x:c r="L70" s="2" t="str">
        <x:v>Ed / Mark</x:v>
      </x:c>
      <x:c r="M70" t="str"/>
      <x:c r="N70" t="str">
        <x:v>Supplied</x:v>
      </x:c>
    </x:row>
    <x:row r="71" ht="22" customHeight="1">
      <x:c r="A71" s="2" t="n">
        <x:v>10</x:v>
      </x:c>
      <x:c r="B71" s="2" t="str">
        <x:v>Regular</x:v>
      </x:c>
      <x:c r="C71" s="2" t="str">
        <x:v>Bruce</x:v>
      </x:c>
      <x:c r="D71" s="2" t="str">
        <x:v>The Storm</x:v>
      </x:c>
      <x:c r="E71" s="15" t="n">
        <x:v>114</x:v>
      </x:c>
      <x:c r="F71" s="2" t="str">
        <x:v>Taylor</x:v>
      </x:c>
      <x:c r="G71" s="2" t="str">
        <x:v>who s 10 was it</x:v>
      </x:c>
      <x:c r="H71" s="15" t="n">
        <x:v>127</x:v>
      </x:c>
      <x:c r="I71" s="2" t="str">
        <x:f>IF(E71&gt;H71,C71,IF(E71&lt;H71,F71,"Tie"))</x:f>
        <x:v>Taylor</x:v>
      </x:c>
      <x:c r="J71" s="2" t="str">
        <x:f>IF(E71&gt;H71,F71,IF(E71&lt;H71,C71,"Tie"))</x:f>
        <x:v>Bruce</x:v>
      </x:c>
      <x:c r="K71" s="2" t="n">
        <x:f>IF(E71=H71,1,0)</x:f>
        <x:v>0</x:v>
      </x:c>
      <x:c r="L71" s="2" t="str">
        <x:v>Bruce / Taylor</x:v>
      </x:c>
      <x:c r="M71" t="str"/>
      <x:c r="N71" t="str">
        <x:v>Supplied</x:v>
      </x:c>
    </x:row>
    <x:row r="72" ht="22" customHeight="1">
      <x:c r="A72" s="2" t="n">
        <x:v>10</x:v>
      </x:c>
      <x:c r="B72" s="2" t="str">
        <x:v>Regular</x:v>
      </x:c>
      <x:c r="C72" s="2" t="str">
        <x:v>Ben</x:v>
      </x:c>
      <x:c r="D72" s="2" t="str">
        <x:v>Ben's Team</x:v>
      </x:c>
      <x:c r="E72" s="15" t="n">
        <x:v>90</x:v>
      </x:c>
      <x:c r="F72" s="2" t="str">
        <x:v>Matt</x:v>
      </x:c>
      <x:c r="G72" s="2" t="str">
        <x:v>🌵</x:v>
      </x:c>
      <x:c r="H72" s="15" t="n">
        <x:v>100</x:v>
      </x:c>
      <x:c r="I72" s="2" t="str">
        <x:f>IF(E72&gt;H72,C72,IF(E72&lt;H72,F72,"Tie"))</x:f>
        <x:v>Matt</x:v>
      </x:c>
      <x:c r="J72" s="2" t="str">
        <x:f>IF(E72&gt;H72,F72,IF(E72&lt;H72,C72,"Tie"))</x:f>
        <x:v>Ben</x:v>
      </x:c>
      <x:c r="K72" s="2" t="n">
        <x:f>IF(E72=H72,1,0)</x:f>
        <x:v>0</x:v>
      </x:c>
      <x:c r="L72" s="2" t="str">
        <x:v>Ben / Matt</x:v>
      </x:c>
      <x:c r="M72" t="str"/>
      <x:c r="N72" t="str">
        <x:v>Supplied</x:v>
      </x:c>
    </x:row>
    <x:row r="73" ht="22" customHeight="1">
      <x:c r="A73" s="2" t="n">
        <x:v>10</x:v>
      </x:c>
      <x:c r="B73" s="2" t="str">
        <x:v>Regular</x:v>
      </x:c>
      <x:c r="C73" s="2" t="str">
        <x:v>Josh</x:v>
      </x:c>
      <x:c r="D73" s="2" t="str">
        <x:v>bobby rawls</x:v>
      </x:c>
      <x:c r="E73" s="15" t="n">
        <x:v>145</x:v>
      </x:c>
      <x:c r="F73" s="2" t="str">
        <x:v>James B.</x:v>
      </x:c>
      <x:c r="G73" s="2" t="str">
        <x:v>Bend it Beckham Jr.</x:v>
      </x:c>
      <x:c r="H73" s="15" t="n">
        <x:v>96</x:v>
      </x:c>
      <x:c r="I73" s="2" t="str">
        <x:f>IF(E73&gt;H73,C73,IF(E73&lt;H73,F73,"Tie"))</x:f>
        <x:v>Josh</x:v>
      </x:c>
      <x:c r="J73" s="2" t="str">
        <x:f>IF(E73&gt;H73,F73,IF(E73&lt;H73,C73,"Tie"))</x:f>
        <x:v>James B.</x:v>
      </x:c>
      <x:c r="K73" s="2" t="n">
        <x:f>IF(E73=H73,1,0)</x:f>
        <x:v>0</x:v>
      </x:c>
      <x:c r="L73" s="2" t="str">
        <x:v>James B. / Josh</x:v>
      </x:c>
      <x:c r="M73" t="str"/>
      <x:c r="N73" t="str">
        <x:v>Supplied</x:v>
      </x:c>
    </x:row>
    <x:row r="74" ht="22" customHeight="1">
      <x:c r="A74" s="2" t="n">
        <x:v>11</x:v>
      </x:c>
      <x:c r="B74" s="2" t="str">
        <x:v>Regular</x:v>
      </x:c>
      <x:c r="C74" s="2" t="str">
        <x:v>Craig</x:v>
      </x:c>
      <x:c r="D74" s="2" t="str">
        <x:v>The Ants Marching</x:v>
      </x:c>
      <x:c r="E74" s="15" t="n">
        <x:v>107</x:v>
      </x:c>
      <x:c r="F74" s="2" t="str">
        <x:v>James B.</x:v>
      </x:c>
      <x:c r="G74" s="2" t="str">
        <x:v>Bend it Beckham Jr.</x:v>
      </x:c>
      <x:c r="H74" s="15" t="n">
        <x:v>118</x:v>
      </x:c>
      <x:c r="I74" s="2" t="str">
        <x:f>IF(E74&gt;H74,C74,IF(E74&lt;H74,F74,"Tie"))</x:f>
        <x:v>James B.</x:v>
      </x:c>
      <x:c r="J74" s="2" t="str">
        <x:f>IF(E74&gt;H74,F74,IF(E74&lt;H74,C74,"Tie"))</x:f>
        <x:v>Craig</x:v>
      </x:c>
      <x:c r="K74" s="2" t="n">
        <x:f>IF(E74=H74,1,0)</x:f>
        <x:v>0</x:v>
      </x:c>
      <x:c r="L74" s="2" t="str">
        <x:v>Craig / James B.</x:v>
      </x:c>
      <x:c r="M74" t="str"/>
      <x:c r="N74" t="str">
        <x:v>Supplied</x:v>
      </x:c>
    </x:row>
    <x:row r="75" ht="22" customHeight="1">
      <x:c r="A75" s="2" t="n">
        <x:v>11</x:v>
      </x:c>
      <x:c r="B75" s="2" t="str">
        <x:v>Regular</x:v>
      </x:c>
      <x:c r="C75" s="2" t="str">
        <x:v>Mark</x:v>
      </x:c>
      <x:c r="D75" s="2" t="str">
        <x:v>wacky waving arms</x:v>
      </x:c>
      <x:c r="E75" s="15" t="n">
        <x:v>85</x:v>
      </x:c>
      <x:c r="F75" s="2" t="str">
        <x:v>Ben</x:v>
      </x:c>
      <x:c r="G75" s="2" t="str">
        <x:v>Ben's Team</x:v>
      </x:c>
      <x:c r="H75" s="15" t="n">
        <x:v>93</x:v>
      </x:c>
      <x:c r="I75" s="2" t="str">
        <x:f>IF(E75&gt;H75,C75,IF(E75&lt;H75,F75,"Tie"))</x:f>
        <x:v>Ben</x:v>
      </x:c>
      <x:c r="J75" s="2" t="str">
        <x:f>IF(E75&gt;H75,F75,IF(E75&lt;H75,C75,"Tie"))</x:f>
        <x:v>Mark</x:v>
      </x:c>
      <x:c r="K75" s="2" t="n">
        <x:f>IF(E75=H75,1,0)</x:f>
        <x:v>0</x:v>
      </x:c>
      <x:c r="L75" s="2" t="str">
        <x:v>Ben / Mark</x:v>
      </x:c>
      <x:c r="M75" t="str"/>
      <x:c r="N75" t="str">
        <x:v>Supplied</x:v>
      </x:c>
    </x:row>
    <x:row r="76" ht="22" customHeight="1">
      <x:c r="A76" s="2" t="n">
        <x:v>11</x:v>
      </x:c>
      <x:c r="B76" s="2" t="str">
        <x:v>Regular</x:v>
      </x:c>
      <x:c r="C76" s="2" t="str">
        <x:v>Bruce</x:v>
      </x:c>
      <x:c r="D76" s="2" t="str">
        <x:v>The Storm</x:v>
      </x:c>
      <x:c r="E76" s="15" t="n">
        <x:v>94</x:v>
      </x:c>
      <x:c r="F76" s="2" t="str">
        <x:v>Grossi</x:v>
      </x:c>
      <x:c r="G76" s="2" t="str">
        <x:v>Grossi Posse</x:v>
      </x:c>
      <x:c r="H76" s="15" t="n">
        <x:v>122</x:v>
      </x:c>
      <x:c r="I76" s="2" t="str">
        <x:f>IF(E76&gt;H76,C76,IF(E76&lt;H76,F76,"Tie"))</x:f>
        <x:v>Grossi</x:v>
      </x:c>
      <x:c r="J76" s="2" t="str">
        <x:f>IF(E76&gt;H76,F76,IF(E76&lt;H76,C76,"Tie"))</x:f>
        <x:v>Bruce</x:v>
      </x:c>
      <x:c r="K76" s="2" t="n">
        <x:f>IF(E76=H76,1,0)</x:f>
        <x:v>0</x:v>
      </x:c>
      <x:c r="L76" s="2" t="str">
        <x:v>Bruce / Grossi</x:v>
      </x:c>
      <x:c r="M76" t="str"/>
      <x:c r="N76" t="str">
        <x:v>Supplied</x:v>
      </x:c>
    </x:row>
    <x:row r="77" ht="22" customHeight="1">
      <x:c r="A77" s="2" t="n">
        <x:v>11</x:v>
      </x:c>
      <x:c r="B77" s="2" t="str">
        <x:v>Regular</x:v>
      </x:c>
      <x:c r="C77" s="2" t="str">
        <x:v>Josh</x:v>
      </x:c>
      <x:c r="D77" s="2" t="str">
        <x:v>bobby rawls</x:v>
      </x:c>
      <x:c r="E77" s="15" t="n">
        <x:v>109</x:v>
      </x:c>
      <x:c r="F77" s="2" t="str">
        <x:v>Matt</x:v>
      </x:c>
      <x:c r="G77" s="2" t="str">
        <x:v>🌵</x:v>
      </x:c>
      <x:c r="H77" s="15" t="n">
        <x:v>76</x:v>
      </x:c>
      <x:c r="I77" s="2" t="str">
        <x:f>IF(E77&gt;H77,C77,IF(E77&lt;H77,F77,"Tie"))</x:f>
        <x:v>Josh</x:v>
      </x:c>
      <x:c r="J77" s="2" t="str">
        <x:f>IF(E77&gt;H77,F77,IF(E77&lt;H77,C77,"Tie"))</x:f>
        <x:v>Matt</x:v>
      </x:c>
      <x:c r="K77" s="2" t="n">
        <x:f>IF(E77=H77,1,0)</x:f>
        <x:v>0</x:v>
      </x:c>
      <x:c r="L77" s="2" t="str">
        <x:v>Josh / Matt</x:v>
      </x:c>
      <x:c r="M77" t="str"/>
      <x:c r="N77" t="str">
        <x:v>Supplied</x:v>
      </x:c>
    </x:row>
    <x:row r="78" ht="22" customHeight="1">
      <x:c r="A78" s="2" t="n">
        <x:v>11</x:v>
      </x:c>
      <x:c r="B78" s="2" t="str">
        <x:v>Regular</x:v>
      </x:c>
      <x:c r="C78" s="2" t="str">
        <x:v>Ed</x:v>
      </x:c>
      <x:c r="D78" s="2" t="str">
        <x:v>Poff's Pocket Rocket</x:v>
      </x:c>
      <x:c r="E78" s="15" t="n">
        <x:v>80</x:v>
      </x:c>
      <x:c r="F78" s="2" t="str">
        <x:v>Taylor</x:v>
      </x:c>
      <x:c r="G78" s="2" t="str">
        <x:v>who s 10 was it</x:v>
      </x:c>
      <x:c r="H78" s="15" t="n">
        <x:v>103</x:v>
      </x:c>
      <x:c r="I78" s="2" t="str">
        <x:f>IF(E78&gt;H78,C78,IF(E78&lt;H78,F78,"Tie"))</x:f>
        <x:v>Taylor</x:v>
      </x:c>
      <x:c r="J78" s="2" t="str">
        <x:f>IF(E78&gt;H78,F78,IF(E78&lt;H78,C78,"Tie"))</x:f>
        <x:v>Ed</x:v>
      </x:c>
      <x:c r="K78" s="2" t="n">
        <x:f>IF(E78=H78,1,0)</x:f>
        <x:v>0</x:v>
      </x:c>
      <x:c r="L78" s="2" t="str">
        <x:v>Ed / Taylor</x:v>
      </x:c>
      <x:c r="M78" t="str"/>
      <x:c r="N78" t="str">
        <x:v>Supplied</x:v>
      </x:c>
    </x:row>
    <x:row r="79" ht="22" customHeight="1">
      <x:c r="A79" s="2" t="n">
        <x:v>12</x:v>
      </x:c>
      <x:c r="B79" s="2" t="str">
        <x:v>Regular</x:v>
      </x:c>
      <x:c r="C79" s="2" t="str">
        <x:v>Craig</x:v>
      </x:c>
      <x:c r="D79" s="2" t="str">
        <x:v>The Ants Marching</x:v>
      </x:c>
      <x:c r="E79" s="15" t="n">
        <x:v>101</x:v>
      </x:c>
      <x:c r="F79" s="2" t="str">
        <x:v>Mark</x:v>
      </x:c>
      <x:c r="G79" s="2" t="str">
        <x:v>wacky waving arms</x:v>
      </x:c>
      <x:c r="H79" s="15" t="n">
        <x:v>129</x:v>
      </x:c>
      <x:c r="I79" s="2" t="str">
        <x:f>IF(E79&gt;H79,C79,IF(E79&lt;H79,F79,"Tie"))</x:f>
        <x:v>Mark</x:v>
      </x:c>
      <x:c r="J79" s="2" t="str">
        <x:f>IF(E79&gt;H79,F79,IF(E79&lt;H79,C79,"Tie"))</x:f>
        <x:v>Craig</x:v>
      </x:c>
      <x:c r="K79" s="2" t="n">
        <x:f>IF(E79=H79,1,0)</x:f>
        <x:v>0</x:v>
      </x:c>
      <x:c r="L79" s="2" t="str">
        <x:v>Craig / Mark</x:v>
      </x:c>
      <x:c r="M79" t="str"/>
      <x:c r="N79" t="str">
        <x:v>Supplied</x:v>
      </x:c>
    </x:row>
    <x:row r="80" ht="22" customHeight="1">
      <x:c r="A80" s="2" t="n">
        <x:v>12</x:v>
      </x:c>
      <x:c r="B80" s="2" t="str">
        <x:v>Regular</x:v>
      </x:c>
      <x:c r="C80" s="2" t="str">
        <x:v>James B.</x:v>
      </x:c>
      <x:c r="D80" s="2" t="str">
        <x:v>Bend it Beckham Jr.</x:v>
      </x:c>
      <x:c r="E80" s="15" t="n">
        <x:v>136</x:v>
      </x:c>
      <x:c r="F80" s="2" t="str">
        <x:v>Ed</x:v>
      </x:c>
      <x:c r="G80" s="2" t="str">
        <x:v>Poff's Pocket Rocket</x:v>
      </x:c>
      <x:c r="H80" s="15" t="n">
        <x:v>102</x:v>
      </x:c>
      <x:c r="I80" s="2" t="str">
        <x:f>IF(E80&gt;H80,C80,IF(E80&lt;H80,F80,"Tie"))</x:f>
        <x:v>James B.</x:v>
      </x:c>
      <x:c r="J80" s="2" t="str">
        <x:f>IF(E80&gt;H80,F80,IF(E80&lt;H80,C80,"Tie"))</x:f>
        <x:v>Ed</x:v>
      </x:c>
      <x:c r="K80" s="2" t="n">
        <x:f>IF(E80=H80,1,0)</x:f>
        <x:v>0</x:v>
      </x:c>
      <x:c r="L80" s="2" t="str">
        <x:v>Ed / James B.</x:v>
      </x:c>
      <x:c r="M80" t="str"/>
      <x:c r="N80" t="str">
        <x:v>Supplied</x:v>
      </x:c>
    </x:row>
    <x:row r="81" ht="22" customHeight="1">
      <x:c r="A81" s="2" t="n">
        <x:v>12</x:v>
      </x:c>
      <x:c r="B81" s="2" t="str">
        <x:v>Regular</x:v>
      </x:c>
      <x:c r="C81" s="2" t="str">
        <x:v>Bruce</x:v>
      </x:c>
      <x:c r="D81" s="2" t="str">
        <x:v>The Storm</x:v>
      </x:c>
      <x:c r="E81" s="15" t="n">
        <x:v>128</x:v>
      </x:c>
      <x:c r="F81" s="2" t="str">
        <x:v>Ben</x:v>
      </x:c>
      <x:c r="G81" s="2" t="str">
        <x:v>Ben's Team</x:v>
      </x:c>
      <x:c r="H81" s="15" t="n">
        <x:v>127</x:v>
      </x:c>
      <x:c r="I81" s="2" t="str">
        <x:f>IF(E81&gt;H81,C81,IF(E81&lt;H81,F81,"Tie"))</x:f>
        <x:v>Bruce</x:v>
      </x:c>
      <x:c r="J81" s="2" t="str">
        <x:f>IF(E81&gt;H81,F81,IF(E81&lt;H81,C81,"Tie"))</x:f>
        <x:v>Ben</x:v>
      </x:c>
      <x:c r="K81" s="2" t="n">
        <x:f>IF(E81=H81,1,0)</x:f>
        <x:v>0</x:v>
      </x:c>
      <x:c r="L81" s="2" t="str">
        <x:v>Ben / Bruce</x:v>
      </x:c>
      <x:c r="M81" t="str"/>
      <x:c r="N81" t="str">
        <x:v>Supplied</x:v>
      </x:c>
    </x:row>
    <x:row r="82" ht="22" customHeight="1">
      <x:c r="A82" s="2" t="n">
        <x:v>12</x:v>
      </x:c>
      <x:c r="B82" s="2" t="str">
        <x:v>Regular</x:v>
      </x:c>
      <x:c r="C82" s="2" t="str">
        <x:v>Josh</x:v>
      </x:c>
      <x:c r="D82" s="2" t="str">
        <x:v>bobby rawls</x:v>
      </x:c>
      <x:c r="E82" s="15" t="n">
        <x:v>166</x:v>
      </x:c>
      <x:c r="F82" s="2" t="str">
        <x:v>Grossi</x:v>
      </x:c>
      <x:c r="G82" s="2" t="str">
        <x:v>Grossi Posse</x:v>
      </x:c>
      <x:c r="H82" s="15" t="n">
        <x:v>111</x:v>
      </x:c>
      <x:c r="I82" s="2" t="str">
        <x:f>IF(E82&gt;H82,C82,IF(E82&lt;H82,F82,"Tie"))</x:f>
        <x:v>Josh</x:v>
      </x:c>
      <x:c r="J82" s="2" t="str">
        <x:f>IF(E82&gt;H82,F82,IF(E82&lt;H82,C82,"Tie"))</x:f>
        <x:v>Grossi</x:v>
      </x:c>
      <x:c r="K82" s="2" t="n">
        <x:f>IF(E82=H82,1,0)</x:f>
        <x:v>0</x:v>
      </x:c>
      <x:c r="L82" s="2" t="str">
        <x:v>Grossi / Josh</x:v>
      </x:c>
      <x:c r="M82" t="str"/>
      <x:c r="N82" t="str">
        <x:v>Supplied</x:v>
      </x:c>
    </x:row>
    <x:row r="83" ht="22" customHeight="1">
      <x:c r="A83" s="2" t="n">
        <x:v>12</x:v>
      </x:c>
      <x:c r="B83" s="2" t="str">
        <x:v>Regular</x:v>
      </x:c>
      <x:c r="C83" s="2" t="str">
        <x:v>Matt</x:v>
      </x:c>
      <x:c r="D83" s="2" t="str">
        <x:v>🌵</x:v>
      </x:c>
      <x:c r="E83" s="15" t="n">
        <x:v>119</x:v>
      </x:c>
      <x:c r="F83" s="2" t="str">
        <x:v>Taylor</x:v>
      </x:c>
      <x:c r="G83" s="2" t="str">
        <x:v>who s 10 was it</x:v>
      </x:c>
      <x:c r="H83" s="15" t="n">
        <x:v>124</x:v>
      </x:c>
      <x:c r="I83" s="2" t="str">
        <x:f>IF(E83&gt;H83,C83,IF(E83&lt;H83,F83,"Tie"))</x:f>
        <x:v>Taylor</x:v>
      </x:c>
      <x:c r="J83" s="2" t="str">
        <x:f>IF(E83&gt;H83,F83,IF(E83&lt;H83,C83,"Tie"))</x:f>
        <x:v>Matt</x:v>
      </x:c>
      <x:c r="K83" s="2" t="n">
        <x:f>IF(E83=H83,1,0)</x:f>
        <x:v>0</x:v>
      </x:c>
      <x:c r="L83" s="2" t="str">
        <x:v>Matt / Taylor</x:v>
      </x:c>
      <x:c r="M83" t="str"/>
      <x:c r="N83" t="str">
        <x:v>Supplied</x:v>
      </x:c>
    </x:row>
    <x:row r="84" ht="22" customHeight="1">
      <x:c r="A84" s="2" t="n">
        <x:v>13</x:v>
      </x:c>
      <x:c r="B84" s="2" t="str">
        <x:v>Regular</x:v>
      </x:c>
      <x:c r="C84" s="2" t="str">
        <x:v>Craig</x:v>
      </x:c>
      <x:c r="D84" s="2" t="str">
        <x:v>The Ants Marching</x:v>
      </x:c>
      <x:c r="E84" s="15" t="n">
        <x:v>105</x:v>
      </x:c>
      <x:c r="F84" s="2" t="str">
        <x:v>Ben</x:v>
      </x:c>
      <x:c r="G84" s="2" t="str">
        <x:v>Ben's Team</x:v>
      </x:c>
      <x:c r="H84" s="15" t="n">
        <x:v>125</x:v>
      </x:c>
      <x:c r="I84" s="2" t="str">
        <x:f>IF(E84&gt;H84,C84,IF(E84&lt;H84,F84,"Tie"))</x:f>
        <x:v>Ben</x:v>
      </x:c>
      <x:c r="J84" s="2" t="str">
        <x:f>IF(E84&gt;H84,F84,IF(E84&lt;H84,C84,"Tie"))</x:f>
        <x:v>Craig</x:v>
      </x:c>
      <x:c r="K84" s="2" t="n">
        <x:f>IF(E84=H84,1,0)</x:f>
        <x:v>0</x:v>
      </x:c>
      <x:c r="L84" s="2" t="str">
        <x:v>Ben / Craig</x:v>
      </x:c>
      <x:c r="M84" t="str"/>
      <x:c r="N84" t="str">
        <x:v>Supplied</x:v>
      </x:c>
    </x:row>
    <x:row r="85" ht="22" customHeight="1">
      <x:c r="A85" s="2" t="n">
        <x:v>13</x:v>
      </x:c>
      <x:c r="B85" s="2" t="str">
        <x:v>Regular</x:v>
      </x:c>
      <x:c r="C85" s="2" t="str">
        <x:v>James B.</x:v>
      </x:c>
      <x:c r="D85" s="2" t="str">
        <x:v>Bend it Beckham Jr.</x:v>
      </x:c>
      <x:c r="E85" s="15" t="n">
        <x:v>143</x:v>
      </x:c>
      <x:c r="F85" s="2" t="str">
        <x:v>Bruce</x:v>
      </x:c>
      <x:c r="G85" s="2" t="str">
        <x:v>The Storm</x:v>
      </x:c>
      <x:c r="H85" s="15" t="n">
        <x:v>143</x:v>
      </x:c>
      <x:c r="I85" s="2" t="str">
        <x:f>IF(E85&gt;H85,C85,IF(E85&lt;H85,F85,"Tie"))</x:f>
        <x:v>Tie</x:v>
      </x:c>
      <x:c r="J85" s="2" t="str">
        <x:f>IF(E85&gt;H85,F85,IF(E85&lt;H85,C85,"Tie"))</x:f>
        <x:v>Tie</x:v>
      </x:c>
      <x:c r="K85" s="2" t="n">
        <x:f>IF(E85=H85,1,0)</x:f>
        <x:v>1</x:v>
      </x:c>
      <x:c r="L85" s="2" t="str">
        <x:v>Bruce / James B.</x:v>
      </x:c>
      <x:c r="M85" t="str"/>
      <x:c r="N85" t="str">
        <x:v>Supplied</x:v>
      </x:c>
    </x:row>
    <x:row r="86" ht="22" customHeight="1">
      <x:c r="A86" s="2" t="n">
        <x:v>13</x:v>
      </x:c>
      <x:c r="B86" s="2" t="str">
        <x:v>Regular</x:v>
      </x:c>
      <x:c r="C86" s="2" t="str">
        <x:v>Josh</x:v>
      </x:c>
      <x:c r="D86" s="2" t="str">
        <x:v>bobby rawls</x:v>
      </x:c>
      <x:c r="E86" s="15" t="n">
        <x:v>130</x:v>
      </x:c>
      <x:c r="F86" s="2" t="str">
        <x:v>Mark</x:v>
      </x:c>
      <x:c r="G86" s="2" t="str">
        <x:v>wacky waving arms</x:v>
      </x:c>
      <x:c r="H86" s="15" t="n">
        <x:v>120</x:v>
      </x:c>
      <x:c r="I86" s="2" t="str">
        <x:f>IF(E86&gt;H86,C86,IF(E86&lt;H86,F86,"Tie"))</x:f>
        <x:v>Josh</x:v>
      </x:c>
      <x:c r="J86" s="2" t="str">
        <x:f>IF(E86&gt;H86,F86,IF(E86&lt;H86,C86,"Tie"))</x:f>
        <x:v>Mark</x:v>
      </x:c>
      <x:c r="K86" s="2" t="n">
        <x:f>IF(E86=H86,1,0)</x:f>
        <x:v>0</x:v>
      </x:c>
      <x:c r="L86" s="2" t="str">
        <x:v>Josh / Mark</x:v>
      </x:c>
      <x:c r="M86" t="str"/>
      <x:c r="N86" t="str">
        <x:v>Supplied</x:v>
      </x:c>
    </x:row>
    <x:row r="87" ht="22" customHeight="1">
      <x:c r="A87" s="2" t="n">
        <x:v>13</x:v>
      </x:c>
      <x:c r="B87" s="2" t="str">
        <x:v>Regular</x:v>
      </x:c>
      <x:c r="C87" s="2" t="str">
        <x:v>Ed</x:v>
      </x:c>
      <x:c r="D87" s="2" t="str">
        <x:v>Poff's Pocket Rocket</x:v>
      </x:c>
      <x:c r="E87" s="15" t="n">
        <x:v>108</x:v>
      </x:c>
      <x:c r="F87" s="2" t="str">
        <x:v>Matt</x:v>
      </x:c>
      <x:c r="G87" s="2" t="str">
        <x:v>🌵</x:v>
      </x:c>
      <x:c r="H87" s="15" t="n">
        <x:v>69</x:v>
      </x:c>
      <x:c r="I87" s="2" t="str">
        <x:f>IF(E87&gt;H87,C87,IF(E87&lt;H87,F87,"Tie"))</x:f>
        <x:v>Ed</x:v>
      </x:c>
      <x:c r="J87" s="2" t="str">
        <x:f>IF(E87&gt;H87,F87,IF(E87&lt;H87,C87,"Tie"))</x:f>
        <x:v>Matt</x:v>
      </x:c>
      <x:c r="K87" s="2" t="n">
        <x:f>IF(E87=H87,1,0)</x:f>
        <x:v>0</x:v>
      </x:c>
      <x:c r="L87" s="2" t="str">
        <x:v>Ed / Matt</x:v>
      </x:c>
      <x:c r="M87" t="str"/>
      <x:c r="N87" t="str">
        <x:v>Supplied</x:v>
      </x:c>
    </x:row>
    <x:row r="88" ht="22" customHeight="1">
      <x:c r="A88" s="2" t="n">
        <x:v>13</x:v>
      </x:c>
      <x:c r="B88" s="2" t="str">
        <x:v>Regular</x:v>
      </x:c>
      <x:c r="C88" s="2" t="str">
        <x:v>Grossi</x:v>
      </x:c>
      <x:c r="D88" s="2" t="str">
        <x:v>Grossi Posse</x:v>
      </x:c>
      <x:c r="E88" s="15" t="n">
        <x:v>155</x:v>
      </x:c>
      <x:c r="F88" s="2" t="str">
        <x:v>Taylor</x:v>
      </x:c>
      <x:c r="G88" s="2" t="str">
        <x:v>who s 10 was it</x:v>
      </x:c>
      <x:c r="H88" s="15" t="n">
        <x:v>125</x:v>
      </x:c>
      <x:c r="I88" s="2" t="str">
        <x:f>IF(E88&gt;H88,C88,IF(E88&lt;H88,F88,"Tie"))</x:f>
        <x:v>Grossi</x:v>
      </x:c>
      <x:c r="J88" s="2" t="str">
        <x:f>IF(E88&gt;H88,F88,IF(E88&lt;H88,C88,"Tie"))</x:f>
        <x:v>Taylor</x:v>
      </x:c>
      <x:c r="K88" s="2" t="n">
        <x:f>IF(E88=H88,1,0)</x:f>
        <x:v>0</x:v>
      </x:c>
      <x:c r="L88" s="2" t="str">
        <x:v>Grossi / Taylor</x:v>
      </x:c>
      <x:c r="M88" t="str"/>
      <x:c r="N88" t="str">
        <x:v>Supplied</x:v>
      </x:c>
    </x:row>
    <x:row r="89" ht="22" customHeight="1">
      <x:c r="A89" s="2" t="n">
        <x:v>14</x:v>
      </x:c>
      <x:c r="B89" s="2" t="str">
        <x:v>Regular</x:v>
      </x:c>
      <x:c r="C89" s="2" t="str">
        <x:v>Craig</x:v>
      </x:c>
      <x:c r="D89" s="2" t="str">
        <x:v>The Ants Marching</x:v>
      </x:c>
      <x:c r="E89" s="15" t="n">
        <x:v>102</x:v>
      </x:c>
      <x:c r="F89" s="2" t="str">
        <x:v>Taylor</x:v>
      </x:c>
      <x:c r="G89" s="2" t="str">
        <x:v>who s 10 was it</x:v>
      </x:c>
      <x:c r="H89" s="15" t="n">
        <x:v>141</x:v>
      </x:c>
      <x:c r="I89" s="2" t="str">
        <x:f>IF(E89&gt;H89,C89,IF(E89&lt;H89,F89,"Tie"))</x:f>
        <x:v>Taylor</x:v>
      </x:c>
      <x:c r="J89" s="2" t="str">
        <x:f>IF(E89&gt;H89,F89,IF(E89&lt;H89,C89,"Tie"))</x:f>
        <x:v>Craig</x:v>
      </x:c>
      <x:c r="K89" s="2" t="n">
        <x:f>IF(E89=H89,1,0)</x:f>
        <x:v>0</x:v>
      </x:c>
      <x:c r="L89" s="2" t="str">
        <x:v>Craig / Taylor</x:v>
      </x:c>
      <x:c r="M89" t="str"/>
      <x:c r="N89" t="str">
        <x:v>Supplied</x:v>
      </x:c>
    </x:row>
    <x:row r="90" ht="22" customHeight="1">
      <x:c r="A90" s="2" t="n">
        <x:v>14</x:v>
      </x:c>
      <x:c r="B90" s="2" t="str">
        <x:v>Regular</x:v>
      </x:c>
      <x:c r="C90" s="2" t="str">
        <x:v>Mark</x:v>
      </x:c>
      <x:c r="D90" s="2" t="str">
        <x:v>wacky waving arms</x:v>
      </x:c>
      <x:c r="E90" s="15" t="n">
        <x:v>130</x:v>
      </x:c>
      <x:c r="F90" s="2" t="str">
        <x:v>Bruce</x:v>
      </x:c>
      <x:c r="G90" s="2" t="str">
        <x:v>The Storm</x:v>
      </x:c>
      <x:c r="H90" s="15" t="n">
        <x:v>129</x:v>
      </x:c>
      <x:c r="I90" s="2" t="str">
        <x:f>IF(E90&gt;H90,C90,IF(E90&lt;H90,F90,"Tie"))</x:f>
        <x:v>Mark</x:v>
      </x:c>
      <x:c r="J90" s="2" t="str">
        <x:f>IF(E90&gt;H90,F90,IF(E90&lt;H90,C90,"Tie"))</x:f>
        <x:v>Bruce</x:v>
      </x:c>
      <x:c r="K90" s="2" t="n">
        <x:f>IF(E90=H90,1,0)</x:f>
        <x:v>0</x:v>
      </x:c>
      <x:c r="L90" s="2" t="str">
        <x:v>Bruce / Mark</x:v>
      </x:c>
      <x:c r="M90" t="str"/>
      <x:c r="N90" t="str">
        <x:v>Supplied</x:v>
      </x:c>
    </x:row>
    <x:row r="91" ht="22" customHeight="1">
      <x:c r="A91" s="2" t="n">
        <x:v>14</x:v>
      </x:c>
      <x:c r="B91" s="2" t="str">
        <x:v>Regular</x:v>
      </x:c>
      <x:c r="C91" s="2" t="str">
        <x:v>James B.</x:v>
      </x:c>
      <x:c r="D91" s="2" t="str">
        <x:v>Bend it Beckham Jr.</x:v>
      </x:c>
      <x:c r="E91" s="15" t="n">
        <x:v>98</x:v>
      </x:c>
      <x:c r="F91" s="2" t="str">
        <x:v>Ben</x:v>
      </x:c>
      <x:c r="G91" s="2" t="str">
        <x:v>Ben's Team</x:v>
      </x:c>
      <x:c r="H91" s="15" t="n">
        <x:v>120</x:v>
      </x:c>
      <x:c r="I91" s="2" t="str">
        <x:f>IF(E91&gt;H91,C91,IF(E91&lt;H91,F91,"Tie"))</x:f>
        <x:v>Ben</x:v>
      </x:c>
      <x:c r="J91" s="2" t="str">
        <x:f>IF(E91&gt;H91,F91,IF(E91&lt;H91,C91,"Tie"))</x:f>
        <x:v>James B.</x:v>
      </x:c>
      <x:c r="K91" s="2" t="n">
        <x:f>IF(E91=H91,1,0)</x:f>
        <x:v>0</x:v>
      </x:c>
      <x:c r="L91" s="2" t="str">
        <x:v>Ben / James B.</x:v>
      </x:c>
      <x:c r="M91" t="str"/>
      <x:c r="N91" t="str">
        <x:v>Supplied</x:v>
      </x:c>
    </x:row>
    <x:row r="92" ht="22" customHeight="1">
      <x:c r="A92" s="2" t="n">
        <x:v>14</x:v>
      </x:c>
      <x:c r="B92" s="2" t="str">
        <x:v>Regular</x:v>
      </x:c>
      <x:c r="C92" s="2" t="str">
        <x:v>Josh</x:v>
      </x:c>
      <x:c r="D92" s="2" t="str">
        <x:v>bobby rawls</x:v>
      </x:c>
      <x:c r="E92" s="15" t="n">
        <x:v>84</x:v>
      </x:c>
      <x:c r="F92" s="2" t="str">
        <x:v>Ed</x:v>
      </x:c>
      <x:c r="G92" s="2" t="str">
        <x:v>Poff's Pocket Rocket</x:v>
      </x:c>
      <x:c r="H92" s="15" t="n">
        <x:v>117</x:v>
      </x:c>
      <x:c r="I92" s="2" t="str">
        <x:f>IF(E92&gt;H92,C92,IF(E92&lt;H92,F92,"Tie"))</x:f>
        <x:v>Ed</x:v>
      </x:c>
      <x:c r="J92" s="2" t="str">
        <x:f>IF(E92&gt;H92,F92,IF(E92&lt;H92,C92,"Tie"))</x:f>
        <x:v>Josh</x:v>
      </x:c>
      <x:c r="K92" s="2" t="n">
        <x:f>IF(E92=H92,1,0)</x:f>
        <x:v>0</x:v>
      </x:c>
      <x:c r="L92" s="2" t="str">
        <x:v>Ed / Josh</x:v>
      </x:c>
      <x:c r="M92" t="str"/>
      <x:c r="N92" t="str">
        <x:v>Supplied</x:v>
      </x:c>
    </x:row>
    <x:row r="93" ht="22" customHeight="1">
      <x:c r="A93" s="2" t="n">
        <x:v>14</x:v>
      </x:c>
      <x:c r="B93" s="2" t="str">
        <x:v>Regular</x:v>
      </x:c>
      <x:c r="C93" s="2" t="str">
        <x:v>Grossi</x:v>
      </x:c>
      <x:c r="D93" s="2" t="str">
        <x:v>Grossi Posse</x:v>
      </x:c>
      <x:c r="E93" s="15" t="n">
        <x:v>114</x:v>
      </x:c>
      <x:c r="F93" s="2" t="str">
        <x:v>Matt</x:v>
      </x:c>
      <x:c r="G93" s="2" t="str">
        <x:v>🌵</x:v>
      </x:c>
      <x:c r="H93" s="15" t="n">
        <x:v>130</x:v>
      </x:c>
      <x:c r="I93" s="2" t="str">
        <x:f>IF(E93&gt;H93,C93,IF(E93&lt;H93,F93,"Tie"))</x:f>
        <x:v>Matt</x:v>
      </x:c>
      <x:c r="J93" s="2" t="str">
        <x:f>IF(E93&gt;H93,F93,IF(E93&lt;H93,C93,"Tie"))</x:f>
        <x:v>Grossi</x:v>
      </x:c>
      <x:c r="K93" s="2" t="n">
        <x:f>IF(E93=H93,1,0)</x:f>
        <x:v>0</x:v>
      </x:c>
      <x:c r="L93" s="2" t="str">
        <x:v>Grossi / Matt</x:v>
      </x:c>
      <x:c r="M93" t="str"/>
      <x:c r="N93" t="str">
        <x:v>Supplied</x:v>
      </x:c>
    </x:row>
    <x:row r="94" ht="22" customHeight="1">
      <x:c r="A94" s="2" t="n">
        <x:v>15</x:v>
      </x:c>
      <x:c r="B94" s="2" t="str">
        <x:v>Playoffs</x:v>
      </x:c>
      <x:c r="C94" s="2" t="str">
        <x:v>James B.</x:v>
      </x:c>
      <x:c r="D94" s="2" t="str">
        <x:v>Bend it Beckham Jr.</x:v>
      </x:c>
      <x:c r="E94" s="15" t="n">
        <x:v>119</x:v>
      </x:c>
      <x:c r="F94" s="2" t="str">
        <x:v>Ben</x:v>
      </x:c>
      <x:c r="G94" s="2" t="str">
        <x:v>Ben's Team</x:v>
      </x:c>
      <x:c r="H94" s="15" t="n">
        <x:v>112</x:v>
      </x:c>
      <x:c r="I94" s="2" t="str">
        <x:f>IF(E94&gt;H94,C94,IF(E94&lt;H94,F94,"Tie"))</x:f>
        <x:v>James B.</x:v>
      </x:c>
      <x:c r="J94" s="2" t="str">
        <x:f>IF(E94&gt;H94,F94,IF(E94&lt;H94,C94,"Tie"))</x:f>
        <x:v>Ben</x:v>
      </x:c>
      <x:c r="K94" s="2" t="n">
        <x:f>IF(E94=H94,1,0)</x:f>
        <x:v>0</x:v>
      </x:c>
      <x:c r="L94" s="2" t="str">
        <x:v>Ben / James B.</x:v>
      </x:c>
      <x:c r="M94" t="str"/>
      <x:c r="N94" t="str">
        <x:v>Supplied</x:v>
      </x:c>
    </x:row>
    <x:row r="95" ht="22" customHeight="1">
      <x:c r="A95" s="2" t="n">
        <x:v>15</x:v>
      </x:c>
      <x:c r="B95" s="2" t="str">
        <x:v>Playoffs</x:v>
      </x:c>
      <x:c r="C95" s="2" t="str">
        <x:v>Josh</x:v>
      </x:c>
      <x:c r="D95" s="2" t="str">
        <x:v>bobby rawls</x:v>
      </x:c>
      <x:c r="E95" s="15" t="n">
        <x:v>133</x:v>
      </x:c>
      <x:c r="F95" s="2" t="str">
        <x:v>Taylor</x:v>
      </x:c>
      <x:c r="G95" s="2" t="str">
        <x:v>who s 10 was it</x:v>
      </x:c>
      <x:c r="H95" s="15" t="n">
        <x:v>181</x:v>
      </x:c>
      <x:c r="I95" s="2" t="str">
        <x:f>IF(E95&gt;H95,C95,IF(E95&lt;H95,F95,"Tie"))</x:f>
        <x:v>Taylor</x:v>
      </x:c>
      <x:c r="J95" s="2" t="str">
        <x:f>IF(E95&gt;H95,F95,IF(E95&lt;H95,C95,"Tie"))</x:f>
        <x:v>Josh</x:v>
      </x:c>
      <x:c r="K95" s="2" t="n">
        <x:f>IF(E95=H95,1,0)</x:f>
        <x:v>0</x:v>
      </x:c>
      <x:c r="L95" s="2" t="str">
        <x:v>Josh / Taylor</x:v>
      </x:c>
      <x:c r="M95" t="str"/>
      <x:c r="N95" t="str">
        <x:v>Supplied</x:v>
      </x:c>
    </x:row>
    <x:row r="96" ht="22" customHeight="1">
      <x:c r="A96" s="2" t="n">
        <x:v>16</x:v>
      </x:c>
      <x:c r="B96" s="2" t="str">
        <x:v>Playoffs</x:v>
      </x:c>
      <x:c r="C96" s="2" t="str">
        <x:v>James B.</x:v>
      </x:c>
      <x:c r="D96" s="2" t="str">
        <x:v>Bend it Beckham Jr.</x:v>
      </x:c>
      <x:c r="E96" s="15" t="n">
        <x:v>98</x:v>
      </x:c>
      <x:c r="F96" s="2" t="str">
        <x:v>Taylor</x:v>
      </x:c>
      <x:c r="G96" s="2" t="str">
        <x:v>who s 10 was it</x:v>
      </x:c>
      <x:c r="H96" s="15" t="n">
        <x:v>121</x:v>
      </x:c>
      <x:c r="I96" s="2" t="str">
        <x:f>IF(E96&gt;H96,C96,IF(E96&lt;H96,F96,"Tie"))</x:f>
        <x:v>Taylor</x:v>
      </x:c>
      <x:c r="J96" s="2" t="str">
        <x:f>IF(E96&gt;H96,F96,IF(E96&lt;H96,C96,"Tie"))</x:f>
        <x:v>James B.</x:v>
      </x:c>
      <x:c r="K96" s="2" t="n">
        <x:f>IF(E96=H96,1,0)</x:f>
        <x:v>0</x:v>
      </x:c>
      <x:c r="L96" s="2" t="str">
        <x:v>James B. / Taylor</x:v>
      </x:c>
      <x:c r="M96" t="str">
        <x:v>final</x:v>
      </x:c>
      <x:c r="N96" t="str">
        <x:v>Inferred</x:v>
      </x:c>
    </x:row>
  </x:sheetData>
  <x:pageMargins left="0.7" right="0.7" top="0.75" bottom="0.75" header="0.3" footer="0.3"/>
  <x:tableParts count="1">
    <x:tablePart xmlns:r="http://schemas.openxmlformats.org/officeDocument/2006/relationships" r:id="R9f9701acd10b41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2016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Weeks 1–14 confirmed regular season. Championship playoffs listed separately below.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James B.</x:v>
      </x:c>
      <x:c r="C4" s="2"/>
      <x:c r="D4" s="2" t="str">
        <x:v>Runner-up</x:v>
      </x:c>
      <x:c r="E4" s="2" t="str">
        <x:v>Matt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6" t="str">
        <x:v>Manager</x:v>
      </x:c>
      <x:c r="B6" s="6" t="str">
        <x:v>Team</x:v>
      </x:c>
      <x:c r="C6" s="6" t="str">
        <x:v>W</x:v>
      </x:c>
      <x:c r="D6" s="6" t="str">
        <x:v>L</x:v>
      </x:c>
      <x:c r="E6" s="6" t="str">
        <x:v>T</x:v>
      </x:c>
      <x:c r="F6" s="6" t="str">
        <x:v>Games</x:v>
      </x:c>
      <x:c r="G6" s="6" t="str">
        <x:v>Win %</x:v>
      </x:c>
      <x:c r="H6" s="6" t="str">
        <x:v>PF</x:v>
      </x:c>
      <x:c r="I6" s="6" t="str">
        <x:v>PA</x:v>
      </x:c>
      <x:c r="J6" s="6" t="str">
        <x:v>Moves</x:v>
      </x:c>
      <x:c r="K6" s="6" t="str">
        <x:v>Trades</x:v>
      </x:c>
      <x:c r="L6" s="6" t="str">
        <x:v>Waiver</x:v>
      </x:c>
    </x:row>
    <x:row r="7" ht="22" customHeight="1">
      <x:c r="A7" s="2" t="str">
        <x:v>Andrew</x:v>
      </x:c>
      <x:c r="B7" s="2" t="str">
        <x:v>The Goat House</x:v>
      </x:c>
      <x:c r="C7" s="2" t="n">
        <x:f>COUNTIFS('2016'!$I$24:$I$96,A7,'2016'!$B$24:$B$96,"&lt;&gt;Playoffs")</x:f>
        <x:v>6</x:v>
      </x:c>
      <x:c r="D7" s="2" t="n">
        <x:f>COUNTIFS('2016'!$J$24:$J$96,A7,'2016'!$B$24:$B$96,"&lt;&gt;Playoffs")</x:f>
        <x:v>8</x:v>
      </x:c>
      <x:c r="E7" s="2" t="n">
        <x:f>COUNTIFS('2016'!$C$24:$C$96,A7,'2016'!$K$24:$K$96,1,'2016'!$B$24:$B$96,"&lt;&gt;Playoffs")+COUNTIFS('2016'!$F$24:$F$96,A7,'2016'!$K$24:$K$96,1,'2016'!$B$24:$B$96,"&lt;&gt;Playoffs")</x:f>
        <x:v>0</x:v>
      </x:c>
      <x:c r="F7" s="2" t="n">
        <x:f>SUM(C7:E7)</x:f>
        <x:v>14</x:v>
      </x:c>
      <x:c r="G7" s="11" t="n">
        <x:f>IF(F7=0,0,(C7+0.5*E7)/F7)</x:f>
        <x:v>0.42857142857142855</x:v>
      </x:c>
      <x:c r="H7" s="13" t="n">
        <x:f>SUMIFS('2016'!$E$24:$E$96,'2016'!$C$24:$C$96,A7,'2016'!$B$24:$B$96,"&lt;&gt;Playoffs")+SUMIFS('2016'!$H$24:$H$96,'2016'!$F$24:$F$96,A7,'2016'!$B$24:$B$96,"&lt;&gt;Playoffs")</x:f>
        <x:v>1687</x:v>
      </x:c>
      <x:c r="I7" s="13" t="n">
        <x:f>SUMIFS('2016'!$H$24:$H$96,'2016'!$C$24:$C$96,A7,'2016'!$B$24:$B$96,"&lt;&gt;Playoffs")+SUMIFS('2016'!$E$24:$E$96,'2016'!$F$24:$F$96,A7,'2016'!$B$24:$B$96,"&lt;&gt;Playoffs")</x:f>
        <x:v>1637</x:v>
      </x:c>
      <x:c r="J7" s="2" t="n">
        <x:v>25</x:v>
      </x:c>
      <x:c r="K7" s="2" t="n">
        <x:v>2</x:v>
      </x:c>
      <x:c r="L7" s="2"/>
    </x:row>
    <x:row r="8" ht="22" customHeight="1">
      <x:c r="A8" s="10" t="str">
        <x:v>Ben</x:v>
      </x:c>
      <x:c r="B8" s="10" t="str">
        <x:v>Ben's Team</x:v>
      </x:c>
      <x:c r="C8" s="10" t="n">
        <x:f>COUNTIFS('2016'!$I$24:$I$96,A8,'2016'!$B$24:$B$96,"&lt;&gt;Playoffs")</x:f>
        <x:v>5</x:v>
      </x:c>
      <x:c r="D8" s="10" t="n">
        <x:f>COUNTIFS('2016'!$J$24:$J$96,A8,'2016'!$B$24:$B$96,"&lt;&gt;Playoffs")</x:f>
        <x:v>9</x:v>
      </x:c>
      <x:c r="E8" s="10" t="n">
        <x:f>COUNTIFS('2016'!$C$24:$C$96,A8,'2016'!$K$24:$K$96,1,'2016'!$B$24:$B$96,"&lt;&gt;Playoffs")+COUNTIFS('2016'!$F$24:$F$96,A8,'2016'!$K$24:$K$96,1,'2016'!$B$24:$B$96,"&lt;&gt;Playoffs")</x:f>
        <x:v>0</x:v>
      </x:c>
      <x:c r="F8" s="10" t="n">
        <x:f>SUM(C8:E8)</x:f>
        <x:v>14</x:v>
      </x:c>
      <x:c r="G8" s="12" t="n">
        <x:f>IF(F8=0,0,(C8+0.5*E8)/F8)</x:f>
        <x:v>0.35714285714285715</x:v>
      </x:c>
      <x:c r="H8" s="14" t="n">
        <x:f>SUMIFS('2016'!$E$24:$E$96,'2016'!$C$24:$C$96,A8,'2016'!$B$24:$B$96,"&lt;&gt;Playoffs")+SUMIFS('2016'!$H$24:$H$96,'2016'!$F$24:$F$96,A8,'2016'!$B$24:$B$96,"&lt;&gt;Playoffs")</x:f>
        <x:v>1653</x:v>
      </x:c>
      <x:c r="I8" s="14" t="n">
        <x:f>SUMIFS('2016'!$H$24:$H$96,'2016'!$C$24:$C$96,A8,'2016'!$B$24:$B$96,"&lt;&gt;Playoffs")+SUMIFS('2016'!$E$24:$E$96,'2016'!$F$24:$F$96,A8,'2016'!$B$24:$B$96,"&lt;&gt;Playoffs")</x:f>
        <x:v>1632</x:v>
      </x:c>
      <x:c r="J8" s="10" t="n">
        <x:v>8</x:v>
      </x:c>
      <x:c r="K8" s="10" t="n">
        <x:v>1</x:v>
      </x:c>
      <x:c r="L8" s="10"/>
    </x:row>
    <x:row r="9" ht="22" customHeight="1">
      <x:c r="A9" s="2" t="str">
        <x:v>Bruce</x:v>
      </x:c>
      <x:c r="B9" s="2" t="str">
        <x:v>The Storm</x:v>
      </x:c>
      <x:c r="C9" s="2" t="n">
        <x:f>COUNTIFS('2016'!$I$24:$I$96,A9,'2016'!$B$24:$B$96,"&lt;&gt;Playoffs")</x:f>
        <x:v>6</x:v>
      </x:c>
      <x:c r="D9" s="2" t="n">
        <x:f>COUNTIFS('2016'!$J$24:$J$96,A9,'2016'!$B$24:$B$96,"&lt;&gt;Playoffs")</x:f>
        <x:v>7</x:v>
      </x:c>
      <x:c r="E9" s="2" t="n">
        <x:f>COUNTIFS('2016'!$C$24:$C$96,A9,'2016'!$K$24:$K$96,1,'2016'!$B$24:$B$96,"&lt;&gt;Playoffs")+COUNTIFS('2016'!$F$24:$F$96,A9,'2016'!$K$24:$K$96,1,'2016'!$B$24:$B$96,"&lt;&gt;Playoffs")</x:f>
        <x:v>1</x:v>
      </x:c>
      <x:c r="F9" s="2" t="n">
        <x:f>SUM(C9:E9)</x:f>
        <x:v>14</x:v>
      </x:c>
      <x:c r="G9" s="11" t="n">
        <x:f>IF(F9=0,0,(C9+0.5*E9)/F9)</x:f>
        <x:v>0.4642857142857143</x:v>
      </x:c>
      <x:c r="H9" s="13" t="n">
        <x:f>SUMIFS('2016'!$E$24:$E$96,'2016'!$C$24:$C$96,A9,'2016'!$B$24:$B$96,"&lt;&gt;Playoffs")+SUMIFS('2016'!$H$24:$H$96,'2016'!$F$24:$F$96,A9,'2016'!$B$24:$B$96,"&lt;&gt;Playoffs")</x:f>
        <x:v>1507</x:v>
      </x:c>
      <x:c r="I9" s="13" t="n">
        <x:f>SUMIFS('2016'!$H$24:$H$96,'2016'!$C$24:$C$96,A9,'2016'!$B$24:$B$96,"&lt;&gt;Playoffs")+SUMIFS('2016'!$E$24:$E$96,'2016'!$F$24:$F$96,A9,'2016'!$B$24:$B$96,"&lt;&gt;Playoffs")</x:f>
        <x:v>1620</x:v>
      </x:c>
      <x:c r="J9" s="2" t="n">
        <x:v>7</x:v>
      </x:c>
      <x:c r="K9" s="2" t="n">
        <x:v>0</x:v>
      </x:c>
      <x:c r="L9" s="2"/>
    </x:row>
    <x:row r="10" ht="22" customHeight="1">
      <x:c r="A10" s="10" t="str">
        <x:v>Craig</x:v>
      </x:c>
      <x:c r="B10" s="10" t="str">
        <x:v>The Ants Marching</x:v>
      </x:c>
      <x:c r="C10" s="10" t="n">
        <x:f>COUNTIFS('2016'!$I$24:$I$96,A10,'2016'!$B$24:$B$96,"&lt;&gt;Playoffs")</x:f>
        <x:v>6</x:v>
      </x:c>
      <x:c r="D10" s="10" t="n">
        <x:f>COUNTIFS('2016'!$J$24:$J$96,A10,'2016'!$B$24:$B$96,"&lt;&gt;Playoffs")</x:f>
        <x:v>8</x:v>
      </x:c>
      <x:c r="E10" s="10" t="n">
        <x:f>COUNTIFS('2016'!$C$24:$C$96,A10,'2016'!$K$24:$K$96,1,'2016'!$B$24:$B$96,"&lt;&gt;Playoffs")+COUNTIFS('2016'!$F$24:$F$96,A10,'2016'!$K$24:$K$96,1,'2016'!$B$24:$B$96,"&lt;&gt;Playoffs")</x:f>
        <x:v>0</x:v>
      </x:c>
      <x:c r="F10" s="10" t="n">
        <x:f>SUM(C10:E10)</x:f>
        <x:v>14</x:v>
      </x:c>
      <x:c r="G10" s="12" t="n">
        <x:f>IF(F10=0,0,(C10+0.5*E10)/F10)</x:f>
        <x:v>0.42857142857142855</x:v>
      </x:c>
      <x:c r="H10" s="14" t="n">
        <x:f>SUMIFS('2016'!$E$24:$E$96,'2016'!$C$24:$C$96,A10,'2016'!$B$24:$B$96,"&lt;&gt;Playoffs")+SUMIFS('2016'!$H$24:$H$96,'2016'!$F$24:$F$96,A10,'2016'!$B$24:$B$96,"&lt;&gt;Playoffs")</x:f>
        <x:v>1554</x:v>
      </x:c>
      <x:c r="I10" s="14" t="n">
        <x:f>SUMIFS('2016'!$H$24:$H$96,'2016'!$C$24:$C$96,A10,'2016'!$B$24:$B$96,"&lt;&gt;Playoffs")+SUMIFS('2016'!$E$24:$E$96,'2016'!$F$24:$F$96,A10,'2016'!$B$24:$B$96,"&lt;&gt;Playoffs")</x:f>
        <x:v>1589</x:v>
      </x:c>
      <x:c r="J10" s="10" t="n">
        <x:v>6</x:v>
      </x:c>
      <x:c r="K10" s="10" t="n">
        <x:v>0</x:v>
      </x:c>
      <x:c r="L10" s="10"/>
    </x:row>
    <x:row r="11" ht="22" customHeight="1">
      <x:c r="A11" s="2" t="str">
        <x:v>Ed</x:v>
      </x:c>
      <x:c r="B11" s="2" t="str">
        <x:v>Poff's Pocket Rocket</x:v>
      </x:c>
      <x:c r="C11" s="2" t="n">
        <x:f>COUNTIFS('2016'!$I$24:$I$96,A11,'2016'!$B$24:$B$96,"&lt;&gt;Playoffs")</x:f>
        <x:v>9</x:v>
      </x:c>
      <x:c r="D11" s="2" t="n">
        <x:f>COUNTIFS('2016'!$J$24:$J$96,A11,'2016'!$B$24:$B$96,"&lt;&gt;Playoffs")</x:f>
        <x:v>5</x:v>
      </x:c>
      <x:c r="E11" s="2" t="n">
        <x:f>COUNTIFS('2016'!$C$24:$C$96,A11,'2016'!$K$24:$K$96,1,'2016'!$B$24:$B$96,"&lt;&gt;Playoffs")+COUNTIFS('2016'!$F$24:$F$96,A11,'2016'!$K$24:$K$96,1,'2016'!$B$24:$B$96,"&lt;&gt;Playoffs")</x:f>
        <x:v>0</x:v>
      </x:c>
      <x:c r="F11" s="2" t="n">
        <x:f>SUM(C11:E11)</x:f>
        <x:v>14</x:v>
      </x:c>
      <x:c r="G11" s="11" t="n">
        <x:f>IF(F11=0,0,(C11+0.5*E11)/F11)</x:f>
        <x:v>0.6428571428571429</x:v>
      </x:c>
      <x:c r="H11" s="13" t="n">
        <x:f>SUMIFS('2016'!$E$24:$E$96,'2016'!$C$24:$C$96,A11,'2016'!$B$24:$B$96,"&lt;&gt;Playoffs")+SUMIFS('2016'!$H$24:$H$96,'2016'!$F$24:$F$96,A11,'2016'!$B$24:$B$96,"&lt;&gt;Playoffs")</x:f>
        <x:v>1705</x:v>
      </x:c>
      <x:c r="I11" s="13" t="n">
        <x:f>SUMIFS('2016'!$H$24:$H$96,'2016'!$C$24:$C$96,A11,'2016'!$B$24:$B$96,"&lt;&gt;Playoffs")+SUMIFS('2016'!$E$24:$E$96,'2016'!$F$24:$F$96,A11,'2016'!$B$24:$B$96,"&lt;&gt;Playoffs")</x:f>
        <x:v>1479</x:v>
      </x:c>
      <x:c r="J11" s="2" t="n">
        <x:v>17</x:v>
      </x:c>
      <x:c r="K11" s="2" t="n">
        <x:v>3</x:v>
      </x:c>
      <x:c r="L11" s="2"/>
    </x:row>
    <x:row r="12" ht="22" customHeight="1">
      <x:c r="A12" s="10" t="str">
        <x:v>James B.</x:v>
      </x:c>
      <x:c r="B12" s="10" t="str">
        <x:v>The Comeback Is Real</x:v>
      </x:c>
      <x:c r="C12" s="10" t="n">
        <x:f>COUNTIFS('2016'!$I$24:$I$96,A12,'2016'!$B$24:$B$96,"&lt;&gt;Playoffs")</x:f>
        <x:v>9</x:v>
      </x:c>
      <x:c r="D12" s="10" t="n">
        <x:f>COUNTIFS('2016'!$J$24:$J$96,A12,'2016'!$B$24:$B$96,"&lt;&gt;Playoffs")</x:f>
        <x:v>5</x:v>
      </x:c>
      <x:c r="E12" s="10" t="n">
        <x:f>COUNTIFS('2016'!$C$24:$C$96,A12,'2016'!$K$24:$K$96,1,'2016'!$B$24:$B$96,"&lt;&gt;Playoffs")+COUNTIFS('2016'!$F$24:$F$96,A12,'2016'!$K$24:$K$96,1,'2016'!$B$24:$B$96,"&lt;&gt;Playoffs")</x:f>
        <x:v>0</x:v>
      </x:c>
      <x:c r="F12" s="10" t="n">
        <x:f>SUM(C12:E12)</x:f>
        <x:v>14</x:v>
      </x:c>
      <x:c r="G12" s="12" t="n">
        <x:f>IF(F12=0,0,(C12+0.5*E12)/F12)</x:f>
        <x:v>0.6428571428571429</x:v>
      </x:c>
      <x:c r="H12" s="14" t="n">
        <x:f>SUMIFS('2016'!$E$24:$E$96,'2016'!$C$24:$C$96,A12,'2016'!$B$24:$B$96,"&lt;&gt;Playoffs")+SUMIFS('2016'!$H$24:$H$96,'2016'!$F$24:$F$96,A12,'2016'!$B$24:$B$96,"&lt;&gt;Playoffs")</x:f>
        <x:v>1779</x:v>
      </x:c>
      <x:c r="I12" s="14" t="n">
        <x:f>SUMIFS('2016'!$H$24:$H$96,'2016'!$C$24:$C$96,A12,'2016'!$B$24:$B$96,"&lt;&gt;Playoffs")+SUMIFS('2016'!$E$24:$E$96,'2016'!$F$24:$F$96,A12,'2016'!$B$24:$B$96,"&lt;&gt;Playoffs")</x:f>
        <x:v>1704</x:v>
      </x:c>
      <x:c r="J12" s="10" t="n">
        <x:v>18</x:v>
      </x:c>
      <x:c r="K12" s="10" t="n">
        <x:v>3</x:v>
      </x:c>
      <x:c r="L12" s="10"/>
    </x:row>
    <x:row r="13" ht="22" customHeight="1">
      <x:c r="A13" s="2" t="str">
        <x:v>Josh</x:v>
      </x:c>
      <x:c r="B13" s="2" t="str">
        <x:v>Winnie the Bish</x:v>
      </x:c>
      <x:c r="C13" s="2" t="n">
        <x:f>COUNTIFS('2016'!$I$24:$I$96,A13,'2016'!$B$24:$B$96,"&lt;&gt;Playoffs")</x:f>
        <x:v>10</x:v>
      </x:c>
      <x:c r="D13" s="2" t="n">
        <x:f>COUNTIFS('2016'!$J$24:$J$96,A13,'2016'!$B$24:$B$96,"&lt;&gt;Playoffs")</x:f>
        <x:v>4</x:v>
      </x:c>
      <x:c r="E13" s="2" t="n">
        <x:f>COUNTIFS('2016'!$C$24:$C$96,A13,'2016'!$K$24:$K$96,1,'2016'!$B$24:$B$96,"&lt;&gt;Playoffs")+COUNTIFS('2016'!$F$24:$F$96,A13,'2016'!$K$24:$K$96,1,'2016'!$B$24:$B$96,"&lt;&gt;Playoffs")</x:f>
        <x:v>0</x:v>
      </x:c>
      <x:c r="F13" s="2" t="n">
        <x:f>SUM(C13:E13)</x:f>
        <x:v>14</x:v>
      </x:c>
      <x:c r="G13" s="11" t="n">
        <x:f>IF(F13=0,0,(C13+0.5*E13)/F13)</x:f>
        <x:v>0.7142857142857143</x:v>
      </x:c>
      <x:c r="H13" s="13" t="n">
        <x:f>SUMIFS('2016'!$E$24:$E$96,'2016'!$C$24:$C$96,A13,'2016'!$B$24:$B$96,"&lt;&gt;Playoffs")+SUMIFS('2016'!$H$24:$H$96,'2016'!$F$24:$F$96,A13,'2016'!$B$24:$B$96,"&lt;&gt;Playoffs")</x:f>
        <x:v>1718</x:v>
      </x:c>
      <x:c r="I13" s="13" t="n">
        <x:f>SUMIFS('2016'!$H$24:$H$96,'2016'!$C$24:$C$96,A13,'2016'!$B$24:$B$96,"&lt;&gt;Playoffs")+SUMIFS('2016'!$E$24:$E$96,'2016'!$F$24:$F$96,A13,'2016'!$B$24:$B$96,"&lt;&gt;Playoffs")</x:f>
        <x:v>1532</x:v>
      </x:c>
      <x:c r="J13" s="2" t="n">
        <x:v>9</x:v>
      </x:c>
      <x:c r="K13" s="2" t="n">
        <x:v>2</x:v>
      </x:c>
      <x:c r="L13" s="2"/>
    </x:row>
    <x:row r="14" ht="22" customHeight="1">
      <x:c r="A14" s="10" t="str">
        <x:v>Mark</x:v>
      </x:c>
      <x:c r="B14" s="10" t="str">
        <x:v>wacky waving arms</x:v>
      </x:c>
      <x:c r="C14" s="10" t="n">
        <x:f>COUNTIFS('2016'!$I$24:$I$96,A14,'2016'!$B$24:$B$96,"&lt;&gt;Playoffs")</x:f>
        <x:v>5</x:v>
      </x:c>
      <x:c r="D14" s="10" t="n">
        <x:f>COUNTIFS('2016'!$J$24:$J$96,A14,'2016'!$B$24:$B$96,"&lt;&gt;Playoffs")</x:f>
        <x:v>8</x:v>
      </x:c>
      <x:c r="E14" s="10" t="n">
        <x:f>COUNTIFS('2016'!$C$24:$C$96,A14,'2016'!$K$24:$K$96,1,'2016'!$B$24:$B$96,"&lt;&gt;Playoffs")+COUNTIFS('2016'!$F$24:$F$96,A14,'2016'!$K$24:$K$96,1,'2016'!$B$24:$B$96,"&lt;&gt;Playoffs")</x:f>
        <x:v>1</x:v>
      </x:c>
      <x:c r="F14" s="10" t="n">
        <x:f>SUM(C14:E14)</x:f>
        <x:v>14</x:v>
      </x:c>
      <x:c r="G14" s="12" t="n">
        <x:f>IF(F14=0,0,(C14+0.5*E14)/F14)</x:f>
        <x:v>0.39285714285714285</x:v>
      </x:c>
      <x:c r="H14" s="14" t="n">
        <x:f>SUMIFS('2016'!$E$24:$E$96,'2016'!$C$24:$C$96,A14,'2016'!$B$24:$B$96,"&lt;&gt;Playoffs")+SUMIFS('2016'!$H$24:$H$96,'2016'!$F$24:$F$96,A14,'2016'!$B$24:$B$96,"&lt;&gt;Playoffs")</x:f>
        <x:v>1496</x:v>
      </x:c>
      <x:c r="I14" s="14" t="n">
        <x:f>SUMIFS('2016'!$H$24:$H$96,'2016'!$C$24:$C$96,A14,'2016'!$B$24:$B$96,"&lt;&gt;Playoffs")+SUMIFS('2016'!$E$24:$E$96,'2016'!$F$24:$F$96,A14,'2016'!$B$24:$B$96,"&lt;&gt;Playoffs")</x:f>
        <x:v>1728</x:v>
      </x:c>
      <x:c r="J14" s="10" t="n">
        <x:v>13</x:v>
      </x:c>
      <x:c r="K14" s="10" t="n">
        <x:v>0</x:v>
      </x:c>
      <x:c r="L14" s="10"/>
    </x:row>
    <x:row r="15" ht="22" customHeight="1">
      <x:c r="A15" s="2" t="str">
        <x:v>Matt</x:v>
      </x:c>
      <x:c r="B15" s="2" t="str">
        <x:v>Headphanie</x:v>
      </x:c>
      <x:c r="C15" s="2" t="n">
        <x:f>COUNTIFS('2016'!$I$24:$I$96,A15,'2016'!$B$24:$B$96,"&lt;&gt;Playoffs")</x:f>
        <x:v>8</x:v>
      </x:c>
      <x:c r="D15" s="2" t="n">
        <x:f>COUNTIFS('2016'!$J$24:$J$96,A15,'2016'!$B$24:$B$96,"&lt;&gt;Playoffs")</x:f>
        <x:v>5</x:v>
      </x:c>
      <x:c r="E15" s="2" t="n">
        <x:f>COUNTIFS('2016'!$C$24:$C$96,A15,'2016'!$K$24:$K$96,1,'2016'!$B$24:$B$96,"&lt;&gt;Playoffs")+COUNTIFS('2016'!$F$24:$F$96,A15,'2016'!$K$24:$K$96,1,'2016'!$B$24:$B$96,"&lt;&gt;Playoffs")</x:f>
        <x:v>1</x:v>
      </x:c>
      <x:c r="F15" s="2" t="n">
        <x:f>SUM(C15:E15)</x:f>
        <x:v>14</x:v>
      </x:c>
      <x:c r="G15" s="11" t="n">
        <x:f>IF(F15=0,0,(C15+0.5*E15)/F15)</x:f>
        <x:v>0.6071428571428571</x:v>
      </x:c>
      <x:c r="H15" s="13" t="n">
        <x:f>SUMIFS('2016'!$E$24:$E$96,'2016'!$C$24:$C$96,A15,'2016'!$B$24:$B$96,"&lt;&gt;Playoffs")+SUMIFS('2016'!$H$24:$H$96,'2016'!$F$24:$F$96,A15,'2016'!$B$24:$B$96,"&lt;&gt;Playoffs")</x:f>
        <x:v>1700</x:v>
      </x:c>
      <x:c r="I15" s="13" t="n">
        <x:f>SUMIFS('2016'!$H$24:$H$96,'2016'!$C$24:$C$96,A15,'2016'!$B$24:$B$96,"&lt;&gt;Playoffs")+SUMIFS('2016'!$E$24:$E$96,'2016'!$F$24:$F$96,A15,'2016'!$B$24:$B$96,"&lt;&gt;Playoffs")</x:f>
        <x:v>1620</x:v>
      </x:c>
      <x:c r="J15" s="2" t="n">
        <x:v>15</x:v>
      </x:c>
      <x:c r="K15" s="2" t="n">
        <x:v>1</x:v>
      </x:c>
      <x:c r="L15" s="2"/>
    </x:row>
    <x:row r="16" ht="22" customHeight="1">
      <x:c r="A16" s="10" t="str">
        <x:v>Taylor</x:v>
      </x:c>
      <x:c r="B16" s="10" t="str">
        <x:v>whos 10 was it</x:v>
      </x:c>
      <x:c r="C16" s="10" t="n">
        <x:f>COUNTIFS('2016'!$I$24:$I$96,A16,'2016'!$B$24:$B$96,"&lt;&gt;Playoffs")</x:f>
        <x:v>4</x:v>
      </x:c>
      <x:c r="D16" s="10" t="n">
        <x:f>COUNTIFS('2016'!$J$24:$J$96,A16,'2016'!$B$24:$B$96,"&lt;&gt;Playoffs")</x:f>
        <x:v>9</x:v>
      </x:c>
      <x:c r="E16" s="10" t="n">
        <x:f>COUNTIFS('2016'!$C$24:$C$96,A16,'2016'!$K$24:$K$96,1,'2016'!$B$24:$B$96,"&lt;&gt;Playoffs")+COUNTIFS('2016'!$F$24:$F$96,A16,'2016'!$K$24:$K$96,1,'2016'!$B$24:$B$96,"&lt;&gt;Playoffs")</x:f>
        <x:v>1</x:v>
      </x:c>
      <x:c r="F16" s="10" t="n">
        <x:f>SUM(C16:E16)</x:f>
        <x:v>14</x:v>
      </x:c>
      <x:c r="G16" s="12" t="n">
        <x:f>IF(F16=0,0,(C16+0.5*E16)/F16)</x:f>
        <x:v>0.32142857142857145</x:v>
      </x:c>
      <x:c r="H16" s="14" t="n">
        <x:f>SUMIFS('2016'!$E$24:$E$96,'2016'!$C$24:$C$96,A16,'2016'!$B$24:$B$96,"&lt;&gt;Playoffs")+SUMIFS('2016'!$H$24:$H$96,'2016'!$F$24:$F$96,A16,'2016'!$B$24:$B$96,"&lt;&gt;Playoffs")</x:f>
        <x:v>1445</x:v>
      </x:c>
      <x:c r="I16" s="14" t="n">
        <x:f>SUMIFS('2016'!$H$24:$H$96,'2016'!$C$24:$C$96,A16,'2016'!$B$24:$B$96,"&lt;&gt;Playoffs")+SUMIFS('2016'!$E$24:$E$96,'2016'!$F$24:$F$96,A16,'2016'!$B$24:$B$96,"&lt;&gt;Playoffs")</x:f>
        <x:v>1703</x:v>
      </x:c>
      <x:c r="J16" s="10" t="n">
        <x:v>13</x:v>
      </x:c>
      <x:c r="K16" s="10" t="n">
        <x:v>2</x:v>
      </x:c>
      <x:c r="L16" s="10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6" t="str">
        <x:v>Week</x:v>
      </x:c>
      <x:c r="B23" s="6" t="str">
        <x:v>Phase</x:v>
      </x:c>
      <x:c r="C23" s="6" t="str">
        <x:v>Manager A</x:v>
      </x:c>
      <x:c r="D23" s="6" t="str">
        <x:v>Team A</x:v>
      </x:c>
      <x:c r="E23" s="6" t="str">
        <x:v>Score A</x:v>
      </x:c>
      <x:c r="F23" s="6" t="str">
        <x:v>Manager B</x:v>
      </x:c>
      <x:c r="G23" s="6" t="str">
        <x:v>Team B</x:v>
      </x:c>
      <x:c r="H23" s="6" t="str">
        <x:v>Score B</x:v>
      </x:c>
      <x:c r="I23" s="6" t="str">
        <x:v>Winner</x:v>
      </x:c>
      <x:c r="J23" s="6" t="str">
        <x:v>Loser</x:v>
      </x:c>
      <x:c r="K23" s="6" t="str">
        <x:v>Tie</x:v>
      </x:c>
      <x:c r="L23" s="6" t="str">
        <x:v>Pair</x:v>
      </x:c>
      <x:c r="M23" s="9" t="str">
        <x:v>Round</x:v>
      </x:c>
      <x:c r="N23" s="9" t="str">
        <x:v>Week source</x:v>
      </x:c>
    </x:row>
    <x:row r="24" ht="22" customHeight="1">
      <x:c r="A24" s="2" t="n">
        <x:v>1</x:v>
      </x:c>
      <x:c r="B24" s="2" t="str">
        <x:v>Regular</x:v>
      </x:c>
      <x:c r="C24" s="2" t="str">
        <x:v>Ben</x:v>
      </x:c>
      <x:c r="D24" s="2" t="str">
        <x:v>Ben's Team</x:v>
      </x:c>
      <x:c r="E24" s="15" t="n">
        <x:v>158</x:v>
      </x:c>
      <x:c r="F24" s="2" t="str">
        <x:v>Mark</x:v>
      </x:c>
      <x:c r="G24" s="2" t="str">
        <x:v>wacky waving arms</x:v>
      </x:c>
      <x:c r="H24" s="15" t="n">
        <x:v>85</x:v>
      </x:c>
      <x:c r="I24" s="2" t="str">
        <x:f>IF(E24&gt;H24,C24,IF(E24&lt;H24,F24,"Tie"))</x:f>
        <x:v>Ben</x:v>
      </x:c>
      <x:c r="J24" s="2" t="str">
        <x:f>IF(E24&gt;H24,F24,IF(E24&lt;H24,C24,"Tie"))</x:f>
        <x:v>Mark</x:v>
      </x:c>
      <x:c r="K24" s="2" t="n">
        <x:f>IF(E24=H24,1,0)</x:f>
        <x:v>0</x:v>
      </x:c>
      <x:c r="L24" s="2" t="str">
        <x:v>Ben / Mark</x:v>
      </x:c>
      <x:c r="M24" t="str"/>
      <x:c r="N24" t="str">
        <x:v>Supplied</x:v>
      </x:c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108</x:v>
      </x:c>
      <x:c r="F25" s="2" t="str">
        <x:v>Bruce</x:v>
      </x:c>
      <x:c r="G25" s="2" t="str">
        <x:v>The Storm</x:v>
      </x:c>
      <x:c r="H25" s="15" t="n">
        <x:v>119</x:v>
      </x:c>
      <x:c r="I25" s="2" t="str">
        <x:f>IF(E25&gt;H25,C25,IF(E25&lt;H25,F25,"Tie"))</x:f>
        <x:v>Bruce</x:v>
      </x:c>
      <x:c r="J25" s="2" t="str">
        <x:f>IF(E25&gt;H25,F25,IF(E25&lt;H25,C25,"Tie"))</x:f>
        <x:v>Craig</x:v>
      </x:c>
      <x:c r="K25" s="2" t="n">
        <x:f>IF(E25=H25,1,0)</x:f>
        <x:v>0</x:v>
      </x:c>
      <x:c r="L25" s="2" t="str">
        <x:v>Bruce / Craig</x:v>
      </x:c>
      <x:c r="M25" t="str"/>
      <x:c r="N25" t="str">
        <x:v>Supplied</x:v>
      </x:c>
    </x:row>
    <x:row r="26" ht="22" customHeight="1">
      <x:c r="A26" s="2" t="n">
        <x:v>1</x:v>
      </x:c>
      <x:c r="B26" s="2" t="str">
        <x:v>Regular</x:v>
      </x:c>
      <x:c r="C26" s="2" t="str">
        <x:v>Ed</x:v>
      </x:c>
      <x:c r="D26" s="2" t="str">
        <x:v>Poff's Pocket Rocket</x:v>
      </x:c>
      <x:c r="E26" s="15" t="n">
        <x:v>129</x:v>
      </x:c>
      <x:c r="F26" s="2" t="str">
        <x:v>James B.</x:v>
      </x:c>
      <x:c r="G26" s="2" t="str">
        <x:v>The Comeback Is Real</x:v>
      </x:c>
      <x:c r="H26" s="15" t="n">
        <x:v>101</x:v>
      </x:c>
      <x:c r="I26" s="2" t="str">
        <x:f>IF(E26&gt;H26,C26,IF(E26&lt;H26,F26,"Tie"))</x:f>
        <x:v>Ed</x:v>
      </x:c>
      <x:c r="J26" s="2" t="str">
        <x:f>IF(E26&gt;H26,F26,IF(E26&lt;H26,C26,"Tie"))</x:f>
        <x:v>James B.</x:v>
      </x:c>
      <x:c r="K26" s="2" t="n">
        <x:f>IF(E26=H26,1,0)</x:f>
        <x:v>0</x:v>
      </x:c>
      <x:c r="L26" s="2" t="str">
        <x:v>Ed / James B.</x:v>
      </x:c>
      <x:c r="M26" t="str"/>
      <x:c r="N26" t="str">
        <x:v>Supplied</x:v>
      </x:c>
    </x:row>
    <x:row r="27" ht="22" customHeight="1">
      <x:c r="A27" s="2" t="n">
        <x:v>1</x:v>
      </x:c>
      <x:c r="B27" s="2" t="str">
        <x:v>Regular</x:v>
      </x:c>
      <x:c r="C27" s="2" t="str">
        <x:v>Josh</x:v>
      </x:c>
      <x:c r="D27" s="2" t="str">
        <x:v>Winnie the Bish</x:v>
      </x:c>
      <x:c r="E27" s="15" t="n">
        <x:v>106</x:v>
      </x:c>
      <x:c r="F27" s="2" t="str">
        <x:v>Andrew</x:v>
      </x:c>
      <x:c r="G27" s="2" t="str">
        <x:v>The Goat House</x:v>
      </x:c>
      <x:c r="H27" s="15" t="n">
        <x:v>126</x:v>
      </x:c>
      <x:c r="I27" s="2" t="str">
        <x:f>IF(E27&gt;H27,C27,IF(E27&lt;H27,F27,"Tie"))</x:f>
        <x:v>Andrew</x:v>
      </x:c>
      <x:c r="J27" s="2" t="str">
        <x:f>IF(E27&gt;H27,F27,IF(E27&lt;H27,C27,"Tie"))</x:f>
        <x:v>Josh</x:v>
      </x:c>
      <x:c r="K27" s="2" t="n">
        <x:f>IF(E27=H27,1,0)</x:f>
        <x:v>0</x:v>
      </x:c>
      <x:c r="L27" s="2" t="str">
        <x:v>Andrew / Josh</x:v>
      </x:c>
      <x:c r="M27" t="str"/>
      <x:c r="N27" t="str">
        <x:v>Supplied</x:v>
      </x:c>
    </x:row>
    <x:row r="28" ht="22" customHeight="1">
      <x:c r="A28" s="2" t="n">
        <x:v>1</x:v>
      </x:c>
      <x:c r="B28" s="2" t="str">
        <x:v>Regular</x:v>
      </x:c>
      <x:c r="C28" s="2" t="str">
        <x:v>Taylor</x:v>
      </x:c>
      <x:c r="D28" s="2" t="str">
        <x:v>whos 10 was it</x:v>
      </x:c>
      <x:c r="E28" s="15" t="n">
        <x:v>142</x:v>
      </x:c>
      <x:c r="F28" s="2" t="str">
        <x:v>Matt</x:v>
      </x:c>
      <x:c r="G28" s="2" t="str">
        <x:v>Headphanie</x:v>
      </x:c>
      <x:c r="H28" s="15" t="n">
        <x:v>167</x:v>
      </x:c>
      <x:c r="I28" s="2" t="str">
        <x:f>IF(E28&gt;H28,C28,IF(E28&lt;H28,F28,"Tie"))</x:f>
        <x:v>Matt</x:v>
      </x:c>
      <x:c r="J28" s="2" t="str">
        <x:f>IF(E28&gt;H28,F28,IF(E28&lt;H28,C28,"Tie"))</x:f>
        <x:v>Taylor</x:v>
      </x:c>
      <x:c r="K28" s="2" t="n">
        <x:f>IF(E28=H28,1,0)</x:f>
        <x:v>0</x:v>
      </x:c>
      <x:c r="L28" s="2" t="str">
        <x:v>Matt / Taylor</x:v>
      </x:c>
      <x:c r="M28" t="str"/>
      <x:c r="N28" t="str">
        <x:v>Supplied</x:v>
      </x:c>
    </x:row>
    <x:row r="29" ht="22" customHeight="1">
      <x:c r="A29" s="2" t="n">
        <x:v>2</x:v>
      </x:c>
      <x:c r="B29" s="2" t="str">
        <x:v>Regular</x:v>
      </x:c>
      <x:c r="C29" s="2" t="str">
        <x:v>Andrew</x:v>
      </x:c>
      <x:c r="D29" s="2" t="str">
        <x:v>The Goat House</x:v>
      </x:c>
      <x:c r="E29" s="15" t="n">
        <x:v>128</x:v>
      </x:c>
      <x:c r="F29" s="2" t="str">
        <x:v>Mark</x:v>
      </x:c>
      <x:c r="G29" s="2" t="str">
        <x:v>wacky waving arms</x:v>
      </x:c>
      <x:c r="H29" s="15" t="n">
        <x:v>102</x:v>
      </x:c>
      <x:c r="I29" s="2" t="str">
        <x:f>IF(E29&gt;H29,C29,IF(E29&lt;H29,F29,"Tie"))</x:f>
        <x:v>Andrew</x:v>
      </x:c>
      <x:c r="J29" s="2" t="str">
        <x:f>IF(E29&gt;H29,F29,IF(E29&lt;H29,C29,"Tie"))</x:f>
        <x:v>Mark</x:v>
      </x:c>
      <x:c r="K29" s="2" t="n">
        <x:f>IF(E29=H29,1,0)</x:f>
        <x:v>0</x:v>
      </x:c>
      <x:c r="L29" s="2" t="str">
        <x:v>Andrew / Mark</x:v>
      </x:c>
      <x:c r="M29" t="str"/>
      <x:c r="N29" t="str">
        <x:v>Supplied</x:v>
      </x:c>
    </x:row>
    <x:row r="30" ht="22" customHeight="1">
      <x:c r="A30" s="2" t="n">
        <x:v>2</x:v>
      </x:c>
      <x:c r="B30" s="2" t="str">
        <x:v>Regular</x:v>
      </x:c>
      <x:c r="C30" s="2" t="str">
        <x:v>Ben</x:v>
      </x:c>
      <x:c r="D30" s="2" t="str">
        <x:v>Ben's Team</x:v>
      </x:c>
      <x:c r="E30" s="15" t="n">
        <x:v>117</x:v>
      </x:c>
      <x:c r="F30" s="2" t="str">
        <x:v>Matt</x:v>
      </x:c>
      <x:c r="G30" s="2" t="str">
        <x:v>Headphanie</x:v>
      </x:c>
      <x:c r="H30" s="15" t="n">
        <x:v>129</x:v>
      </x:c>
      <x:c r="I30" s="2" t="str">
        <x:f>IF(E30&gt;H30,C30,IF(E30&lt;H30,F30,"Tie"))</x:f>
        <x:v>Matt</x:v>
      </x:c>
      <x:c r="J30" s="2" t="str">
        <x:f>IF(E30&gt;H30,F30,IF(E30&lt;H30,C30,"Tie"))</x:f>
        <x:v>Ben</x:v>
      </x:c>
      <x:c r="K30" s="2" t="n">
        <x:f>IF(E30=H30,1,0)</x:f>
        <x:v>0</x:v>
      </x:c>
      <x:c r="L30" s="2" t="str">
        <x:v>Ben / Matt</x:v>
      </x:c>
      <x:c r="M30" t="str"/>
      <x:c r="N30" t="str">
        <x:v>Supplied</x:v>
      </x:c>
    </x:row>
    <x:row r="31" ht="22" customHeight="1">
      <x:c r="A31" s="2" t="n">
        <x:v>2</x:v>
      </x:c>
      <x:c r="B31" s="2" t="str">
        <x:v>Regular</x:v>
      </x:c>
      <x:c r="C31" s="2" t="str">
        <x:v>Ed</x:v>
      </x:c>
      <x:c r="D31" s="2" t="str">
        <x:v>Poff's Pocket Rocket</x:v>
      </x:c>
      <x:c r="E31" s="15" t="n">
        <x:v>107</x:v>
      </x:c>
      <x:c r="F31" s="2" t="str">
        <x:v>Bruce</x:v>
      </x:c>
      <x:c r="G31" s="2" t="str">
        <x:v>The Storm</x:v>
      </x:c>
      <x:c r="H31" s="15" t="n">
        <x:v>70</x:v>
      </x:c>
      <x:c r="I31" s="2" t="str">
        <x:f>IF(E31&gt;H31,C31,IF(E31&lt;H31,F31,"Tie"))</x:f>
        <x:v>Ed</x:v>
      </x:c>
      <x:c r="J31" s="2" t="str">
        <x:f>IF(E31&gt;H31,F31,IF(E31&lt;H31,C31,"Tie"))</x:f>
        <x:v>Bruce</x:v>
      </x:c>
      <x:c r="K31" s="2" t="n">
        <x:f>IF(E31=H31,1,0)</x:f>
        <x:v>0</x:v>
      </x:c>
      <x:c r="L31" s="2" t="str">
        <x:v>Bruce / Ed</x:v>
      </x:c>
      <x:c r="M31" t="str"/>
      <x:c r="N31" t="str">
        <x:v>Supplied</x:v>
      </x:c>
    </x:row>
    <x:row r="32" ht="22" customHeight="1">
      <x:c r="A32" s="2" t="n">
        <x:v>2</x:v>
      </x:c>
      <x:c r="B32" s="2" t="str">
        <x:v>Regular</x:v>
      </x:c>
      <x:c r="C32" s="2" t="str">
        <x:v>Josh</x:v>
      </x:c>
      <x:c r="D32" s="2" t="str">
        <x:v>Winnie the Bish</x:v>
      </x:c>
      <x:c r="E32" s="15" t="n">
        <x:v>134</x:v>
      </x:c>
      <x:c r="F32" s="2" t="str">
        <x:v>Craig</x:v>
      </x:c>
      <x:c r="G32" s="2" t="str">
        <x:v>The Ants Marching</x:v>
      </x:c>
      <x:c r="H32" s="15" t="n">
        <x:v>143</x:v>
      </x:c>
      <x:c r="I32" s="2" t="str">
        <x:f>IF(E32&gt;H32,C32,IF(E32&lt;H32,F32,"Tie"))</x:f>
        <x:v>Craig</x:v>
      </x:c>
      <x:c r="J32" s="2" t="str">
        <x:f>IF(E32&gt;H32,F32,IF(E32&lt;H32,C32,"Tie"))</x:f>
        <x:v>Josh</x:v>
      </x:c>
      <x:c r="K32" s="2" t="n">
        <x:f>IF(E32=H32,1,0)</x:f>
        <x:v>0</x:v>
      </x:c>
      <x:c r="L32" s="2" t="str">
        <x:v>Craig / Josh</x:v>
      </x:c>
      <x:c r="M32" t="str"/>
      <x:c r="N32" t="str">
        <x:v>Supplied</x:v>
      </x:c>
    </x:row>
    <x:row r="33" ht="22" customHeight="1">
      <x:c r="A33" s="2" t="n">
        <x:v>2</x:v>
      </x:c>
      <x:c r="B33" s="2" t="str">
        <x:v>Regular</x:v>
      </x:c>
      <x:c r="C33" s="2" t="str">
        <x:v>Taylor</x:v>
      </x:c>
      <x:c r="D33" s="2" t="str">
        <x:v>whos 10 was it</x:v>
      </x:c>
      <x:c r="E33" s="15" t="n">
        <x:v>108</x:v>
      </x:c>
      <x:c r="F33" s="2" t="str">
        <x:v>James B.</x:v>
      </x:c>
      <x:c r="G33" s="2" t="str">
        <x:v>The Comeback Is Real</x:v>
      </x:c>
      <x:c r="H33" s="15" t="n">
        <x:v>135</x:v>
      </x:c>
      <x:c r="I33" s="2" t="str">
        <x:f>IF(E33&gt;H33,C33,IF(E33&lt;H33,F33,"Tie"))</x:f>
        <x:v>James B.</x:v>
      </x:c>
      <x:c r="J33" s="2" t="str">
        <x:f>IF(E33&gt;H33,F33,IF(E33&lt;H33,C33,"Tie"))</x:f>
        <x:v>Taylor</x:v>
      </x:c>
      <x:c r="K33" s="2" t="n">
        <x:f>IF(E33=H33,1,0)</x:f>
        <x:v>0</x:v>
      </x:c>
      <x:c r="L33" s="2" t="str">
        <x:v>James B. / Taylor</x:v>
      </x:c>
      <x:c r="M33" t="str"/>
      <x:c r="N33" t="str">
        <x:v>Supplied</x:v>
      </x:c>
    </x:row>
    <x:row r="34" ht="22" customHeight="1">
      <x:c r="A34" s="2" t="n">
        <x:v>3</x:v>
      </x:c>
      <x:c r="B34" s="2" t="str">
        <x:v>Regular</x:v>
      </x:c>
      <x:c r="C34" s="2" t="str">
        <x:v>Ben</x:v>
      </x:c>
      <x:c r="D34" s="2" t="str">
        <x:v>Ben's Team</x:v>
      </x:c>
      <x:c r="E34" s="15" t="n">
        <x:v>90</x:v>
      </x:c>
      <x:c r="F34" s="2" t="str">
        <x:v>Ed</x:v>
      </x:c>
      <x:c r="G34" s="2" t="str">
        <x:v>Poff's Pocket Rocket</x:v>
      </x:c>
      <x:c r="H34" s="15" t="n">
        <x:v>113</x:v>
      </x:c>
      <x:c r="I34" s="2" t="str">
        <x:f>IF(E34&gt;H34,C34,IF(E34&lt;H34,F34,"Tie"))</x:f>
        <x:v>Ed</x:v>
      </x:c>
      <x:c r="J34" s="2" t="str">
        <x:f>IF(E34&gt;H34,F34,IF(E34&lt;H34,C34,"Tie"))</x:f>
        <x:v>Ben</x:v>
      </x:c>
      <x:c r="K34" s="2" t="n">
        <x:f>IF(E34=H34,1,0)</x:f>
        <x:v>0</x:v>
      </x:c>
      <x:c r="L34" s="2" t="str">
        <x:v>Ben / Ed</x:v>
      </x:c>
      <x:c r="M34" t="str"/>
      <x:c r="N34" t="str">
        <x:v>Supplied</x:v>
      </x:c>
    </x:row>
    <x:row r="35" ht="22" customHeight="1">
      <x:c r="A35" s="2" t="n">
        <x:v>3</x:v>
      </x:c>
      <x:c r="B35" s="2" t="str">
        <x:v>Regular</x:v>
      </x:c>
      <x:c r="C35" s="2" t="str">
        <x:v>Bruce</x:v>
      </x:c>
      <x:c r="D35" s="2" t="str">
        <x:v>The Storm</x:v>
      </x:c>
      <x:c r="E35" s="15" t="n">
        <x:v>112</x:v>
      </x:c>
      <x:c r="F35" s="2" t="str">
        <x:v>Mark</x:v>
      </x:c>
      <x:c r="G35" s="2" t="str">
        <x:v>wacky waving arms</x:v>
      </x:c>
      <x:c r="H35" s="15" t="n">
        <x:v>142</x:v>
      </x:c>
      <x:c r="I35" s="2" t="str">
        <x:f>IF(E35&gt;H35,C35,IF(E35&lt;H35,F35,"Tie"))</x:f>
        <x:v>Mark</x:v>
      </x:c>
      <x:c r="J35" s="2" t="str">
        <x:f>IF(E35&gt;H35,F35,IF(E35&lt;H35,C35,"Tie"))</x:f>
        <x:v>Bruce</x:v>
      </x:c>
      <x:c r="K35" s="2" t="n">
        <x:f>IF(E35=H35,1,0)</x:f>
        <x:v>0</x:v>
      </x:c>
      <x:c r="L35" s="2" t="str">
        <x:v>Bruce / Mark</x:v>
      </x:c>
      <x:c r="M35" t="str"/>
      <x:c r="N35" t="str">
        <x:v>Supplied</x:v>
      </x:c>
    </x:row>
    <x:row r="36" ht="22" customHeight="1">
      <x:c r="A36" s="2" t="n">
        <x:v>3</x:v>
      </x:c>
      <x:c r="B36" s="2" t="str">
        <x:v>Regular</x:v>
      </x:c>
      <x:c r="C36" s="2" t="str">
        <x:v>Craig</x:v>
      </x:c>
      <x:c r="D36" s="2" t="str">
        <x:v>The Ants Marching</x:v>
      </x:c>
      <x:c r="E36" s="15" t="n">
        <x:v>118</x:v>
      </x:c>
      <x:c r="F36" s="2" t="str">
        <x:v>Andrew</x:v>
      </x:c>
      <x:c r="G36" s="2" t="str">
        <x:v>The Goat House</x:v>
      </x:c>
      <x:c r="H36" s="15" t="n">
        <x:v>106</x:v>
      </x:c>
      <x:c r="I36" s="2" t="str">
        <x:f>IF(E36&gt;H36,C36,IF(E36&lt;H36,F36,"Tie"))</x:f>
        <x:v>Craig</x:v>
      </x:c>
      <x:c r="J36" s="2" t="str">
        <x:f>IF(E36&gt;H36,F36,IF(E36&lt;H36,C36,"Tie"))</x:f>
        <x:v>Andrew</x:v>
      </x:c>
      <x:c r="K36" s="2" t="n">
        <x:f>IF(E36=H36,1,0)</x:f>
        <x:v>0</x:v>
      </x:c>
      <x:c r="L36" s="2" t="str">
        <x:v>Andrew / Craig</x:v>
      </x:c>
      <x:c r="M36" t="str"/>
      <x:c r="N36" t="str">
        <x:v>Supplied</x:v>
      </x:c>
    </x:row>
    <x:row r="37" ht="22" customHeight="1">
      <x:c r="A37" s="2" t="n">
        <x:v>3</x:v>
      </x:c>
      <x:c r="B37" s="2" t="str">
        <x:v>Regular</x:v>
      </x:c>
      <x:c r="C37" s="2" t="str">
        <x:v>Josh</x:v>
      </x:c>
      <x:c r="D37" s="2" t="str">
        <x:v>Winnie the Bish</x:v>
      </x:c>
      <x:c r="E37" s="15" t="n">
        <x:v>118</x:v>
      </x:c>
      <x:c r="F37" s="2" t="str">
        <x:v>Taylor</x:v>
      </x:c>
      <x:c r="G37" s="2" t="str">
        <x:v>whos 10 was it</x:v>
      </x:c>
      <x:c r="H37" s="15" t="n">
        <x:v>82</x:v>
      </x:c>
      <x:c r="I37" s="2" t="str">
        <x:f>IF(E37&gt;H37,C37,IF(E37&lt;H37,F37,"Tie"))</x:f>
        <x:v>Josh</x:v>
      </x:c>
      <x:c r="J37" s="2" t="str">
        <x:f>IF(E37&gt;H37,F37,IF(E37&lt;H37,C37,"Tie"))</x:f>
        <x:v>Taylor</x:v>
      </x:c>
      <x:c r="K37" s="2" t="n">
        <x:f>IF(E37=H37,1,0)</x:f>
        <x:v>0</x:v>
      </x:c>
      <x:c r="L37" s="2" t="str">
        <x:v>Josh / Taylor</x:v>
      </x:c>
      <x:c r="M37" t="str"/>
      <x:c r="N37" t="str">
        <x:v>Supplied</x:v>
      </x:c>
    </x:row>
    <x:row r="38" ht="22" customHeight="1">
      <x:c r="A38" s="2" t="n">
        <x:v>3</x:v>
      </x:c>
      <x:c r="B38" s="2" t="str">
        <x:v>Regular</x:v>
      </x:c>
      <x:c r="C38" s="2" t="str">
        <x:v>Matt</x:v>
      </x:c>
      <x:c r="D38" s="2" t="str">
        <x:v>Headphanie</x:v>
      </x:c>
      <x:c r="E38" s="15" t="n">
        <x:v>186</x:v>
      </x:c>
      <x:c r="F38" s="2" t="str">
        <x:v>James B.</x:v>
      </x:c>
      <x:c r="G38" s="2" t="str">
        <x:v>The Comeback Is Real</x:v>
      </x:c>
      <x:c r="H38" s="15" t="n">
        <x:v>131</x:v>
      </x:c>
      <x:c r="I38" s="2" t="str">
        <x:f>IF(E38&gt;H38,C38,IF(E38&lt;H38,F38,"Tie"))</x:f>
        <x:v>Matt</x:v>
      </x:c>
      <x:c r="J38" s="2" t="str">
        <x:f>IF(E38&gt;H38,F38,IF(E38&lt;H38,C38,"Tie"))</x:f>
        <x:v>James B.</x:v>
      </x:c>
      <x:c r="K38" s="2" t="n">
        <x:f>IF(E38=H38,1,0)</x:f>
        <x:v>0</x:v>
      </x:c>
      <x:c r="L38" s="2" t="str">
        <x:v>James B. / Matt</x:v>
      </x:c>
      <x:c r="M38" t="str"/>
      <x:c r="N38" t="str">
        <x:v>Supplied</x:v>
      </x:c>
    </x:row>
    <x:row r="39" ht="22" customHeight="1">
      <x:c r="A39" s="2" t="n">
        <x:v>4</x:v>
      </x:c>
      <x:c r="B39" s="2" t="str">
        <x:v>Regular</x:v>
      </x:c>
      <x:c r="C39" s="2" t="str">
        <x:v>Andrew</x:v>
      </x:c>
      <x:c r="D39" s="2" t="str">
        <x:v>The Goat House</x:v>
      </x:c>
      <x:c r="E39" s="15" t="n">
        <x:v>113</x:v>
      </x:c>
      <x:c r="F39" s="2" t="str">
        <x:v>James B.</x:v>
      </x:c>
      <x:c r="G39" s="2" t="str">
        <x:v>The Comeback Is Real</x:v>
      </x:c>
      <x:c r="H39" s="15" t="n">
        <x:v>104</x:v>
      </x:c>
      <x:c r="I39" s="2" t="str">
        <x:f>IF(E39&gt;H39,C39,IF(E39&lt;H39,F39,"Tie"))</x:f>
        <x:v>Andrew</x:v>
      </x:c>
      <x:c r="J39" s="2" t="str">
        <x:f>IF(E39&gt;H39,F39,IF(E39&lt;H39,C39,"Tie"))</x:f>
        <x:v>James B.</x:v>
      </x:c>
      <x:c r="K39" s="2" t="n">
        <x:f>IF(E39=H39,1,0)</x:f>
        <x:v>0</x:v>
      </x:c>
      <x:c r="L39" s="2" t="str">
        <x:v>Andrew / James B.</x:v>
      </x:c>
      <x:c r="M39" t="str"/>
      <x:c r="N39" t="str">
        <x:v>Supplied</x:v>
      </x:c>
    </x:row>
    <x:row r="40" ht="22" customHeight="1">
      <x:c r="A40" s="2" t="n">
        <x:v>4</x:v>
      </x:c>
      <x:c r="B40" s="2" t="str">
        <x:v>Regular</x:v>
      </x:c>
      <x:c r="C40" s="2" t="str">
        <x:v>Bruce</x:v>
      </x:c>
      <x:c r="D40" s="2" t="str">
        <x:v>The Storm</x:v>
      </x:c>
      <x:c r="E40" s="15" t="n">
        <x:v>80</x:v>
      </x:c>
      <x:c r="F40" s="2" t="str">
        <x:v>Taylor</x:v>
      </x:c>
      <x:c r="G40" s="2" t="str">
        <x:v>whos 10 was it</x:v>
      </x:c>
      <x:c r="H40" s="15" t="n">
        <x:v>75</x:v>
      </x:c>
      <x:c r="I40" s="2" t="str">
        <x:f>IF(E40&gt;H40,C40,IF(E40&lt;H40,F40,"Tie"))</x:f>
        <x:v>Bruce</x:v>
      </x:c>
      <x:c r="J40" s="2" t="str">
        <x:f>IF(E40&gt;H40,F40,IF(E40&lt;H40,C40,"Tie"))</x:f>
        <x:v>Taylor</x:v>
      </x:c>
      <x:c r="K40" s="2" t="n">
        <x:f>IF(E40=H40,1,0)</x:f>
        <x:v>0</x:v>
      </x:c>
      <x:c r="L40" s="2" t="str">
        <x:v>Bruce / Taylor</x:v>
      </x:c>
      <x:c r="M40" t="str"/>
      <x:c r="N40" t="str">
        <x:v>Supplied</x:v>
      </x:c>
    </x:row>
    <x:row r="41" ht="22" customHeight="1">
      <x:c r="A41" s="2" t="n">
        <x:v>4</x:v>
      </x:c>
      <x:c r="B41" s="2" t="str">
        <x:v>Regular</x:v>
      </x:c>
      <x:c r="C41" s="2" t="str">
        <x:v>Craig</x:v>
      </x:c>
      <x:c r="D41" s="2" t="str">
        <x:v>The Ants Marching</x:v>
      </x:c>
      <x:c r="E41" s="15" t="n">
        <x:v>98</x:v>
      </x:c>
      <x:c r="F41" s="2" t="str">
        <x:v>Ben</x:v>
      </x:c>
      <x:c r="G41" s="2" t="str">
        <x:v>Ben's Team</x:v>
      </x:c>
      <x:c r="H41" s="15" t="n">
        <x:v>107</x:v>
      </x:c>
      <x:c r="I41" s="2" t="str">
        <x:f>IF(E41&gt;H41,C41,IF(E41&lt;H41,F41,"Tie"))</x:f>
        <x:v>Ben</x:v>
      </x:c>
      <x:c r="J41" s="2" t="str">
        <x:f>IF(E41&gt;H41,F41,IF(E41&lt;H41,C41,"Tie"))</x:f>
        <x:v>Craig</x:v>
      </x:c>
      <x:c r="K41" s="2" t="n">
        <x:f>IF(E41=H41,1,0)</x:f>
        <x:v>0</x:v>
      </x:c>
      <x:c r="L41" s="2" t="str">
        <x:v>Ben / Craig</x:v>
      </x:c>
      <x:c r="M41" t="str"/>
      <x:c r="N41" t="str">
        <x:v>Supplied</x:v>
      </x:c>
    </x:row>
    <x:row r="42" ht="22" customHeight="1">
      <x:c r="A42" s="2" t="n">
        <x:v>4</x:v>
      </x:c>
      <x:c r="B42" s="2" t="str">
        <x:v>Regular</x:v>
      </x:c>
      <x:c r="C42" s="2" t="str">
        <x:v>Ed</x:v>
      </x:c>
      <x:c r="D42" s="2" t="str">
        <x:v>Poff's Pocket Rocket</x:v>
      </x:c>
      <x:c r="E42" s="15" t="n">
        <x:v>192</x:v>
      </x:c>
      <x:c r="F42" s="2" t="str">
        <x:v>Mark</x:v>
      </x:c>
      <x:c r="G42" s="2" t="str">
        <x:v>wacky waving arms</x:v>
      </x:c>
      <x:c r="H42" s="15" t="n">
        <x:v>90</x:v>
      </x:c>
      <x:c r="I42" s="2" t="str">
        <x:f>IF(E42&gt;H42,C42,IF(E42&lt;H42,F42,"Tie"))</x:f>
        <x:v>Ed</x:v>
      </x:c>
      <x:c r="J42" s="2" t="str">
        <x:f>IF(E42&gt;H42,F42,IF(E42&lt;H42,C42,"Tie"))</x:f>
        <x:v>Mark</x:v>
      </x:c>
      <x:c r="K42" s="2" t="n">
        <x:f>IF(E42=H42,1,0)</x:f>
        <x:v>0</x:v>
      </x:c>
      <x:c r="L42" s="2" t="str">
        <x:v>Ed / Mark</x:v>
      </x:c>
      <x:c r="M42" t="str"/>
      <x:c r="N42" t="str">
        <x:v>Supplied</x:v>
      </x:c>
    </x:row>
    <x:row r="43" ht="22" customHeight="1">
      <x:c r="A43" s="2" t="n">
        <x:v>4</x:v>
      </x:c>
      <x:c r="B43" s="2" t="str">
        <x:v>Regular</x:v>
      </x:c>
      <x:c r="C43" s="2" t="str">
        <x:v>Josh</x:v>
      </x:c>
      <x:c r="D43" s="2" t="str">
        <x:v>Winnie the Bish</x:v>
      </x:c>
      <x:c r="E43" s="15" t="n">
        <x:v>145</x:v>
      </x:c>
      <x:c r="F43" s="2" t="str">
        <x:v>Matt</x:v>
      </x:c>
      <x:c r="G43" s="2" t="str">
        <x:v>Headphanie</x:v>
      </x:c>
      <x:c r="H43" s="15" t="n">
        <x:v>133</x:v>
      </x:c>
      <x:c r="I43" s="2" t="str">
        <x:f>IF(E43&gt;H43,C43,IF(E43&lt;H43,F43,"Tie"))</x:f>
        <x:v>Josh</x:v>
      </x:c>
      <x:c r="J43" s="2" t="str">
        <x:f>IF(E43&gt;H43,F43,IF(E43&lt;H43,C43,"Tie"))</x:f>
        <x:v>Matt</x:v>
      </x:c>
      <x:c r="K43" s="2" t="n">
        <x:f>IF(E43=H43,1,0)</x:f>
        <x:v>0</x:v>
      </x:c>
      <x:c r="L43" s="2" t="str">
        <x:v>Josh / Matt</x:v>
      </x:c>
      <x:c r="M43" t="str"/>
      <x:c r="N43" t="str">
        <x:v>Supplied</x:v>
      </x:c>
    </x:row>
    <x:row r="44" ht="22" customHeight="1">
      <x:c r="A44" s="2" t="n">
        <x:v>5</x:v>
      </x:c>
      <x:c r="B44" s="2" t="str">
        <x:v>Regular</x:v>
      </x:c>
      <x:c r="C44" s="2" t="str">
        <x:v>Ben</x:v>
      </x:c>
      <x:c r="D44" s="2" t="str">
        <x:v>Ben's Team</x:v>
      </x:c>
      <x:c r="E44" s="15" t="n">
        <x:v>143</x:v>
      </x:c>
      <x:c r="F44" s="2" t="str">
        <x:v>Andrew</x:v>
      </x:c>
      <x:c r="G44" s="2" t="str">
        <x:v>The Goat House</x:v>
      </x:c>
      <x:c r="H44" s="15" t="n">
        <x:v>133</x:v>
      </x:c>
      <x:c r="I44" s="2" t="str">
        <x:f>IF(E44&gt;H44,C44,IF(E44&lt;H44,F44,"Tie"))</x:f>
        <x:v>Ben</x:v>
      </x:c>
      <x:c r="J44" s="2" t="str">
        <x:f>IF(E44&gt;H44,F44,IF(E44&lt;H44,C44,"Tie"))</x:f>
        <x:v>Andrew</x:v>
      </x:c>
      <x:c r="K44" s="2" t="n">
        <x:f>IF(E44=H44,1,0)</x:f>
        <x:v>0</x:v>
      </x:c>
      <x:c r="L44" s="2" t="str">
        <x:v>Andrew / Ben</x:v>
      </x:c>
      <x:c r="M44" t="str"/>
      <x:c r="N44" t="str">
        <x:v>Supplied</x:v>
      </x:c>
    </x:row>
    <x:row r="45" ht="22" customHeight="1">
      <x:c r="A45" s="2" t="n">
        <x:v>5</x:v>
      </x:c>
      <x:c r="B45" s="2" t="str">
        <x:v>Regular</x:v>
      </x:c>
      <x:c r="C45" s="2" t="str">
        <x:v>Bruce</x:v>
      </x:c>
      <x:c r="D45" s="2" t="str">
        <x:v>The Storm</x:v>
      </x:c>
      <x:c r="E45" s="15" t="n">
        <x:v>94</x:v>
      </x:c>
      <x:c r="F45" s="2" t="str">
        <x:v>Matt</x:v>
      </x:c>
      <x:c r="G45" s="2" t="str">
        <x:v>Headphanie</x:v>
      </x:c>
      <x:c r="H45" s="15" t="n">
        <x:v>116</x:v>
      </x:c>
      <x:c r="I45" s="2" t="str">
        <x:f>IF(E45&gt;H45,C45,IF(E45&lt;H45,F45,"Tie"))</x:f>
        <x:v>Matt</x:v>
      </x:c>
      <x:c r="J45" s="2" t="str">
        <x:f>IF(E45&gt;H45,F45,IF(E45&lt;H45,C45,"Tie"))</x:f>
        <x:v>Bruce</x:v>
      </x:c>
      <x:c r="K45" s="2" t="n">
        <x:f>IF(E45=H45,1,0)</x:f>
        <x:v>0</x:v>
      </x:c>
      <x:c r="L45" s="2" t="str">
        <x:v>Bruce / Matt</x:v>
      </x:c>
      <x:c r="M45" t="str"/>
      <x:c r="N45" t="str">
        <x:v>Supplied</x:v>
      </x:c>
    </x:row>
    <x:row r="46" ht="22" customHeight="1">
      <x:c r="A46" s="2" t="n">
        <x:v>5</x:v>
      </x:c>
      <x:c r="B46" s="2" t="str">
        <x:v>Regular</x:v>
      </x:c>
      <x:c r="C46" s="2" t="str">
        <x:v>Craig</x:v>
      </x:c>
      <x:c r="D46" s="2" t="str">
        <x:v>The Ants Marching</x:v>
      </x:c>
      <x:c r="E46" s="15" t="n">
        <x:v>109</x:v>
      </x:c>
      <x:c r="F46" s="2" t="str">
        <x:v>Ed</x:v>
      </x:c>
      <x:c r="G46" s="2" t="str">
        <x:v>Poff's Pocket Rocket</x:v>
      </x:c>
      <x:c r="H46" s="15" t="n">
        <x:v>106</x:v>
      </x:c>
      <x:c r="I46" s="2" t="str">
        <x:f>IF(E46&gt;H46,C46,IF(E46&lt;H46,F46,"Tie"))</x:f>
        <x:v>Craig</x:v>
      </x:c>
      <x:c r="J46" s="2" t="str">
        <x:f>IF(E46&gt;H46,F46,IF(E46&lt;H46,C46,"Tie"))</x:f>
        <x:v>Ed</x:v>
      </x:c>
      <x:c r="K46" s="2" t="n">
        <x:f>IF(E46=H46,1,0)</x:f>
        <x:v>0</x:v>
      </x:c>
      <x:c r="L46" s="2" t="str">
        <x:v>Craig / Ed</x:v>
      </x:c>
      <x:c r="M46" t="str"/>
      <x:c r="N46" t="str">
        <x:v>Supplied</x:v>
      </x:c>
    </x:row>
    <x:row r="47" ht="22" customHeight="1">
      <x:c r="A47" s="2" t="n">
        <x:v>5</x:v>
      </x:c>
      <x:c r="B47" s="2" t="str">
        <x:v>Regular</x:v>
      </x:c>
      <x:c r="C47" s="2" t="str">
        <x:v>Josh</x:v>
      </x:c>
      <x:c r="D47" s="2" t="str">
        <x:v>Winnie the Bish</x:v>
      </x:c>
      <x:c r="E47" s="15" t="n">
        <x:v>148</x:v>
      </x:c>
      <x:c r="F47" s="2" t="str">
        <x:v>James B.</x:v>
      </x:c>
      <x:c r="G47" s="2" t="str">
        <x:v>The Comeback Is Real</x:v>
      </x:c>
      <x:c r="H47" s="15" t="n">
        <x:v>136</x:v>
      </x:c>
      <x:c r="I47" s="2" t="str">
        <x:f>IF(E47&gt;H47,C47,IF(E47&lt;H47,F47,"Tie"))</x:f>
        <x:v>Josh</x:v>
      </x:c>
      <x:c r="J47" s="2" t="str">
        <x:f>IF(E47&gt;H47,F47,IF(E47&lt;H47,C47,"Tie"))</x:f>
        <x:v>James B.</x:v>
      </x:c>
      <x:c r="K47" s="2" t="n">
        <x:f>IF(E47=H47,1,0)</x:f>
        <x:v>0</x:v>
      </x:c>
      <x:c r="L47" s="2" t="str">
        <x:v>James B. / Josh</x:v>
      </x:c>
      <x:c r="M47" t="str"/>
      <x:c r="N47" t="str">
        <x:v>Supplied</x:v>
      </x:c>
    </x:row>
    <x:row r="48" ht="22" customHeight="1">
      <x:c r="A48" s="2" t="n">
        <x:v>5</x:v>
      </x:c>
      <x:c r="B48" s="2" t="str">
        <x:v>Regular</x:v>
      </x:c>
      <x:c r="C48" s="2" t="str">
        <x:v>Mark</x:v>
      </x:c>
      <x:c r="D48" s="2" t="str">
        <x:v>wacky waving arms</x:v>
      </x:c>
      <x:c r="E48" s="15" t="n">
        <x:v>106</x:v>
      </x:c>
      <x:c r="F48" s="2" t="str">
        <x:v>Taylor</x:v>
      </x:c>
      <x:c r="G48" s="2" t="str">
        <x:v>whos 10 was it</x:v>
      </x:c>
      <x:c r="H48" s="15" t="n">
        <x:v>126</x:v>
      </x:c>
      <x:c r="I48" s="2" t="str">
        <x:f>IF(E48&gt;H48,C48,IF(E48&lt;H48,F48,"Tie"))</x:f>
        <x:v>Taylor</x:v>
      </x:c>
      <x:c r="J48" s="2" t="str">
        <x:f>IF(E48&gt;H48,F48,IF(E48&lt;H48,C48,"Tie"))</x:f>
        <x:v>Mark</x:v>
      </x:c>
      <x:c r="K48" s="2" t="n">
        <x:f>IF(E48=H48,1,0)</x:f>
        <x:v>0</x:v>
      </x:c>
      <x:c r="L48" s="2" t="str">
        <x:v>Mark / Taylor</x:v>
      </x:c>
      <x:c r="M48" t="str"/>
      <x:c r="N48" t="str">
        <x:v>Supplied</x:v>
      </x:c>
    </x:row>
    <x:row r="49" ht="22" customHeight="1">
      <x:c r="A49" s="2" t="n">
        <x:v>6</x:v>
      </x:c>
      <x:c r="B49" s="2" t="str">
        <x:v>Regular</x:v>
      </x:c>
      <x:c r="C49" s="2" t="str">
        <x:v>Andrew</x:v>
      </x:c>
      <x:c r="D49" s="2" t="str">
        <x:v>The Goat House</x:v>
      </x:c>
      <x:c r="E49" s="15" t="n">
        <x:v>103</x:v>
      </x:c>
      <x:c r="F49" s="2" t="str">
        <x:v>Matt</x:v>
      </x:c>
      <x:c r="G49" s="2" t="str">
        <x:v>Headphanie</x:v>
      </x:c>
      <x:c r="H49" s="15" t="n">
        <x:v>113</x:v>
      </x:c>
      <x:c r="I49" s="2" t="str">
        <x:f>IF(E49&gt;H49,C49,IF(E49&lt;H49,F49,"Tie"))</x:f>
        <x:v>Matt</x:v>
      </x:c>
      <x:c r="J49" s="2" t="str">
        <x:f>IF(E49&gt;H49,F49,IF(E49&lt;H49,C49,"Tie"))</x:f>
        <x:v>Andrew</x:v>
      </x:c>
      <x:c r="K49" s="2" t="n">
        <x:f>IF(E49=H49,1,0)</x:f>
        <x:v>0</x:v>
      </x:c>
      <x:c r="L49" s="2" t="str">
        <x:v>Andrew / Matt</x:v>
      </x:c>
      <x:c r="M49" t="str"/>
      <x:c r="N49" t="str">
        <x:v>Supplied</x:v>
      </x:c>
    </x:row>
    <x:row r="50" ht="22" customHeight="1">
      <x:c r="A50" s="2" t="n">
        <x:v>6</x:v>
      </x:c>
      <x:c r="B50" s="2" t="str">
        <x:v>Regular</x:v>
      </x:c>
      <x:c r="C50" s="2" t="str">
        <x:v>Ben</x:v>
      </x:c>
      <x:c r="D50" s="2" t="str">
        <x:v>Ben's Team</x:v>
      </x:c>
      <x:c r="E50" s="15" t="n">
        <x:v>148</x:v>
      </x:c>
      <x:c r="F50" s="2" t="str">
        <x:v>James B.</x:v>
      </x:c>
      <x:c r="G50" s="2" t="str">
        <x:v>The Comeback Is Real</x:v>
      </x:c>
      <x:c r="H50" s="15" t="n">
        <x:v>155</x:v>
      </x:c>
      <x:c r="I50" s="2" t="str">
        <x:f>IF(E50&gt;H50,C50,IF(E50&lt;H50,F50,"Tie"))</x:f>
        <x:v>James B.</x:v>
      </x:c>
      <x:c r="J50" s="2" t="str">
        <x:f>IF(E50&gt;H50,F50,IF(E50&lt;H50,C50,"Tie"))</x:f>
        <x:v>Ben</x:v>
      </x:c>
      <x:c r="K50" s="2" t="n">
        <x:f>IF(E50=H50,1,0)</x:f>
        <x:v>0</x:v>
      </x:c>
      <x:c r="L50" s="2" t="str">
        <x:v>Ben / James B.</x:v>
      </x:c>
      <x:c r="M50" t="str"/>
      <x:c r="N50" t="str">
        <x:v>Supplied</x:v>
      </x:c>
    </x:row>
    <x:row r="51" ht="22" customHeight="1">
      <x:c r="A51" s="2" t="n">
        <x:v>6</x:v>
      </x:c>
      <x:c r="B51" s="2" t="str">
        <x:v>Regular</x:v>
      </x:c>
      <x:c r="C51" s="2" t="str">
        <x:v>Craig</x:v>
      </x:c>
      <x:c r="D51" s="2" t="str">
        <x:v>The Ants Marching</x:v>
      </x:c>
      <x:c r="E51" s="15" t="n">
        <x:v>101</x:v>
      </x:c>
      <x:c r="F51" s="2" t="str">
        <x:v>Mark</x:v>
      </x:c>
      <x:c r="G51" s="2" t="str">
        <x:v>wacky waving arms</x:v>
      </x:c>
      <x:c r="H51" s="15" t="n">
        <x:v>94</x:v>
      </x:c>
      <x:c r="I51" s="2" t="str">
        <x:f>IF(E51&gt;H51,C51,IF(E51&lt;H51,F51,"Tie"))</x:f>
        <x:v>Craig</x:v>
      </x:c>
      <x:c r="J51" s="2" t="str">
        <x:f>IF(E51&gt;H51,F51,IF(E51&lt;H51,C51,"Tie"))</x:f>
        <x:v>Mark</x:v>
      </x:c>
      <x:c r="K51" s="2" t="n">
        <x:f>IF(E51=H51,1,0)</x:f>
        <x:v>0</x:v>
      </x:c>
      <x:c r="L51" s="2" t="str">
        <x:v>Craig / Mark</x:v>
      </x:c>
      <x:c r="M51" t="str"/>
      <x:c r="N51" t="str">
        <x:v>Supplied</x:v>
      </x:c>
    </x:row>
    <x:row r="52" ht="22" customHeight="1">
      <x:c r="A52" s="2" t="n">
        <x:v>6</x:v>
      </x:c>
      <x:c r="B52" s="2" t="str">
        <x:v>Regular</x:v>
      </x:c>
      <x:c r="C52" s="2" t="str">
        <x:v>Ed</x:v>
      </x:c>
      <x:c r="D52" s="2" t="str">
        <x:v>Poff's Pocket Rocket</x:v>
      </x:c>
      <x:c r="E52" s="15" t="n">
        <x:v>117</x:v>
      </x:c>
      <x:c r="F52" s="2" t="str">
        <x:v>Taylor</x:v>
      </x:c>
      <x:c r="G52" s="2" t="str">
        <x:v>whos 10 was it</x:v>
      </x:c>
      <x:c r="H52" s="15" t="n">
        <x:v>102</x:v>
      </x:c>
      <x:c r="I52" s="2" t="str">
        <x:f>IF(E52&gt;H52,C52,IF(E52&lt;H52,F52,"Tie"))</x:f>
        <x:v>Ed</x:v>
      </x:c>
      <x:c r="J52" s="2" t="str">
        <x:f>IF(E52&gt;H52,F52,IF(E52&lt;H52,C52,"Tie"))</x:f>
        <x:v>Taylor</x:v>
      </x:c>
      <x:c r="K52" s="2" t="n">
        <x:f>IF(E52=H52,1,0)</x:f>
        <x:v>0</x:v>
      </x:c>
      <x:c r="L52" s="2" t="str">
        <x:v>Ed / Taylor</x:v>
      </x:c>
      <x:c r="M52" t="str"/>
      <x:c r="N52" t="str">
        <x:v>Supplied</x:v>
      </x:c>
    </x:row>
    <x:row r="53" ht="22" customHeight="1">
      <x:c r="A53" s="2" t="n">
        <x:v>6</x:v>
      </x:c>
      <x:c r="B53" s="2" t="str">
        <x:v>Regular</x:v>
      </x:c>
      <x:c r="C53" s="2" t="str">
        <x:v>Josh</x:v>
      </x:c>
      <x:c r="D53" s="2" t="str">
        <x:v>Winnie the Bish</x:v>
      </x:c>
      <x:c r="E53" s="15" t="n">
        <x:v>87</x:v>
      </x:c>
      <x:c r="F53" s="2" t="str">
        <x:v>Bruce</x:v>
      </x:c>
      <x:c r="G53" s="2" t="str">
        <x:v>The Storm</x:v>
      </x:c>
      <x:c r="H53" s="15" t="n">
        <x:v>91</x:v>
      </x:c>
      <x:c r="I53" s="2" t="str">
        <x:f>IF(E53&gt;H53,C53,IF(E53&lt;H53,F53,"Tie"))</x:f>
        <x:v>Bruce</x:v>
      </x:c>
      <x:c r="J53" s="2" t="str">
        <x:f>IF(E53&gt;H53,F53,IF(E53&lt;H53,C53,"Tie"))</x:f>
        <x:v>Josh</x:v>
      </x:c>
      <x:c r="K53" s="2" t="n">
        <x:f>IF(E53=H53,1,0)</x:f>
        <x:v>0</x:v>
      </x:c>
      <x:c r="L53" s="2" t="str">
        <x:v>Bruce / Josh</x:v>
      </x:c>
      <x:c r="M53" t="str"/>
      <x:c r="N53" t="str">
        <x:v>Supplied</x:v>
      </x:c>
    </x:row>
    <x:row r="54" ht="22" customHeight="1">
      <x:c r="A54" s="2" t="n">
        <x:v>7</x:v>
      </x:c>
      <x:c r="B54" s="2" t="str">
        <x:v>Regular</x:v>
      </x:c>
      <x:c r="C54" s="2" t="str">
        <x:v>Andrew</x:v>
      </x:c>
      <x:c r="D54" s="2" t="str">
        <x:v>The Goat House</x:v>
      </x:c>
      <x:c r="E54" s="15" t="n">
        <x:v>153</x:v>
      </x:c>
      <x:c r="F54" s="2" t="str">
        <x:v>Bruce</x:v>
      </x:c>
      <x:c r="G54" s="2" t="str">
        <x:v>The Storm</x:v>
      </x:c>
      <x:c r="H54" s="15" t="n">
        <x:v>158</x:v>
      </x:c>
      <x:c r="I54" s="2" t="str">
        <x:f>IF(E54&gt;H54,C54,IF(E54&lt;H54,F54,"Tie"))</x:f>
        <x:v>Bruce</x:v>
      </x:c>
      <x:c r="J54" s="2" t="str">
        <x:f>IF(E54&gt;H54,F54,IF(E54&lt;H54,C54,"Tie"))</x:f>
        <x:v>Andrew</x:v>
      </x:c>
      <x:c r="K54" s="2" t="n">
        <x:f>IF(E54=H54,1,0)</x:f>
        <x:v>0</x:v>
      </x:c>
      <x:c r="L54" s="2" t="str">
        <x:v>Andrew / Bruce</x:v>
      </x:c>
      <x:c r="M54" t="str"/>
      <x:c r="N54" t="str">
        <x:v>Supplied</x:v>
      </x:c>
    </x:row>
    <x:row r="55" ht="22" customHeight="1">
      <x:c r="A55" s="2" t="n">
        <x:v>7</x:v>
      </x:c>
      <x:c r="B55" s="2" t="str">
        <x:v>Regular</x:v>
      </x:c>
      <x:c r="C55" s="2" t="str">
        <x:v>Ben</x:v>
      </x:c>
      <x:c r="D55" s="2" t="str">
        <x:v>Ben's Team</x:v>
      </x:c>
      <x:c r="E55" s="15" t="n">
        <x:v>85</x:v>
      </x:c>
      <x:c r="F55" s="2" t="str">
        <x:v>Taylor</x:v>
      </x:c>
      <x:c r="G55" s="2" t="str">
        <x:v>whos 10 was it</x:v>
      </x:c>
      <x:c r="H55" s="15" t="n">
        <x:v>115</x:v>
      </x:c>
      <x:c r="I55" s="2" t="str">
        <x:f>IF(E55&gt;H55,C55,IF(E55&lt;H55,F55,"Tie"))</x:f>
        <x:v>Taylor</x:v>
      </x:c>
      <x:c r="J55" s="2" t="str">
        <x:f>IF(E55&gt;H55,F55,IF(E55&lt;H55,C55,"Tie"))</x:f>
        <x:v>Ben</x:v>
      </x:c>
      <x:c r="K55" s="2" t="n">
        <x:f>IF(E55=H55,1,0)</x:f>
        <x:v>0</x:v>
      </x:c>
      <x:c r="L55" s="2" t="str">
        <x:v>Ben / Taylor</x:v>
      </x:c>
      <x:c r="M55" t="str"/>
      <x:c r="N55" t="str">
        <x:v>Supplied</x:v>
      </x:c>
    </x:row>
    <x:row r="56" ht="22" customHeight="1">
      <x:c r="A56" s="2" t="n">
        <x:v>7</x:v>
      </x:c>
      <x:c r="B56" s="2" t="str">
        <x:v>Regular</x:v>
      </x:c>
      <x:c r="C56" s="2" t="str">
        <x:v>Craig</x:v>
      </x:c>
      <x:c r="D56" s="2" t="str">
        <x:v>The Ants Marching</x:v>
      </x:c>
      <x:c r="E56" s="15" t="n">
        <x:v>97</x:v>
      </x:c>
      <x:c r="F56" s="2" t="str">
        <x:v>James B.</x:v>
      </x:c>
      <x:c r="G56" s="2" t="str">
        <x:v>The Comeback Is Real</x:v>
      </x:c>
      <x:c r="H56" s="15" t="n">
        <x:v>128</x:v>
      </x:c>
      <x:c r="I56" s="2" t="str">
        <x:f>IF(E56&gt;H56,C56,IF(E56&lt;H56,F56,"Tie"))</x:f>
        <x:v>James B.</x:v>
      </x:c>
      <x:c r="J56" s="2" t="str">
        <x:f>IF(E56&gt;H56,F56,IF(E56&lt;H56,C56,"Tie"))</x:f>
        <x:v>Craig</x:v>
      </x:c>
      <x:c r="K56" s="2" t="n">
        <x:f>IF(E56=H56,1,0)</x:f>
        <x:v>0</x:v>
      </x:c>
      <x:c r="L56" s="2" t="str">
        <x:v>Craig / James B.</x:v>
      </x:c>
      <x:c r="M56" t="str"/>
      <x:c r="N56" t="str">
        <x:v>Supplied</x:v>
      </x:c>
    </x:row>
    <x:row r="57" ht="22" customHeight="1">
      <x:c r="A57" s="2" t="n">
        <x:v>7</x:v>
      </x:c>
      <x:c r="B57" s="2" t="str">
        <x:v>Regular</x:v>
      </x:c>
      <x:c r="C57" s="2" t="str">
        <x:v>Ed</x:v>
      </x:c>
      <x:c r="D57" s="2" t="str">
        <x:v>Poff's Pocket Rocket</x:v>
      </x:c>
      <x:c r="E57" s="15" t="n">
        <x:v>121</x:v>
      </x:c>
      <x:c r="F57" s="2" t="str">
        <x:v>Matt</x:v>
      </x:c>
      <x:c r="G57" s="2" t="str">
        <x:v>Headphanie</x:v>
      </x:c>
      <x:c r="H57" s="15" t="n">
        <x:v>123</x:v>
      </x:c>
      <x:c r="I57" s="2" t="str">
        <x:f>IF(E57&gt;H57,C57,IF(E57&lt;H57,F57,"Tie"))</x:f>
        <x:v>Matt</x:v>
      </x:c>
      <x:c r="J57" s="2" t="str">
        <x:f>IF(E57&gt;H57,F57,IF(E57&lt;H57,C57,"Tie"))</x:f>
        <x:v>Ed</x:v>
      </x:c>
      <x:c r="K57" s="2" t="n">
        <x:f>IF(E57=H57,1,0)</x:f>
        <x:v>0</x:v>
      </x:c>
      <x:c r="L57" s="2" t="str">
        <x:v>Ed / Matt</x:v>
      </x:c>
      <x:c r="M57" t="str"/>
      <x:c r="N57" t="str">
        <x:v>Supplied</x:v>
      </x:c>
    </x:row>
    <x:row r="58" ht="22" customHeight="1">
      <x:c r="A58" s="2" t="n">
        <x:v>7</x:v>
      </x:c>
      <x:c r="B58" s="2" t="str">
        <x:v>Regular</x:v>
      </x:c>
      <x:c r="C58" s="2" t="str">
        <x:v>Josh</x:v>
      </x:c>
      <x:c r="D58" s="2" t="str">
        <x:v>Winnie the Bish</x:v>
      </x:c>
      <x:c r="E58" s="15" t="n">
        <x:v>119</x:v>
      </x:c>
      <x:c r="F58" s="2" t="str">
        <x:v>Mark</x:v>
      </x:c>
      <x:c r="G58" s="2" t="str">
        <x:v>wacky waving arms</x:v>
      </x:c>
      <x:c r="H58" s="15" t="n">
        <x:v>113</x:v>
      </x:c>
      <x:c r="I58" s="2" t="str">
        <x:f>IF(E58&gt;H58,C58,IF(E58&lt;H58,F58,"Tie"))</x:f>
        <x:v>Josh</x:v>
      </x:c>
      <x:c r="J58" s="2" t="str">
        <x:f>IF(E58&gt;H58,F58,IF(E58&lt;H58,C58,"Tie"))</x:f>
        <x:v>Mark</x:v>
      </x:c>
      <x:c r="K58" s="2" t="n">
        <x:f>IF(E58=H58,1,0)</x:f>
        <x:v>0</x:v>
      </x:c>
      <x:c r="L58" s="2" t="str">
        <x:v>Josh / Mark</x:v>
      </x:c>
      <x:c r="M58" t="str"/>
      <x:c r="N58" t="str">
        <x:v>Supplied</x:v>
      </x:c>
    </x:row>
    <x:row r="59" ht="22" customHeight="1">
      <x:c r="A59" s="2" t="n">
        <x:v>8</x:v>
      </x:c>
      <x:c r="B59" s="2" t="str">
        <x:v>Regular</x:v>
      </x:c>
      <x:c r="C59" s="2" t="str">
        <x:v>Ben</x:v>
      </x:c>
      <x:c r="D59" s="2" t="str">
        <x:v>Ben's Team</x:v>
      </x:c>
      <x:c r="E59" s="15" t="n">
        <x:v>199</x:v>
      </x:c>
      <x:c r="F59" s="2" t="str">
        <x:v>James B.</x:v>
      </x:c>
      <x:c r="G59" s="2" t="str">
        <x:v>The Comeback Is Real</x:v>
      </x:c>
      <x:c r="H59" s="15" t="n">
        <x:v>99</x:v>
      </x:c>
      <x:c r="I59" s="2" t="str">
        <x:f>IF(E59&gt;H59,C59,IF(E59&lt;H59,F59,"Tie"))</x:f>
        <x:v>Ben</x:v>
      </x:c>
      <x:c r="J59" s="2" t="str">
        <x:f>IF(E59&gt;H59,F59,IF(E59&lt;H59,C59,"Tie"))</x:f>
        <x:v>James B.</x:v>
      </x:c>
      <x:c r="K59" s="2" t="n">
        <x:f>IF(E59=H59,1,0)</x:f>
        <x:v>0</x:v>
      </x:c>
      <x:c r="L59" s="2" t="str">
        <x:v>Ben / James B.</x:v>
      </x:c>
      <x:c r="M59" t="str"/>
      <x:c r="N59" t="str">
        <x:v>Supplied</x:v>
      </x:c>
    </x:row>
    <x:row r="60" ht="22" customHeight="1">
      <x:c r="A60" s="2" t="n">
        <x:v>8</x:v>
      </x:c>
      <x:c r="B60" s="2" t="str">
        <x:v>Regular</x:v>
      </x:c>
      <x:c r="C60" s="2" t="str">
        <x:v>Craig</x:v>
      </x:c>
      <x:c r="D60" s="2" t="str">
        <x:v>The Ants Marching</x:v>
      </x:c>
      <x:c r="E60" s="15" t="n">
        <x:v>112</x:v>
      </x:c>
      <x:c r="F60" s="2" t="str">
        <x:v>Bruce</x:v>
      </x:c>
      <x:c r="G60" s="2" t="str">
        <x:v>The Storm</x:v>
      </x:c>
      <x:c r="H60" s="15" t="n">
        <x:v>116</x:v>
      </x:c>
      <x:c r="I60" s="2" t="str">
        <x:f>IF(E60&gt;H60,C60,IF(E60&lt;H60,F60,"Tie"))</x:f>
        <x:v>Bruce</x:v>
      </x:c>
      <x:c r="J60" s="2" t="str">
        <x:f>IF(E60&gt;H60,F60,IF(E60&lt;H60,C60,"Tie"))</x:f>
        <x:v>Craig</x:v>
      </x:c>
      <x:c r="K60" s="2" t="n">
        <x:f>IF(E60=H60,1,0)</x:f>
        <x:v>0</x:v>
      </x:c>
      <x:c r="L60" s="2" t="str">
        <x:v>Bruce / Craig</x:v>
      </x:c>
      <x:c r="M60" t="str"/>
      <x:c r="N60" t="str">
        <x:v>Supplied</x:v>
      </x:c>
    </x:row>
    <x:row r="61" ht="22" customHeight="1">
      <x:c r="A61" s="2" t="n">
        <x:v>8</x:v>
      </x:c>
      <x:c r="B61" s="2" t="str">
        <x:v>Regular</x:v>
      </x:c>
      <x:c r="C61" s="2" t="str">
        <x:v>Ed</x:v>
      </x:c>
      <x:c r="D61" s="2" t="str">
        <x:v>Poff's Pocket Rocket</x:v>
      </x:c>
      <x:c r="E61" s="15" t="n">
        <x:v>133</x:v>
      </x:c>
      <x:c r="F61" s="2" t="str">
        <x:v>Taylor</x:v>
      </x:c>
      <x:c r="G61" s="2" t="str">
        <x:v>whos 10 was it</x:v>
      </x:c>
      <x:c r="H61" s="15" t="n">
        <x:v>138</x:v>
      </x:c>
      <x:c r="I61" s="2" t="str">
        <x:f>IF(E61&gt;H61,C61,IF(E61&lt;H61,F61,"Tie"))</x:f>
        <x:v>Taylor</x:v>
      </x:c>
      <x:c r="J61" s="2" t="str">
        <x:f>IF(E61&gt;H61,F61,IF(E61&lt;H61,C61,"Tie"))</x:f>
        <x:v>Ed</x:v>
      </x:c>
      <x:c r="K61" s="2" t="n">
        <x:f>IF(E61=H61,1,0)</x:f>
        <x:v>0</x:v>
      </x:c>
      <x:c r="L61" s="2" t="str">
        <x:v>Ed / Taylor</x:v>
      </x:c>
      <x:c r="M61" t="str"/>
      <x:c r="N61" t="str">
        <x:v>Supplied</x:v>
      </x:c>
    </x:row>
    <x:row r="62" ht="22" customHeight="1">
      <x:c r="A62" s="2" t="n">
        <x:v>8</x:v>
      </x:c>
      <x:c r="B62" s="2" t="str">
        <x:v>Regular</x:v>
      </x:c>
      <x:c r="C62" s="2" t="str">
        <x:v>Josh</x:v>
      </x:c>
      <x:c r="D62" s="2" t="str">
        <x:v>Winnie the Bish</x:v>
      </x:c>
      <x:c r="E62" s="15" t="n">
        <x:v>93</x:v>
      </x:c>
      <x:c r="F62" s="2" t="str">
        <x:v>Andrew</x:v>
      </x:c>
      <x:c r="G62" s="2" t="str">
        <x:v>The Goat House</x:v>
      </x:c>
      <x:c r="H62" s="15" t="n">
        <x:v>78</x:v>
      </x:c>
      <x:c r="I62" s="2" t="str">
        <x:f>IF(E62&gt;H62,C62,IF(E62&lt;H62,F62,"Tie"))</x:f>
        <x:v>Josh</x:v>
      </x:c>
      <x:c r="J62" s="2" t="str">
        <x:f>IF(E62&gt;H62,F62,IF(E62&lt;H62,C62,"Tie"))</x:f>
        <x:v>Andrew</x:v>
      </x:c>
      <x:c r="K62" s="2" t="n">
        <x:f>IF(E62=H62,1,0)</x:f>
        <x:v>0</x:v>
      </x:c>
      <x:c r="L62" s="2" t="str">
        <x:v>Andrew / Josh</x:v>
      </x:c>
      <x:c r="M62" t="str"/>
      <x:c r="N62" t="str">
        <x:v>Supplied</x:v>
      </x:c>
    </x:row>
    <x:row r="63" ht="22" customHeight="1">
      <x:c r="A63" s="2" t="n">
        <x:v>8</x:v>
      </x:c>
      <x:c r="B63" s="2" t="str">
        <x:v>Regular</x:v>
      </x:c>
      <x:c r="C63" s="2" t="str">
        <x:v>Mark</x:v>
      </x:c>
      <x:c r="D63" s="2" t="str">
        <x:v>wacky waving arms</x:v>
      </x:c>
      <x:c r="E63" s="15" t="n">
        <x:v>110</x:v>
      </x:c>
      <x:c r="F63" s="2" t="str">
        <x:v>Matt</x:v>
      </x:c>
      <x:c r="G63" s="2" t="str">
        <x:v>Headphanie</x:v>
      </x:c>
      <x:c r="H63" s="15" t="n">
        <x:v>110</x:v>
      </x:c>
      <x:c r="I63" s="2" t="str">
        <x:f>IF(E63&gt;H63,C63,IF(E63&lt;H63,F63,"Tie"))</x:f>
        <x:v>Tie</x:v>
      </x:c>
      <x:c r="J63" s="2" t="str">
        <x:f>IF(E63&gt;H63,F63,IF(E63&lt;H63,C63,"Tie"))</x:f>
        <x:v>Tie</x:v>
      </x:c>
      <x:c r="K63" s="2" t="n">
        <x:f>IF(E63=H63,1,0)</x:f>
        <x:v>1</x:v>
      </x:c>
      <x:c r="L63" s="2" t="str">
        <x:v>Mark / Matt</x:v>
      </x:c>
      <x:c r="M63" t="str"/>
      <x:c r="N63" t="str">
        <x:v>Supplied</x:v>
      </x:c>
    </x:row>
    <x:row r="64" ht="22" customHeight="1">
      <x:c r="A64" s="2" t="n">
        <x:v>9</x:v>
      </x:c>
      <x:c r="B64" s="2" t="str">
        <x:v>Regular</x:v>
      </x:c>
      <x:c r="C64" s="2" t="str">
        <x:v>Andrew</x:v>
      </x:c>
      <x:c r="D64" s="2" t="str">
        <x:v>The Goat House</x:v>
      </x:c>
      <x:c r="E64" s="15" t="n">
        <x:v>146</x:v>
      </x:c>
      <x:c r="F64" s="2" t="str">
        <x:v>Taylor</x:v>
      </x:c>
      <x:c r="G64" s="2" t="str">
        <x:v>whos 10 was it</x:v>
      </x:c>
      <x:c r="H64" s="15" t="n">
        <x:v>105</x:v>
      </x:c>
      <x:c r="I64" s="2" t="str">
        <x:f>IF(E64&gt;H64,C64,IF(E64&lt;H64,F64,"Tie"))</x:f>
        <x:v>Andrew</x:v>
      </x:c>
      <x:c r="J64" s="2" t="str">
        <x:f>IF(E64&gt;H64,F64,IF(E64&lt;H64,C64,"Tie"))</x:f>
        <x:v>Taylor</x:v>
      </x:c>
      <x:c r="K64" s="2" t="n">
        <x:f>IF(E64=H64,1,0)</x:f>
        <x:v>0</x:v>
      </x:c>
      <x:c r="L64" s="2" t="str">
        <x:v>Andrew / Taylor</x:v>
      </x:c>
      <x:c r="M64" t="str"/>
      <x:c r="N64" t="str">
        <x:v>Supplied</x:v>
      </x:c>
    </x:row>
    <x:row r="65" ht="22" customHeight="1">
      <x:c r="A65" s="2" t="n">
        <x:v>9</x:v>
      </x:c>
      <x:c r="B65" s="2" t="str">
        <x:v>Regular</x:v>
      </x:c>
      <x:c r="C65" s="2" t="str">
        <x:v>Ben</x:v>
      </x:c>
      <x:c r="D65" s="2" t="str">
        <x:v>Ben's Team</x:v>
      </x:c>
      <x:c r="E65" s="15" t="n">
        <x:v>101</x:v>
      </x:c>
      <x:c r="F65" s="2" t="str">
        <x:v>Bruce</x:v>
      </x:c>
      <x:c r="G65" s="2" t="str">
        <x:v>The Storm</x:v>
      </x:c>
      <x:c r="H65" s="15" t="n">
        <x:v>116</x:v>
      </x:c>
      <x:c r="I65" s="2" t="str">
        <x:f>IF(E65&gt;H65,C65,IF(E65&lt;H65,F65,"Tie"))</x:f>
        <x:v>Bruce</x:v>
      </x:c>
      <x:c r="J65" s="2" t="str">
        <x:f>IF(E65&gt;H65,F65,IF(E65&lt;H65,C65,"Tie"))</x:f>
        <x:v>Ben</x:v>
      </x:c>
      <x:c r="K65" s="2" t="n">
        <x:f>IF(E65=H65,1,0)</x:f>
        <x:v>0</x:v>
      </x:c>
      <x:c r="L65" s="2" t="str">
        <x:v>Ben / Bruce</x:v>
      </x:c>
      <x:c r="M65" t="str"/>
      <x:c r="N65" t="str">
        <x:v>Supplied</x:v>
      </x:c>
    </x:row>
    <x:row r="66" ht="22" customHeight="1">
      <x:c r="A66" s="2" t="n">
        <x:v>9</x:v>
      </x:c>
      <x:c r="B66" s="2" t="str">
        <x:v>Regular</x:v>
      </x:c>
      <x:c r="C66" s="2" t="str">
        <x:v>Craig</x:v>
      </x:c>
      <x:c r="D66" s="2" t="str">
        <x:v>The Ants Marching</x:v>
      </x:c>
      <x:c r="E66" s="15" t="n">
        <x:v>124</x:v>
      </x:c>
      <x:c r="F66" s="2" t="str">
        <x:v>Matt</x:v>
      </x:c>
      <x:c r="G66" s="2" t="str">
        <x:v>Headphanie</x:v>
      </x:c>
      <x:c r="H66" s="15" t="n">
        <x:v>98</x:v>
      </x:c>
      <x:c r="I66" s="2" t="str">
        <x:f>IF(E66&gt;H66,C66,IF(E66&lt;H66,F66,"Tie"))</x:f>
        <x:v>Craig</x:v>
      </x:c>
      <x:c r="J66" s="2" t="str">
        <x:f>IF(E66&gt;H66,F66,IF(E66&lt;H66,C66,"Tie"))</x:f>
        <x:v>Matt</x:v>
      </x:c>
      <x:c r="K66" s="2" t="n">
        <x:f>IF(E66=H66,1,0)</x:f>
        <x:v>0</x:v>
      </x:c>
      <x:c r="L66" s="2" t="str">
        <x:v>Craig / Matt</x:v>
      </x:c>
      <x:c r="M66" t="str"/>
      <x:c r="N66" t="str">
        <x:v>Supplied</x:v>
      </x:c>
    </x:row>
    <x:row r="67" ht="22" customHeight="1">
      <x:c r="A67" s="2" t="n">
        <x:v>9</x:v>
      </x:c>
      <x:c r="B67" s="2" t="str">
        <x:v>Regular</x:v>
      </x:c>
      <x:c r="C67" s="2" t="str">
        <x:v>Josh</x:v>
      </x:c>
      <x:c r="D67" s="2" t="str">
        <x:v>Winnie the Bish</x:v>
      </x:c>
      <x:c r="E67" s="15" t="n">
        <x:v>103</x:v>
      </x:c>
      <x:c r="F67" s="2" t="str">
        <x:v>Ed</x:v>
      </x:c>
      <x:c r="G67" s="2" t="str">
        <x:v>Poff's Pocket Rocket</x:v>
      </x:c>
      <x:c r="H67" s="15" t="n">
        <x:v>121</x:v>
      </x:c>
      <x:c r="I67" s="2" t="str">
        <x:f>IF(E67&gt;H67,C67,IF(E67&lt;H67,F67,"Tie"))</x:f>
        <x:v>Ed</x:v>
      </x:c>
      <x:c r="J67" s="2" t="str">
        <x:f>IF(E67&gt;H67,F67,IF(E67&lt;H67,C67,"Tie"))</x:f>
        <x:v>Josh</x:v>
      </x:c>
      <x:c r="K67" s="2" t="n">
        <x:f>IF(E67=H67,1,0)</x:f>
        <x:v>0</x:v>
      </x:c>
      <x:c r="L67" s="2" t="str">
        <x:v>Ed / Josh</x:v>
      </x:c>
      <x:c r="M67" t="str"/>
      <x:c r="N67" t="str">
        <x:v>Supplied</x:v>
      </x:c>
    </x:row>
    <x:row r="68" ht="22" customHeight="1">
      <x:c r="A68" s="2" t="n">
        <x:v>9</x:v>
      </x:c>
      <x:c r="B68" s="2" t="str">
        <x:v>Regular</x:v>
      </x:c>
      <x:c r="C68" s="2" t="str">
        <x:v>Mark</x:v>
      </x:c>
      <x:c r="D68" s="2" t="str">
        <x:v>wacky waving arms</x:v>
      </x:c>
      <x:c r="E68" s="15" t="n">
        <x:v>99</x:v>
      </x:c>
      <x:c r="F68" s="2" t="str">
        <x:v>James B.</x:v>
      </x:c>
      <x:c r="G68" s="2" t="str">
        <x:v>The Comeback Is Real</x:v>
      </x:c>
      <x:c r="H68" s="15" t="n">
        <x:v>141</x:v>
      </x:c>
      <x:c r="I68" s="2" t="str">
        <x:f>IF(E68&gt;H68,C68,IF(E68&lt;H68,F68,"Tie"))</x:f>
        <x:v>James B.</x:v>
      </x:c>
      <x:c r="J68" s="2" t="str">
        <x:f>IF(E68&gt;H68,F68,IF(E68&lt;H68,C68,"Tie"))</x:f>
        <x:v>Mark</x:v>
      </x:c>
      <x:c r="K68" s="2" t="n">
        <x:f>IF(E68=H68,1,0)</x:f>
        <x:v>0</x:v>
      </x:c>
      <x:c r="L68" s="2" t="str">
        <x:v>James B. / Mark</x:v>
      </x:c>
      <x:c r="M68" t="str"/>
      <x:c r="N68" t="str">
        <x:v>Supplied</x:v>
      </x:c>
    </x:row>
    <x:row r="69" ht="22" customHeight="1">
      <x:c r="A69" s="2" t="n">
        <x:v>10</x:v>
      </x:c>
      <x:c r="B69" s="2" t="str">
        <x:v>Regular</x:v>
      </x:c>
      <x:c r="C69" s="2" t="str">
        <x:v>Andrew</x:v>
      </x:c>
      <x:c r="D69" s="2" t="str">
        <x:v>The Goat House</x:v>
      </x:c>
      <x:c r="E69" s="15" t="n">
        <x:v>112</x:v>
      </x:c>
      <x:c r="F69" s="2" t="str">
        <x:v>Ed</x:v>
      </x:c>
      <x:c r="G69" s="2" t="str">
        <x:v>Poff's Pocket Rocket</x:v>
      </x:c>
      <x:c r="H69" s="15" t="n">
        <x:v>130</x:v>
      </x:c>
      <x:c r="I69" s="2" t="str">
        <x:f>IF(E69&gt;H69,C69,IF(E69&lt;H69,F69,"Tie"))</x:f>
        <x:v>Ed</x:v>
      </x:c>
      <x:c r="J69" s="2" t="str">
        <x:f>IF(E69&gt;H69,F69,IF(E69&lt;H69,C69,"Tie"))</x:f>
        <x:v>Andrew</x:v>
      </x:c>
      <x:c r="K69" s="2" t="n">
        <x:f>IF(E69=H69,1,0)</x:f>
        <x:v>0</x:v>
      </x:c>
      <x:c r="L69" s="2" t="str">
        <x:v>Andrew / Ed</x:v>
      </x:c>
      <x:c r="M69" t="str"/>
      <x:c r="N69" t="str">
        <x:v>Supplied</x:v>
      </x:c>
    </x:row>
    <x:row r="70" ht="22" customHeight="1">
      <x:c r="A70" s="2" t="n">
        <x:v>10</x:v>
      </x:c>
      <x:c r="B70" s="2" t="str">
        <x:v>Regular</x:v>
      </x:c>
      <x:c r="C70" s="2" t="str">
        <x:v>Bruce</x:v>
      </x:c>
      <x:c r="D70" s="2" t="str">
        <x:v>The Storm</x:v>
      </x:c>
      <x:c r="E70" s="15" t="n">
        <x:v>138</x:v>
      </x:c>
      <x:c r="F70" s="2" t="str">
        <x:v>James B.</x:v>
      </x:c>
      <x:c r="G70" s="2" t="str">
        <x:v>The Comeback Is Real</x:v>
      </x:c>
      <x:c r="H70" s="15" t="n">
        <x:v>147</x:v>
      </x:c>
      <x:c r="I70" s="2" t="str">
        <x:f>IF(E70&gt;H70,C70,IF(E70&lt;H70,F70,"Tie"))</x:f>
        <x:v>James B.</x:v>
      </x:c>
      <x:c r="J70" s="2" t="str">
        <x:f>IF(E70&gt;H70,F70,IF(E70&lt;H70,C70,"Tie"))</x:f>
        <x:v>Bruce</x:v>
      </x:c>
      <x:c r="K70" s="2" t="n">
        <x:f>IF(E70=H70,1,0)</x:f>
        <x:v>0</x:v>
      </x:c>
      <x:c r="L70" s="2" t="str">
        <x:v>Bruce / James B.</x:v>
      </x:c>
      <x:c r="M70" t="str"/>
      <x:c r="N70" t="str">
        <x:v>Supplied</x:v>
      </x:c>
    </x:row>
    <x:row r="71" ht="22" customHeight="1">
      <x:c r="A71" s="2" t="n">
        <x:v>10</x:v>
      </x:c>
      <x:c r="B71" s="2" t="str">
        <x:v>Regular</x:v>
      </x:c>
      <x:c r="C71" s="2" t="str">
        <x:v>Craig</x:v>
      </x:c>
      <x:c r="D71" s="2" t="str">
        <x:v>The Ants Marching</x:v>
      </x:c>
      <x:c r="E71" s="15" t="n">
        <x:v>119</x:v>
      </x:c>
      <x:c r="F71" s="2" t="str">
        <x:v>Taylor</x:v>
      </x:c>
      <x:c r="G71" s="2" t="str">
        <x:v>whos 10 was it</x:v>
      </x:c>
      <x:c r="H71" s="15" t="n">
        <x:v>85</x:v>
      </x:c>
      <x:c r="I71" s="2" t="str">
        <x:f>IF(E71&gt;H71,C71,IF(E71&lt;H71,F71,"Tie"))</x:f>
        <x:v>Craig</x:v>
      </x:c>
      <x:c r="J71" s="2" t="str">
        <x:f>IF(E71&gt;H71,F71,IF(E71&lt;H71,C71,"Tie"))</x:f>
        <x:v>Taylor</x:v>
      </x:c>
      <x:c r="K71" s="2" t="n">
        <x:f>IF(E71=H71,1,0)</x:f>
        <x:v>0</x:v>
      </x:c>
      <x:c r="L71" s="2" t="str">
        <x:v>Craig / Taylor</x:v>
      </x:c>
      <x:c r="M71" t="str"/>
      <x:c r="N71" t="str">
        <x:v>Supplied</x:v>
      </x:c>
    </x:row>
    <x:row r="72" ht="22" customHeight="1">
      <x:c r="A72" s="2" t="n">
        <x:v>10</x:v>
      </x:c>
      <x:c r="B72" s="2" t="str">
        <x:v>Regular</x:v>
      </x:c>
      <x:c r="C72" s="2" t="str">
        <x:v>Josh</x:v>
      </x:c>
      <x:c r="D72" s="2" t="str">
        <x:v>Winnie the Bish</x:v>
      </x:c>
      <x:c r="E72" s="15" t="n">
        <x:v>142</x:v>
      </x:c>
      <x:c r="F72" s="2" t="str">
        <x:v>Ben</x:v>
      </x:c>
      <x:c r="G72" s="2" t="str">
        <x:v>Ben's Team</x:v>
      </x:c>
      <x:c r="H72" s="15" t="n">
        <x:v>98</x:v>
      </x:c>
      <x:c r="I72" s="2" t="str">
        <x:f>IF(E72&gt;H72,C72,IF(E72&lt;H72,F72,"Tie"))</x:f>
        <x:v>Josh</x:v>
      </x:c>
      <x:c r="J72" s="2" t="str">
        <x:f>IF(E72&gt;H72,F72,IF(E72&lt;H72,C72,"Tie"))</x:f>
        <x:v>Ben</x:v>
      </x:c>
      <x:c r="K72" s="2" t="n">
        <x:f>IF(E72=H72,1,0)</x:f>
        <x:v>0</x:v>
      </x:c>
      <x:c r="L72" s="2" t="str">
        <x:v>Ben / Josh</x:v>
      </x:c>
      <x:c r="M72" t="str"/>
      <x:c r="N72" t="str">
        <x:v>Supplied</x:v>
      </x:c>
    </x:row>
    <x:row r="73" ht="22" customHeight="1">
      <x:c r="A73" s="2" t="n">
        <x:v>10</x:v>
      </x:c>
      <x:c r="B73" s="2" t="str">
        <x:v>Regular</x:v>
      </x:c>
      <x:c r="C73" s="2" t="str">
        <x:v>Mark</x:v>
      </x:c>
      <x:c r="D73" s="2" t="str">
        <x:v>wacky waving arms</x:v>
      </x:c>
      <x:c r="E73" s="15" t="n">
        <x:v>130</x:v>
      </x:c>
      <x:c r="F73" s="2" t="str">
        <x:v>Matt</x:v>
      </x:c>
      <x:c r="G73" s="2" t="str">
        <x:v>Headphanie</x:v>
      </x:c>
      <x:c r="H73" s="15" t="n">
        <x:v>103</x:v>
      </x:c>
      <x:c r="I73" s="2" t="str">
        <x:f>IF(E73&gt;H73,C73,IF(E73&lt;H73,F73,"Tie"))</x:f>
        <x:v>Mark</x:v>
      </x:c>
      <x:c r="J73" s="2" t="str">
        <x:f>IF(E73&gt;H73,F73,IF(E73&lt;H73,C73,"Tie"))</x:f>
        <x:v>Matt</x:v>
      </x:c>
      <x:c r="K73" s="2" t="n">
        <x:f>IF(E73=H73,1,0)</x:f>
        <x:v>0</x:v>
      </x:c>
      <x:c r="L73" s="2" t="str">
        <x:v>Mark / Matt</x:v>
      </x:c>
      <x:c r="M73" t="str"/>
      <x:c r="N73" t="str">
        <x:v>Supplied</x:v>
      </x:c>
    </x:row>
    <x:row r="74" ht="22" customHeight="1">
      <x:c r="A74" s="2" t="n">
        <x:v>11</x:v>
      </x:c>
      <x:c r="B74" s="2" t="str">
        <x:v>Regular</x:v>
      </x:c>
      <x:c r="C74" s="2" t="str">
        <x:v>Andrew</x:v>
      </x:c>
      <x:c r="D74" s="2" t="str">
        <x:v>The Goat House</x:v>
      </x:c>
      <x:c r="E74" s="15" t="n">
        <x:v>111</x:v>
      </x:c>
      <x:c r="F74" s="2" t="str">
        <x:v>Mark</x:v>
      </x:c>
      <x:c r="G74" s="2" t="str">
        <x:v>wacky waving arms</x:v>
      </x:c>
      <x:c r="H74" s="15" t="n">
        <x:v>114</x:v>
      </x:c>
      <x:c r="I74" s="2" t="str">
        <x:f>IF(E74&gt;H74,C74,IF(E74&lt;H74,F74,"Tie"))</x:f>
        <x:v>Mark</x:v>
      </x:c>
      <x:c r="J74" s="2" t="str">
        <x:f>IF(E74&gt;H74,F74,IF(E74&lt;H74,C74,"Tie"))</x:f>
        <x:v>Andrew</x:v>
      </x:c>
      <x:c r="K74" s="2" t="n">
        <x:f>IF(E74=H74,1,0)</x:f>
        <x:v>0</x:v>
      </x:c>
      <x:c r="L74" s="2" t="str">
        <x:v>Andrew / Mark</x:v>
      </x:c>
      <x:c r="M74" t="str"/>
      <x:c r="N74" t="str">
        <x:v>Supplied</x:v>
      </x:c>
    </x:row>
    <x:row r="75" ht="22" customHeight="1">
      <x:c r="A75" s="2" t="n">
        <x:v>11</x:v>
      </x:c>
      <x:c r="B75" s="2" t="str">
        <x:v>Regular</x:v>
      </x:c>
      <x:c r="C75" s="2" t="str">
        <x:v>Ben</x:v>
      </x:c>
      <x:c r="D75" s="2" t="str">
        <x:v>Ben's Team</x:v>
      </x:c>
      <x:c r="E75" s="15" t="n">
        <x:v>94</x:v>
      </x:c>
      <x:c r="F75" s="2" t="str">
        <x:v>Matt</x:v>
      </x:c>
      <x:c r="G75" s="2" t="str">
        <x:v>Headphanie</x:v>
      </x:c>
      <x:c r="H75" s="15" t="n">
        <x:v>108</x:v>
      </x:c>
      <x:c r="I75" s="2" t="str">
        <x:f>IF(E75&gt;H75,C75,IF(E75&lt;H75,F75,"Tie"))</x:f>
        <x:v>Matt</x:v>
      </x:c>
      <x:c r="J75" s="2" t="str">
        <x:f>IF(E75&gt;H75,F75,IF(E75&lt;H75,C75,"Tie"))</x:f>
        <x:v>Ben</x:v>
      </x:c>
      <x:c r="K75" s="2" t="n">
        <x:f>IF(E75=H75,1,0)</x:f>
        <x:v>0</x:v>
      </x:c>
      <x:c r="L75" s="2" t="str">
        <x:v>Ben / Matt</x:v>
      </x:c>
      <x:c r="M75" t="str"/>
      <x:c r="N75" t="str">
        <x:v>Supplied</x:v>
      </x:c>
    </x:row>
    <x:row r="76" ht="22" customHeight="1">
      <x:c r="A76" s="2" t="n">
        <x:v>11</x:v>
      </x:c>
      <x:c r="B76" s="2" t="str">
        <x:v>Regular</x:v>
      </x:c>
      <x:c r="C76" s="2" t="str">
        <x:v>Bruce</x:v>
      </x:c>
      <x:c r="D76" s="2" t="str">
        <x:v>The Storm</x:v>
      </x:c>
      <x:c r="E76" s="15" t="n">
        <x:v>102</x:v>
      </x:c>
      <x:c r="F76" s="2" t="str">
        <x:v>Taylor</x:v>
      </x:c>
      <x:c r="G76" s="2" t="str">
        <x:v>whos 10 was it</x:v>
      </x:c>
      <x:c r="H76" s="15" t="n">
        <x:v>102</x:v>
      </x:c>
      <x:c r="I76" s="2" t="str">
        <x:f>IF(E76&gt;H76,C76,IF(E76&lt;H76,F76,"Tie"))</x:f>
        <x:v>Tie</x:v>
      </x:c>
      <x:c r="J76" s="2" t="str">
        <x:f>IF(E76&gt;H76,F76,IF(E76&lt;H76,C76,"Tie"))</x:f>
        <x:v>Tie</x:v>
      </x:c>
      <x:c r="K76" s="2" t="n">
        <x:f>IF(E76=H76,1,0)</x:f>
        <x:v>1</x:v>
      </x:c>
      <x:c r="L76" s="2" t="str">
        <x:v>Bruce / Taylor</x:v>
      </x:c>
      <x:c r="M76" t="str"/>
      <x:c r="N76" t="str">
        <x:v>Supplied</x:v>
      </x:c>
    </x:row>
    <x:row r="77" ht="22" customHeight="1">
      <x:c r="A77" s="2" t="n">
        <x:v>11</x:v>
      </x:c>
      <x:c r="B77" s="2" t="str">
        <x:v>Regular</x:v>
      </x:c>
      <x:c r="C77" s="2" t="str">
        <x:v>Ed</x:v>
      </x:c>
      <x:c r="D77" s="2" t="str">
        <x:v>Poff's Pocket Rocket</x:v>
      </x:c>
      <x:c r="E77" s="15" t="n">
        <x:v>87</x:v>
      </x:c>
      <x:c r="F77" s="2" t="str">
        <x:v>James B.</x:v>
      </x:c>
      <x:c r="G77" s="2" t="str">
        <x:v>The Comeback Is Real</x:v>
      </x:c>
      <x:c r="H77" s="15" t="n">
        <x:v>111</x:v>
      </x:c>
      <x:c r="I77" s="2" t="str">
        <x:f>IF(E77&gt;H77,C77,IF(E77&lt;H77,F77,"Tie"))</x:f>
        <x:v>James B.</x:v>
      </x:c>
      <x:c r="J77" s="2" t="str">
        <x:f>IF(E77&gt;H77,F77,IF(E77&lt;H77,C77,"Tie"))</x:f>
        <x:v>Ed</x:v>
      </x:c>
      <x:c r="K77" s="2" t="n">
        <x:f>IF(E77=H77,1,0)</x:f>
        <x:v>0</x:v>
      </x:c>
      <x:c r="L77" s="2" t="str">
        <x:v>Ed / James B.</x:v>
      </x:c>
      <x:c r="M77" t="str"/>
      <x:c r="N77" t="str">
        <x:v>Supplied</x:v>
      </x:c>
    </x:row>
    <x:row r="78" ht="22" customHeight="1">
      <x:c r="A78" s="2" t="n">
        <x:v>11</x:v>
      </x:c>
      <x:c r="B78" s="2" t="str">
        <x:v>Regular</x:v>
      </x:c>
      <x:c r="C78" s="2" t="str">
        <x:v>Josh</x:v>
      </x:c>
      <x:c r="D78" s="2" t="str">
        <x:v>Winnie the Bish</x:v>
      </x:c>
      <x:c r="E78" s="15" t="n">
        <x:v>128</x:v>
      </x:c>
      <x:c r="F78" s="2" t="str">
        <x:v>Craig</x:v>
      </x:c>
      <x:c r="G78" s="2" t="str">
        <x:v>The Ants Marching</x:v>
      </x:c>
      <x:c r="H78" s="15" t="n">
        <x:v>109</x:v>
      </x:c>
      <x:c r="I78" s="2" t="str">
        <x:f>IF(E78&gt;H78,C78,IF(E78&lt;H78,F78,"Tie"))</x:f>
        <x:v>Josh</x:v>
      </x:c>
      <x:c r="J78" s="2" t="str">
        <x:f>IF(E78&gt;H78,F78,IF(E78&lt;H78,C78,"Tie"))</x:f>
        <x:v>Craig</x:v>
      </x:c>
      <x:c r="K78" s="2" t="n">
        <x:f>IF(E78=H78,1,0)</x:f>
        <x:v>0</x:v>
      </x:c>
      <x:c r="L78" s="2" t="str">
        <x:v>Craig / Josh</x:v>
      </x:c>
      <x:c r="M78" t="str"/>
      <x:c r="N78" t="str">
        <x:v>Supplied</x:v>
      </x:c>
    </x:row>
    <x:row r="79" ht="22" customHeight="1">
      <x:c r="A79" s="2" t="n">
        <x:v>12</x:v>
      </x:c>
      <x:c r="B79" s="2" t="str">
        <x:v>Regular</x:v>
      </x:c>
      <x:c r="C79" s="2" t="str">
        <x:v>Ben</x:v>
      </x:c>
      <x:c r="D79" s="2" t="str">
        <x:v>Ben's Team</x:v>
      </x:c>
      <x:c r="E79" s="15" t="n">
        <x:v>99</x:v>
      </x:c>
      <x:c r="F79" s="2" t="str">
        <x:v>Taylor</x:v>
      </x:c>
      <x:c r="G79" s="2" t="str">
        <x:v>whos 10 was it</x:v>
      </x:c>
      <x:c r="H79" s="15" t="n">
        <x:v>114</x:v>
      </x:c>
      <x:c r="I79" s="2" t="str">
        <x:f>IF(E79&gt;H79,C79,IF(E79&lt;H79,F79,"Tie"))</x:f>
        <x:v>Taylor</x:v>
      </x:c>
      <x:c r="J79" s="2" t="str">
        <x:f>IF(E79&gt;H79,F79,IF(E79&lt;H79,C79,"Tie"))</x:f>
        <x:v>Ben</x:v>
      </x:c>
      <x:c r="K79" s="2" t="n">
        <x:f>IF(E79=H79,1,0)</x:f>
        <x:v>0</x:v>
      </x:c>
      <x:c r="L79" s="2" t="str">
        <x:v>Ben / Taylor</x:v>
      </x:c>
      <x:c r="M79" t="str"/>
      <x:c r="N79" t="str">
        <x:v>Supplied</x:v>
      </x:c>
    </x:row>
    <x:row r="80" ht="22" customHeight="1">
      <x:c r="A80" s="2" t="n">
        <x:v>12</x:v>
      </x:c>
      <x:c r="B80" s="2" t="str">
        <x:v>Regular</x:v>
      </x:c>
      <x:c r="C80" s="2" t="str">
        <x:v>Bruce</x:v>
      </x:c>
      <x:c r="D80" s="2" t="str">
        <x:v>The Storm</x:v>
      </x:c>
      <x:c r="E80" s="15" t="n">
        <x:v>97</x:v>
      </x:c>
      <x:c r="F80" s="2" t="str">
        <x:v>Mark</x:v>
      </x:c>
      <x:c r="G80" s="2" t="str">
        <x:v>wacky waving arms</x:v>
      </x:c>
      <x:c r="H80" s="15" t="n">
        <x:v>121</x:v>
      </x:c>
      <x:c r="I80" s="2" t="str">
        <x:f>IF(E80&gt;H80,C80,IF(E80&lt;H80,F80,"Tie"))</x:f>
        <x:v>Mark</x:v>
      </x:c>
      <x:c r="J80" s="2" t="str">
        <x:f>IF(E80&gt;H80,F80,IF(E80&lt;H80,C80,"Tie"))</x:f>
        <x:v>Bruce</x:v>
      </x:c>
      <x:c r="K80" s="2" t="n">
        <x:f>IF(E80=H80,1,0)</x:f>
        <x:v>0</x:v>
      </x:c>
      <x:c r="L80" s="2" t="str">
        <x:v>Bruce / Mark</x:v>
      </x:c>
      <x:c r="M80" t="str"/>
      <x:c r="N80" t="str">
        <x:v>Supplied</x:v>
      </x:c>
    </x:row>
    <x:row r="81" ht="22" customHeight="1">
      <x:c r="A81" s="2" t="n">
        <x:v>12</x:v>
      </x:c>
      <x:c r="B81" s="2" t="str">
        <x:v>Regular</x:v>
      </x:c>
      <x:c r="C81" s="2" t="str">
        <x:v>Craig</x:v>
      </x:c>
      <x:c r="D81" s="2" t="str">
        <x:v>The Ants Marching</x:v>
      </x:c>
      <x:c r="E81" s="15" t="n">
        <x:v>128</x:v>
      </x:c>
      <x:c r="F81" s="2" t="str">
        <x:v>Andrew</x:v>
      </x:c>
      <x:c r="G81" s="2" t="str">
        <x:v>The Goat House</x:v>
      </x:c>
      <x:c r="H81" s="15" t="n">
        <x:v>154</x:v>
      </x:c>
      <x:c r="I81" s="2" t="str">
        <x:f>IF(E81&gt;H81,C81,IF(E81&lt;H81,F81,"Tie"))</x:f>
        <x:v>Andrew</x:v>
      </x:c>
      <x:c r="J81" s="2" t="str">
        <x:f>IF(E81&gt;H81,F81,IF(E81&lt;H81,C81,"Tie"))</x:f>
        <x:v>Craig</x:v>
      </x:c>
      <x:c r="K81" s="2" t="n">
        <x:f>IF(E81=H81,1,0)</x:f>
        <x:v>0</x:v>
      </x:c>
      <x:c r="L81" s="2" t="str">
        <x:v>Andrew / Craig</x:v>
      </x:c>
      <x:c r="M81" t="str"/>
      <x:c r="N81" t="str">
        <x:v>Supplied</x:v>
      </x:c>
    </x:row>
    <x:row r="82" ht="22" customHeight="1">
      <x:c r="A82" s="2" t="n">
        <x:v>12</x:v>
      </x:c>
      <x:c r="B82" s="2" t="str">
        <x:v>Regular</x:v>
      </x:c>
      <x:c r="C82" s="2" t="str">
        <x:v>Josh</x:v>
      </x:c>
      <x:c r="D82" s="2" t="str">
        <x:v>Winnie the Bish</x:v>
      </x:c>
      <x:c r="E82" s="15" t="n">
        <x:v>136</x:v>
      </x:c>
      <x:c r="F82" s="2" t="str">
        <x:v>Ed</x:v>
      </x:c>
      <x:c r="G82" s="2" t="str">
        <x:v>Poff's Pocket Rocket</x:v>
      </x:c>
      <x:c r="H82" s="15" t="n">
        <x:v>125</x:v>
      </x:c>
      <x:c r="I82" s="2" t="str">
        <x:f>IF(E82&gt;H82,C82,IF(E82&lt;H82,F82,"Tie"))</x:f>
        <x:v>Josh</x:v>
      </x:c>
      <x:c r="J82" s="2" t="str">
        <x:f>IF(E82&gt;H82,F82,IF(E82&lt;H82,C82,"Tie"))</x:f>
        <x:v>Ed</x:v>
      </x:c>
      <x:c r="K82" s="2" t="n">
        <x:f>IF(E82=H82,1,0)</x:f>
        <x:v>0</x:v>
      </x:c>
      <x:c r="L82" s="2" t="str">
        <x:v>Ed / Josh</x:v>
      </x:c>
      <x:c r="M82" t="str"/>
      <x:c r="N82" t="str">
        <x:v>Supplied</x:v>
      </x:c>
    </x:row>
    <x:row r="83" ht="22" customHeight="1">
      <x:c r="A83" s="2" t="n">
        <x:v>12</x:v>
      </x:c>
      <x:c r="B83" s="2" t="str">
        <x:v>Regular</x:v>
      </x:c>
      <x:c r="C83" s="2" t="str">
        <x:v>Matt</x:v>
      </x:c>
      <x:c r="D83" s="2" t="str">
        <x:v>Headphanie</x:v>
      </x:c>
      <x:c r="E83" s="15" t="n">
        <x:v>92</x:v>
      </x:c>
      <x:c r="F83" s="2" t="str">
        <x:v>James B.</x:v>
      </x:c>
      <x:c r="G83" s="2" t="str">
        <x:v>The Comeback Is Real</x:v>
      </x:c>
      <x:c r="H83" s="15" t="n">
        <x:v>127</x:v>
      </x:c>
      <x:c r="I83" s="2" t="str">
        <x:f>IF(E83&gt;H83,C83,IF(E83&lt;H83,F83,"Tie"))</x:f>
        <x:v>James B.</x:v>
      </x:c>
      <x:c r="J83" s="2" t="str">
        <x:f>IF(E83&gt;H83,F83,IF(E83&lt;H83,C83,"Tie"))</x:f>
        <x:v>Matt</x:v>
      </x:c>
      <x:c r="K83" s="2" t="n">
        <x:f>IF(E83=H83,1,0)</x:f>
        <x:v>0</x:v>
      </x:c>
      <x:c r="L83" s="2" t="str">
        <x:v>James B. / Matt</x:v>
      </x:c>
      <x:c r="M83" t="str"/>
      <x:c r="N83" t="str">
        <x:v>Supplied</x:v>
      </x:c>
    </x:row>
    <x:row r="84" ht="22" customHeight="1">
      <x:c r="A84" s="2" t="n">
        <x:v>13</x:v>
      </x:c>
      <x:c r="B84" s="2" t="str">
        <x:v>Regular</x:v>
      </x:c>
      <x:c r="C84" s="2" t="str">
        <x:v>Ben</x:v>
      </x:c>
      <x:c r="D84" s="2" t="str">
        <x:v>Ben's Team</x:v>
      </x:c>
      <x:c r="E84" s="15" t="n">
        <x:v>121</x:v>
      </x:c>
      <x:c r="F84" s="2" t="str">
        <x:v>Andrew</x:v>
      </x:c>
      <x:c r="G84" s="2" t="str">
        <x:v>The Goat House</x:v>
      </x:c>
      <x:c r="H84" s="15" t="n">
        <x:v>110</x:v>
      </x:c>
      <x:c r="I84" s="2" t="str">
        <x:f>IF(E84&gt;H84,C84,IF(E84&lt;H84,F84,"Tie"))</x:f>
        <x:v>Ben</x:v>
      </x:c>
      <x:c r="J84" s="2" t="str">
        <x:f>IF(E84&gt;H84,F84,IF(E84&lt;H84,C84,"Tie"))</x:f>
        <x:v>Andrew</x:v>
      </x:c>
      <x:c r="K84" s="2" t="n">
        <x:f>IF(E84=H84,1,0)</x:f>
        <x:v>0</x:v>
      </x:c>
      <x:c r="L84" s="2" t="str">
        <x:v>Andrew / Ben</x:v>
      </x:c>
      <x:c r="M84" t="str"/>
      <x:c r="N84" t="str">
        <x:v>Supplied</x:v>
      </x:c>
    </x:row>
    <x:row r="85" ht="22" customHeight="1">
      <x:c r="A85" s="2" t="n">
        <x:v>13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106</x:v>
      </x:c>
      <x:c r="F85" s="2" t="str">
        <x:v>Mark</x:v>
      </x:c>
      <x:c r="G85" s="2" t="str">
        <x:v>wacky waving arms</x:v>
      </x:c>
      <x:c r="H85" s="15" t="n">
        <x:v>125</x:v>
      </x:c>
      <x:c r="I85" s="2" t="str">
        <x:f>IF(E85&gt;H85,C85,IF(E85&lt;H85,F85,"Tie"))</x:f>
        <x:v>Mark</x:v>
      </x:c>
      <x:c r="J85" s="2" t="str">
        <x:f>IF(E85&gt;H85,F85,IF(E85&lt;H85,C85,"Tie"))</x:f>
        <x:v>Craig</x:v>
      </x:c>
      <x:c r="K85" s="2" t="n">
        <x:f>IF(E85=H85,1,0)</x:f>
        <x:v>0</x:v>
      </x:c>
      <x:c r="L85" s="2" t="str">
        <x:v>Craig / Mark</x:v>
      </x:c>
      <x:c r="M85" t="str"/>
      <x:c r="N85" t="str">
        <x:v>Supplied</x:v>
      </x:c>
    </x:row>
    <x:row r="86" ht="22" customHeight="1">
      <x:c r="A86" s="2" t="n">
        <x:v>13</x:v>
      </x:c>
      <x:c r="B86" s="2" t="str">
        <x:v>Regular</x:v>
      </x:c>
      <x:c r="C86" s="2" t="str">
        <x:v>Ed</x:v>
      </x:c>
      <x:c r="D86" s="2" t="str">
        <x:v>Poff's Pocket Rocket</x:v>
      </x:c>
      <x:c r="E86" s="15" t="n">
        <x:v>109</x:v>
      </x:c>
      <x:c r="F86" s="2" t="str">
        <x:v>Matt</x:v>
      </x:c>
      <x:c r="G86" s="2" t="str">
        <x:v>Headphanie</x:v>
      </x:c>
      <x:c r="H86" s="15" t="n">
        <x:v>101</x:v>
      </x:c>
      <x:c r="I86" s="2" t="str">
        <x:f>IF(E86&gt;H86,C86,IF(E86&lt;H86,F86,"Tie"))</x:f>
        <x:v>Ed</x:v>
      </x:c>
      <x:c r="J86" s="2" t="str">
        <x:f>IF(E86&gt;H86,F86,IF(E86&lt;H86,C86,"Tie"))</x:f>
        <x:v>Matt</x:v>
      </x:c>
      <x:c r="K86" s="2" t="n">
        <x:f>IF(E86=H86,1,0)</x:f>
        <x:v>0</x:v>
      </x:c>
      <x:c r="L86" s="2" t="str">
        <x:v>Ed / Matt</x:v>
      </x:c>
      <x:c r="M86" t="str"/>
      <x:c r="N86" t="str">
        <x:v>Supplied</x:v>
      </x:c>
    </x:row>
    <x:row r="87" ht="22" customHeight="1">
      <x:c r="A87" s="2" t="n">
        <x:v>13</x:v>
      </x:c>
      <x:c r="B87" s="2" t="str">
        <x:v>Regular</x:v>
      </x:c>
      <x:c r="C87" s="2" t="str">
        <x:v>Josh</x:v>
      </x:c>
      <x:c r="D87" s="2" t="str">
        <x:v>Winnie the Bish</x:v>
      </x:c>
      <x:c r="E87" s="15" t="n">
        <x:v>135</x:v>
      </x:c>
      <x:c r="F87" s="2" t="str">
        <x:v>Bruce</x:v>
      </x:c>
      <x:c r="G87" s="2" t="str">
        <x:v>The Storm</x:v>
      </x:c>
      <x:c r="H87" s="15" t="n">
        <x:v>112</x:v>
      </x:c>
      <x:c r="I87" s="2" t="str">
        <x:f>IF(E87&gt;H87,C87,IF(E87&lt;H87,F87,"Tie"))</x:f>
        <x:v>Josh</x:v>
      </x:c>
      <x:c r="J87" s="2" t="str">
        <x:f>IF(E87&gt;H87,F87,IF(E87&lt;H87,C87,"Tie"))</x:f>
        <x:v>Bruce</x:v>
      </x:c>
      <x:c r="K87" s="2" t="n">
        <x:f>IF(E87=H87,1,0)</x:f>
        <x:v>0</x:v>
      </x:c>
      <x:c r="L87" s="2" t="str">
        <x:v>Bruce / Josh</x:v>
      </x:c>
      <x:c r="M87" t="str"/>
      <x:c r="N87" t="str">
        <x:v>Supplied</x:v>
      </x:c>
    </x:row>
    <x:row r="88" ht="22" customHeight="1">
      <x:c r="A88" s="2" t="n">
        <x:v>13</x:v>
      </x:c>
      <x:c r="B88" s="2" t="str">
        <x:v>Regular</x:v>
      </x:c>
      <x:c r="C88" s="2" t="str">
        <x:v>Taylor</x:v>
      </x:c>
      <x:c r="D88" s="2" t="str">
        <x:v>whos 10 was it</x:v>
      </x:c>
      <x:c r="E88" s="15" t="n">
        <x:v>78</x:v>
      </x:c>
      <x:c r="F88" s="2" t="str">
        <x:v>James B.</x:v>
      </x:c>
      <x:c r="G88" s="2" t="str">
        <x:v>The Comeback Is Real</x:v>
      </x:c>
      <x:c r="H88" s="15" t="n">
        <x:v>175</x:v>
      </x:c>
      <x:c r="I88" s="2" t="str">
        <x:f>IF(E88&gt;H88,C88,IF(E88&lt;H88,F88,"Tie"))</x:f>
        <x:v>James B.</x:v>
      </x:c>
      <x:c r="J88" s="2" t="str">
        <x:f>IF(E88&gt;H88,F88,IF(E88&lt;H88,C88,"Tie"))</x:f>
        <x:v>Taylor</x:v>
      </x:c>
      <x:c r="K88" s="2" t="n">
        <x:f>IF(E88=H88,1,0)</x:f>
        <x:v>0</x:v>
      </x:c>
      <x:c r="L88" s="2" t="str">
        <x:v>James B. / Taylor</x:v>
      </x:c>
      <x:c r="M88" t="str"/>
      <x:c r="N88" t="str">
        <x:v>Supplied</x:v>
      </x:c>
    </x:row>
    <x:row r="89" ht="22" customHeight="1">
      <x:c r="A89" s="2" t="n">
        <x:v>14</x:v>
      </x:c>
      <x:c r="B89" s="2" t="str">
        <x:v>Regular</x:v>
      </x:c>
      <x:c r="C89" s="2" t="str">
        <x:v>Andrew</x:v>
      </x:c>
      <x:c r="D89" s="2" t="str">
        <x:v>The Goat House</x:v>
      </x:c>
      <x:c r="E89" s="15" t="n">
        <x:v>114</x:v>
      </x:c>
      <x:c r="F89" s="2" t="str">
        <x:v>Bruce</x:v>
      </x:c>
      <x:c r="G89" s="2" t="str">
        <x:v>The Storm</x:v>
      </x:c>
      <x:c r="H89" s="15" t="n">
        <x:v>102</x:v>
      </x:c>
      <x:c r="I89" s="2" t="str">
        <x:f>IF(E89&gt;H89,C89,IF(E89&lt;H89,F89,"Tie"))</x:f>
        <x:v>Andrew</x:v>
      </x:c>
      <x:c r="J89" s="2" t="str">
        <x:f>IF(E89&gt;H89,F89,IF(E89&lt;H89,C89,"Tie"))</x:f>
        <x:v>Bruce</x:v>
      </x:c>
      <x:c r="K89" s="2" t="n">
        <x:f>IF(E89=H89,1,0)</x:f>
        <x:v>0</x:v>
      </x:c>
      <x:c r="L89" s="2" t="str">
        <x:v>Andrew / Bruce</x:v>
      </x:c>
      <x:c r="M89" t="str"/>
      <x:c r="N89" t="str">
        <x:v>Supplied</x:v>
      </x:c>
    </x:row>
    <x:row r="90" ht="22" customHeight="1">
      <x:c r="A90" s="2" t="n">
        <x:v>14</x:v>
      </x:c>
      <x:c r="B90" s="2" t="str">
        <x:v>Regular</x:v>
      </x:c>
      <x:c r="C90" s="2" t="str">
        <x:v>Ben</x:v>
      </x:c>
      <x:c r="D90" s="2" t="str">
        <x:v>Ben's Team</x:v>
      </x:c>
      <x:c r="E90" s="15" t="n">
        <x:v>93</x:v>
      </x:c>
      <x:c r="F90" s="2" t="str">
        <x:v>Ed</x:v>
      </x:c>
      <x:c r="G90" s="2" t="str">
        <x:v>Poff's Pocket Rocket</x:v>
      </x:c>
      <x:c r="H90" s="15" t="n">
        <x:v>115</x:v>
      </x:c>
      <x:c r="I90" s="2" t="str">
        <x:f>IF(E90&gt;H90,C90,IF(E90&lt;H90,F90,"Tie"))</x:f>
        <x:v>Ed</x:v>
      </x:c>
      <x:c r="J90" s="2" t="str">
        <x:f>IF(E90&gt;H90,F90,IF(E90&lt;H90,C90,"Tie"))</x:f>
        <x:v>Ben</x:v>
      </x:c>
      <x:c r="K90" s="2" t="n">
        <x:f>IF(E90=H90,1,0)</x:f>
        <x:v>0</x:v>
      </x:c>
      <x:c r="L90" s="2" t="str">
        <x:v>Ben / Ed</x:v>
      </x:c>
      <x:c r="M90" t="str"/>
      <x:c r="N90" t="str">
        <x:v>Supplied</x:v>
      </x:c>
    </x:row>
    <x:row r="91" ht="22" customHeight="1">
      <x:c r="A91" s="2" t="n">
        <x:v>14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82</x:v>
      </x:c>
      <x:c r="F91" s="2" t="str">
        <x:v>James B.</x:v>
      </x:c>
      <x:c r="G91" s="2" t="str">
        <x:v>The Comeback Is Real</x:v>
      </x:c>
      <x:c r="H91" s="15" t="n">
        <x:v>89</x:v>
      </x:c>
      <x:c r="I91" s="2" t="str">
        <x:f>IF(E91&gt;H91,C91,IF(E91&lt;H91,F91,"Tie"))</x:f>
        <x:v>James B.</x:v>
      </x:c>
      <x:c r="J91" s="2" t="str">
        <x:f>IF(E91&gt;H91,F91,IF(E91&lt;H91,C91,"Tie"))</x:f>
        <x:v>Craig</x:v>
      </x:c>
      <x:c r="K91" s="2" t="n">
        <x:f>IF(E91=H91,1,0)</x:f>
        <x:v>0</x:v>
      </x:c>
      <x:c r="L91" s="2" t="str">
        <x:v>Craig / James B.</x:v>
      </x:c>
      <x:c r="M91" t="str"/>
      <x:c r="N91" t="str">
        <x:v>Supplied</x:v>
      </x:c>
    </x:row>
    <x:row r="92" ht="22" customHeight="1">
      <x:c r="A92" s="2" t="n">
        <x:v>14</x:v>
      </x:c>
      <x:c r="B92" s="2" t="str">
        <x:v>Regular</x:v>
      </x:c>
      <x:c r="C92" s="2" t="str">
        <x:v>Josh</x:v>
      </x:c>
      <x:c r="D92" s="2" t="str">
        <x:v>Winnie the Bish</x:v>
      </x:c>
      <x:c r="E92" s="15" t="n">
        <x:v>124</x:v>
      </x:c>
      <x:c r="F92" s="2" t="str">
        <x:v>Mark</x:v>
      </x:c>
      <x:c r="G92" s="2" t="str">
        <x:v>wacky waving arms</x:v>
      </x:c>
      <x:c r="H92" s="15" t="n">
        <x:v>65</x:v>
      </x:c>
      <x:c r="I92" s="2" t="str">
        <x:f>IF(E92&gt;H92,C92,IF(E92&lt;H92,F92,"Tie"))</x:f>
        <x:v>Josh</x:v>
      </x:c>
      <x:c r="J92" s="2" t="str">
        <x:f>IF(E92&gt;H92,F92,IF(E92&lt;H92,C92,"Tie"))</x:f>
        <x:v>Mark</x:v>
      </x:c>
      <x:c r="K92" s="2" t="n">
        <x:f>IF(E92=H92,1,0)</x:f>
        <x:v>0</x:v>
      </x:c>
      <x:c r="L92" s="2" t="str">
        <x:v>Josh / Mark</x:v>
      </x:c>
      <x:c r="M92" t="str"/>
      <x:c r="N92" t="str">
        <x:v>Supplied</x:v>
      </x:c>
    </x:row>
    <x:row r="93" ht="22" customHeight="1">
      <x:c r="A93" s="2" t="n">
        <x:v>14</x:v>
      </x:c>
      <x:c r="B93" s="2" t="str">
        <x:v>Regular</x:v>
      </x:c>
      <x:c r="C93" s="2" t="str">
        <x:v>Taylor</x:v>
      </x:c>
      <x:c r="D93" s="2" t="str">
        <x:v>whos 10 was it</x:v>
      </x:c>
      <x:c r="E93" s="15" t="n">
        <x:v>73</x:v>
      </x:c>
      <x:c r="F93" s="2" t="str">
        <x:v>Matt</x:v>
      </x:c>
      <x:c r="G93" s="2" t="str">
        <x:v>Headphanie</x:v>
      </x:c>
      <x:c r="H93" s="15" t="n">
        <x:v>121</x:v>
      </x:c>
      <x:c r="I93" s="2" t="str">
        <x:f>IF(E93&gt;H93,C93,IF(E93&lt;H93,F93,"Tie"))</x:f>
        <x:v>Matt</x:v>
      </x:c>
      <x:c r="J93" s="2" t="str">
        <x:f>IF(E93&gt;H93,F93,IF(E93&lt;H93,C93,"Tie"))</x:f>
        <x:v>Taylor</x:v>
      </x:c>
      <x:c r="K93" s="2" t="n">
        <x:f>IF(E93=H93,1,0)</x:f>
        <x:v>0</x:v>
      </x:c>
      <x:c r="L93" s="2" t="str">
        <x:v>Matt / Taylor</x:v>
      </x:c>
      <x:c r="M93" t="str"/>
      <x:c r="N93" t="str">
        <x:v>Supplied</x:v>
      </x:c>
    </x:row>
    <x:row r="94" ht="22" customHeight="1">
      <x:c r="A94" s="2" t="n">
        <x:v>15</x:v>
      </x:c>
      <x:c r="B94" s="2" t="str">
        <x:v>Playoffs</x:v>
      </x:c>
      <x:c r="C94" s="2" t="str">
        <x:v>Ed</x:v>
      </x:c>
      <x:c r="D94" s="2" t="str">
        <x:v>Poff's Pocket Rocket</x:v>
      </x:c>
      <x:c r="E94" s="15" t="n">
        <x:v>140</x:v>
      </x:c>
      <x:c r="F94" s="2" t="str">
        <x:v>James B.</x:v>
      </x:c>
      <x:c r="G94" s="2" t="str">
        <x:v>The Comeback Is Real</x:v>
      </x:c>
      <x:c r="H94" s="15" t="n">
        <x:v>150</x:v>
      </x:c>
      <x:c r="I94" s="2" t="str">
        <x:f>IF(E94&gt;H94,C94,IF(E94&lt;H94,F94,"Tie"))</x:f>
        <x:v>James B.</x:v>
      </x:c>
      <x:c r="J94" s="2" t="str">
        <x:f>IF(E94&gt;H94,F94,IF(E94&lt;H94,C94,"Tie"))</x:f>
        <x:v>Ed</x:v>
      </x:c>
      <x:c r="K94" s="2" t="n">
        <x:f>IF(E94=H94,1,0)</x:f>
        <x:v>0</x:v>
      </x:c>
      <x:c r="L94" s="2" t="str">
        <x:v>Ed / James B.</x:v>
      </x:c>
      <x:c r="M94" t="str">
        <x:v>Semifinal</x:v>
      </x:c>
      <x:c r="N94" t="str">
        <x:v>Supplied</x:v>
      </x:c>
    </x:row>
    <x:row r="95" ht="22" customHeight="1">
      <x:c r="A95" s="2" t="n">
        <x:v>15</x:v>
      </x:c>
      <x:c r="B95" s="2" t="str">
        <x:v>Playoffs</x:v>
      </x:c>
      <x:c r="C95" s="2" t="str">
        <x:v>Josh</x:v>
      </x:c>
      <x:c r="D95" s="2" t="str">
        <x:v>Winnie the Bish</x:v>
      </x:c>
      <x:c r="E95" s="15" t="n">
        <x:v>86</x:v>
      </x:c>
      <x:c r="F95" s="2" t="str">
        <x:v>Matt</x:v>
      </x:c>
      <x:c r="G95" s="2" t="str">
        <x:v>Headphanie</x:v>
      </x:c>
      <x:c r="H95" s="15" t="n">
        <x:v>122</x:v>
      </x:c>
      <x:c r="I95" s="2" t="str">
        <x:f>IF(E95&gt;H95,C95,IF(E95&lt;H95,F95,"Tie"))</x:f>
        <x:v>Matt</x:v>
      </x:c>
      <x:c r="J95" s="2" t="str">
        <x:f>IF(E95&gt;H95,F95,IF(E95&lt;H95,C95,"Tie"))</x:f>
        <x:v>Josh</x:v>
      </x:c>
      <x:c r="K95" s="2" t="n">
        <x:f>IF(E95=H95,1,0)</x:f>
        <x:v>0</x:v>
      </x:c>
      <x:c r="L95" s="2" t="str">
        <x:v>Josh / Matt</x:v>
      </x:c>
      <x:c r="M95" t="str">
        <x:v>Semifinal</x:v>
      </x:c>
      <x:c r="N95" t="str">
        <x:v>Supplied</x:v>
      </x:c>
    </x:row>
    <x:row r="96" ht="22" customHeight="1">
      <x:c r="A96" s="2" t="n">
        <x:v>16</x:v>
      </x:c>
      <x:c r="B96" s="2" t="str">
        <x:v>Playoffs</x:v>
      </x:c>
      <x:c r="C96" s="2" t="str">
        <x:v>Matt</x:v>
      </x:c>
      <x:c r="D96" s="2" t="str">
        <x:v>Headphanie</x:v>
      </x:c>
      <x:c r="E96" s="15" t="n">
        <x:v>120</x:v>
      </x:c>
      <x:c r="F96" s="2" t="str">
        <x:v>James B.</x:v>
      </x:c>
      <x:c r="G96" s="2" t="str">
        <x:v>The Comeback Is Real</x:v>
      </x:c>
      <x:c r="H96" s="15" t="n">
        <x:v>136</x:v>
      </x:c>
      <x:c r="I96" s="2" t="str">
        <x:f>IF(E96&gt;H96,C96,IF(E96&lt;H96,F96,"Tie"))</x:f>
        <x:v>James B.</x:v>
      </x:c>
      <x:c r="J96" s="2" t="str">
        <x:f>IF(E96&gt;H96,F96,IF(E96&lt;H96,C96,"Tie"))</x:f>
        <x:v>Matt</x:v>
      </x:c>
      <x:c r="K96" s="2" t="n">
        <x:f>IF(E96=H96,1,0)</x:f>
        <x:v>0</x:v>
      </x:c>
      <x:c r="L96" s="2" t="str">
        <x:v>James B. / Matt</x:v>
      </x:c>
      <x:c r="M96" t="str">
        <x:v>Final</x:v>
      </x:c>
      <x:c r="N96" t="str">
        <x:v>Supplied</x:v>
      </x:c>
    </x:row>
  </x:sheetData>
  <x:pageMargins left="0.7" right="0.7" top="0.75" bottom="0.75" header="0.3" footer="0.3"/>
  <x:tableParts count="1">
    <x:tablePart xmlns:r="http://schemas.openxmlformats.org/officeDocument/2006/relationships" r:id="R4befe1a0cc8f4ff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2017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Andrew</x:v>
      </x:c>
      <x:c r="C4" s="2"/>
      <x:c r="D4" s="2" t="str">
        <x:v>Runner-up</x:v>
      </x:c>
      <x:c r="E4" s="2" t="str">
        <x:v>Taylor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6" t="str">
        <x:v>Manager</x:v>
      </x:c>
      <x:c r="B6" s="6" t="str">
        <x:v>Team</x:v>
      </x:c>
      <x:c r="C6" s="6" t="str">
        <x:v>W</x:v>
      </x:c>
      <x:c r="D6" s="6" t="str">
        <x:v>L</x:v>
      </x:c>
      <x:c r="E6" s="6" t="str">
        <x:v>T</x:v>
      </x:c>
      <x:c r="F6" s="6" t="str">
        <x:v>Games</x:v>
      </x:c>
      <x:c r="G6" s="6" t="str">
        <x:v>Win %</x:v>
      </x:c>
      <x:c r="H6" s="6" t="str">
        <x:v>PF</x:v>
      </x:c>
      <x:c r="I6" s="6" t="str">
        <x:v>PA</x:v>
      </x:c>
      <x:c r="J6" s="6" t="str">
        <x:v>Moves</x:v>
      </x:c>
      <x:c r="K6" s="6" t="str">
        <x:v>Trades</x:v>
      </x:c>
      <x:c r="L6" s="6" t="str">
        <x:v>Waiver</x:v>
      </x:c>
    </x:row>
    <x:row r="7" ht="22" customHeight="1">
      <x:c r="A7" s="2" t="str">
        <x:v>Andrew</x:v>
      </x:c>
      <x:c r="B7" s="2" t="str">
        <x:v>Hilton Head SC</x:v>
      </x:c>
      <x:c r="C7" s="2" t="n">
        <x:f>COUNTIFS('2017'!$I$24:$I$106,A7,'2017'!$B$24:$B$106,"&lt;&gt;Playoffs")</x:f>
        <x:v>10</x:v>
      </x:c>
      <x:c r="D7" s="2" t="n">
        <x:f>COUNTIFS('2017'!$J$24:$J$106,A7,'2017'!$B$24:$B$106,"&lt;&gt;Playoffs")</x:f>
        <x:v>3</x:v>
      </x:c>
      <x:c r="E7" s="2" t="n">
        <x:f>COUNTIFS('2017'!$C$24:$C$106,A7,'2017'!$K$24:$K$106,1,'2017'!$B$24:$B$106,"&lt;&gt;Playoffs")+COUNTIFS('2017'!$F$24:$F$106,A7,'2017'!$K$24:$K$106,1,'2017'!$B$24:$B$106,"&lt;&gt;Playoffs")</x:f>
        <x:v>0</x:v>
      </x:c>
      <x:c r="F7" s="2" t="n">
        <x:f>SUM(C7:E7)</x:f>
        <x:v>13</x:v>
      </x:c>
      <x:c r="G7" s="11" t="n">
        <x:f>IF(F7=0,0,(C7+0.5*E7)/F7)</x:f>
        <x:v>0.7692307692307693</x:v>
      </x:c>
      <x:c r="H7" s="13" t="n">
        <x:f>SUMIFS('2017'!$E$24:$E$106,'2017'!$C$24:$C$106,A7,'2017'!$B$24:$B$106,"&lt;&gt;Playoffs")+SUMIFS('2017'!$H$24:$H$106,'2017'!$F$24:$F$106,A7,'2017'!$B$24:$B$106,"&lt;&gt;Playoffs")</x:f>
        <x:v>1585</x:v>
      </x:c>
      <x:c r="I7" s="13" t="n">
        <x:f>SUMIFS('2017'!$H$24:$H$106,'2017'!$C$24:$C$106,A7,'2017'!$B$24:$B$106,"&lt;&gt;Playoffs")+SUMIFS('2017'!$E$24:$E$106,'2017'!$F$24:$F$106,A7,'2017'!$B$24:$B$106,"&lt;&gt;Playoffs")</x:f>
        <x:v>1327</x:v>
      </x:c>
      <x:c r="J7" s="2" t="n">
        <x:v>14</x:v>
      </x:c>
      <x:c r="K7" s="2" t="n">
        <x:v>1</x:v>
      </x:c>
      <x:c r="L7" s="2" t="n">
        <x:v>12</x:v>
      </x:c>
    </x:row>
    <x:row r="8" ht="22" customHeight="1">
      <x:c r="A8" s="10" t="str">
        <x:v>Bruce</x:v>
      </x:c>
      <x:c r="B8" s="10" t="str">
        <x:v>The Storm</x:v>
      </x:c>
      <x:c r="C8" s="10" t="n">
        <x:f>COUNTIFS('2017'!$I$24:$I$106,A8,'2017'!$B$24:$B$106,"&lt;&gt;Playoffs")</x:f>
        <x:v>4</x:v>
      </x:c>
      <x:c r="D8" s="10" t="n">
        <x:f>COUNTIFS('2017'!$J$24:$J$106,A8,'2017'!$B$24:$B$106,"&lt;&gt;Playoffs")</x:f>
        <x:v>9</x:v>
      </x:c>
      <x:c r="E8" s="10" t="n">
        <x:f>COUNTIFS('2017'!$C$24:$C$106,A8,'2017'!$K$24:$K$106,1,'2017'!$B$24:$B$106,"&lt;&gt;Playoffs")+COUNTIFS('2017'!$F$24:$F$106,A8,'2017'!$K$24:$K$106,1,'2017'!$B$24:$B$106,"&lt;&gt;Playoffs")</x:f>
        <x:v>0</x:v>
      </x:c>
      <x:c r="F8" s="10" t="n">
        <x:f>SUM(C8:E8)</x:f>
        <x:v>13</x:v>
      </x:c>
      <x:c r="G8" s="12" t="n">
        <x:f>IF(F8=0,0,(C8+0.5*E8)/F8)</x:f>
        <x:v>0.3076923076923077</x:v>
      </x:c>
      <x:c r="H8" s="14" t="n">
        <x:f>SUMIFS('2017'!$E$24:$E$106,'2017'!$C$24:$C$106,A8,'2017'!$B$24:$B$106,"&lt;&gt;Playoffs")+SUMIFS('2017'!$H$24:$H$106,'2017'!$F$24:$F$106,A8,'2017'!$B$24:$B$106,"&lt;&gt;Playoffs")</x:f>
        <x:v>1186</x:v>
      </x:c>
      <x:c r="I8" s="14" t="n">
        <x:f>SUMIFS('2017'!$H$24:$H$106,'2017'!$C$24:$C$106,A8,'2017'!$B$24:$B$106,"&lt;&gt;Playoffs")+SUMIFS('2017'!$E$24:$E$106,'2017'!$F$24:$F$106,A8,'2017'!$B$24:$B$106,"&lt;&gt;Playoffs")</x:f>
        <x:v>1602</x:v>
      </x:c>
      <x:c r="J8" s="10" t="n">
        <x:v>7</x:v>
      </x:c>
      <x:c r="K8" s="10" t="n">
        <x:v>1</x:v>
      </x:c>
      <x:c r="L8" s="10" t="n">
        <x:v>2</x:v>
      </x:c>
    </x:row>
    <x:row r="9" ht="22" customHeight="1">
      <x:c r="A9" s="2" t="str">
        <x:v>Chas</x:v>
      </x:c>
      <x:c r="B9" s="2" t="str">
        <x:v>Team chas</x:v>
      </x:c>
      <x:c r="C9" s="2" t="n">
        <x:f>COUNTIFS('2017'!$I$24:$I$106,A9,'2017'!$B$24:$B$106,"&lt;&gt;Playoffs")</x:f>
        <x:v>2</x:v>
      </x:c>
      <x:c r="D9" s="2" t="n">
        <x:f>COUNTIFS('2017'!$J$24:$J$106,A9,'2017'!$B$24:$B$106,"&lt;&gt;Playoffs")</x:f>
        <x:v>11</x:v>
      </x:c>
      <x:c r="E9" s="2" t="n">
        <x:f>COUNTIFS('2017'!$C$24:$C$106,A9,'2017'!$K$24:$K$106,1,'2017'!$B$24:$B$106,"&lt;&gt;Playoffs")+COUNTIFS('2017'!$F$24:$F$106,A9,'2017'!$K$24:$K$106,1,'2017'!$B$24:$B$106,"&lt;&gt;Playoffs")</x:f>
        <x:v>0</x:v>
      </x:c>
      <x:c r="F9" s="2" t="n">
        <x:f>SUM(C9:E9)</x:f>
        <x:v>13</x:v>
      </x:c>
      <x:c r="G9" s="11" t="n">
        <x:f>IF(F9=0,0,(C9+0.5*E9)/F9)</x:f>
        <x:v>0.15384615384615385</x:v>
      </x:c>
      <x:c r="H9" s="13" t="n">
        <x:f>SUMIFS('2017'!$E$24:$E$106,'2017'!$C$24:$C$106,A9,'2017'!$B$24:$B$106,"&lt;&gt;Playoffs")+SUMIFS('2017'!$H$24:$H$106,'2017'!$F$24:$F$106,A9,'2017'!$B$24:$B$106,"&lt;&gt;Playoffs")</x:f>
        <x:v>1119</x:v>
      </x:c>
      <x:c r="I9" s="13" t="n">
        <x:f>SUMIFS('2017'!$H$24:$H$106,'2017'!$C$24:$C$106,A9,'2017'!$B$24:$B$106,"&lt;&gt;Playoffs")+SUMIFS('2017'!$E$24:$E$106,'2017'!$F$24:$F$106,A9,'2017'!$B$24:$B$106,"&lt;&gt;Playoffs")</x:f>
        <x:v>1382</x:v>
      </x:c>
      <x:c r="J9" s="2" t="n">
        <x:v>13</x:v>
      </x:c>
      <x:c r="K9" s="2" t="n">
        <x:v>0</x:v>
      </x:c>
      <x:c r="L9" s="2" t="n">
        <x:v>1</x:v>
      </x:c>
    </x:row>
    <x:row r="10" ht="22" customHeight="1">
      <x:c r="A10" s="10" t="str">
        <x:v>Craig</x:v>
      </x:c>
      <x:c r="B10" s="10" t="str">
        <x:v>The Ants Marching</x:v>
      </x:c>
      <x:c r="C10" s="10" t="n">
        <x:f>COUNTIFS('2017'!$I$24:$I$106,A10,'2017'!$B$24:$B$106,"&lt;&gt;Playoffs")</x:f>
        <x:v>6</x:v>
      </x:c>
      <x:c r="D10" s="10" t="n">
        <x:f>COUNTIFS('2017'!$J$24:$J$106,A10,'2017'!$B$24:$B$106,"&lt;&gt;Playoffs")</x:f>
        <x:v>7</x:v>
      </x:c>
      <x:c r="E10" s="10" t="n">
        <x:f>COUNTIFS('2017'!$C$24:$C$106,A10,'2017'!$K$24:$K$106,1,'2017'!$B$24:$B$106,"&lt;&gt;Playoffs")+COUNTIFS('2017'!$F$24:$F$106,A10,'2017'!$K$24:$K$106,1,'2017'!$B$24:$B$106,"&lt;&gt;Playoffs")</x:f>
        <x:v>0</x:v>
      </x:c>
      <x:c r="F10" s="10" t="n">
        <x:f>SUM(C10:E10)</x:f>
        <x:v>13</x:v>
      </x:c>
      <x:c r="G10" s="12" t="n">
        <x:f>IF(F10=0,0,(C10+0.5*E10)/F10)</x:f>
        <x:v>0.46153846153846156</x:v>
      </x:c>
      <x:c r="H10" s="14" t="n">
        <x:f>SUMIFS('2017'!$E$24:$E$106,'2017'!$C$24:$C$106,A10,'2017'!$B$24:$B$106,"&lt;&gt;Playoffs")+SUMIFS('2017'!$H$24:$H$106,'2017'!$F$24:$F$106,A10,'2017'!$B$24:$B$106,"&lt;&gt;Playoffs")</x:f>
        <x:v>1482</x:v>
      </x:c>
      <x:c r="I10" s="14" t="n">
        <x:f>SUMIFS('2017'!$H$24:$H$106,'2017'!$C$24:$C$106,A10,'2017'!$B$24:$B$106,"&lt;&gt;Playoffs")+SUMIFS('2017'!$E$24:$E$106,'2017'!$F$24:$F$106,A10,'2017'!$B$24:$B$106,"&lt;&gt;Playoffs")</x:f>
        <x:v>1458</x:v>
      </x:c>
      <x:c r="J10" s="10" t="n">
        <x:v>12</x:v>
      </x:c>
      <x:c r="K10" s="10" t="n">
        <x:v>3</x:v>
      </x:c>
      <x:c r="L10" s="10" t="n">
        <x:v>7</x:v>
      </x:c>
    </x:row>
    <x:row r="11" ht="22" customHeight="1">
      <x:c r="A11" s="2" t="str">
        <x:v>Ed</x:v>
      </x:c>
      <x:c r="B11" s="2" t="str">
        <x:v>Club Eroticas Finest</x:v>
      </x:c>
      <x:c r="C11" s="2" t="n">
        <x:f>COUNTIFS('2017'!$I$24:$I$106,A11,'2017'!$B$24:$B$106,"&lt;&gt;Playoffs")</x:f>
        <x:v>4</x:v>
      </x:c>
      <x:c r="D11" s="2" t="n">
        <x:f>COUNTIFS('2017'!$J$24:$J$106,A11,'2017'!$B$24:$B$106,"&lt;&gt;Playoffs")</x:f>
        <x:v>8</x:v>
      </x:c>
      <x:c r="E11" s="2" t="n">
        <x:f>COUNTIFS('2017'!$C$24:$C$106,A11,'2017'!$K$24:$K$106,1,'2017'!$B$24:$B$106,"&lt;&gt;Playoffs")+COUNTIFS('2017'!$F$24:$F$106,A11,'2017'!$K$24:$K$106,1,'2017'!$B$24:$B$106,"&lt;&gt;Playoffs")</x:f>
        <x:v>1</x:v>
      </x:c>
      <x:c r="F11" s="2" t="n">
        <x:f>SUM(C11:E11)</x:f>
        <x:v>13</x:v>
      </x:c>
      <x:c r="G11" s="11" t="n">
        <x:f>IF(F11=0,0,(C11+0.5*E11)/F11)</x:f>
        <x:v>0.34615384615384615</x:v>
      </x:c>
      <x:c r="H11" s="13" t="n">
        <x:f>SUMIFS('2017'!$E$24:$E$106,'2017'!$C$24:$C$106,A11,'2017'!$B$24:$B$106,"&lt;&gt;Playoffs")+SUMIFS('2017'!$H$24:$H$106,'2017'!$F$24:$F$106,A11,'2017'!$B$24:$B$106,"&lt;&gt;Playoffs")</x:f>
        <x:v>1224</x:v>
      </x:c>
      <x:c r="I11" s="13" t="n">
        <x:f>SUMIFS('2017'!$H$24:$H$106,'2017'!$C$24:$C$106,A11,'2017'!$B$24:$B$106,"&lt;&gt;Playoffs")+SUMIFS('2017'!$E$24:$E$106,'2017'!$F$24:$F$106,A11,'2017'!$B$24:$B$106,"&lt;&gt;Playoffs")</x:f>
        <x:v>1314</x:v>
      </x:c>
      <x:c r="J11" s="2" t="n">
        <x:v>11</x:v>
      </x:c>
      <x:c r="K11" s="2" t="n">
        <x:v>1</x:v>
      </x:c>
      <x:c r="L11" s="2" t="n">
        <x:v>3</x:v>
      </x:c>
    </x:row>
    <x:row r="12" ht="22" customHeight="1">
      <x:c r="A12" s="10" t="str">
        <x:v>James B.</x:v>
      </x:c>
      <x:c r="B12" s="10" t="str">
        <x:v>The Entourage</x:v>
      </x:c>
      <x:c r="C12" s="10" t="n">
        <x:f>COUNTIFS('2017'!$I$24:$I$106,A12,'2017'!$B$24:$B$106,"&lt;&gt;Playoffs")</x:f>
        <x:v>7</x:v>
      </x:c>
      <x:c r="D12" s="10" t="n">
        <x:f>COUNTIFS('2017'!$J$24:$J$106,A12,'2017'!$B$24:$B$106,"&lt;&gt;Playoffs")</x:f>
        <x:v>6</x:v>
      </x:c>
      <x:c r="E12" s="10" t="n">
        <x:f>COUNTIFS('2017'!$C$24:$C$106,A12,'2017'!$K$24:$K$106,1,'2017'!$B$24:$B$106,"&lt;&gt;Playoffs")+COUNTIFS('2017'!$F$24:$F$106,A12,'2017'!$K$24:$K$106,1,'2017'!$B$24:$B$106,"&lt;&gt;Playoffs")</x:f>
        <x:v>0</x:v>
      </x:c>
      <x:c r="F12" s="10" t="n">
        <x:f>SUM(C12:E12)</x:f>
        <x:v>13</x:v>
      </x:c>
      <x:c r="G12" s="12" t="n">
        <x:f>IF(F12=0,0,(C12+0.5*E12)/F12)</x:f>
        <x:v>0.5384615384615384</x:v>
      </x:c>
      <x:c r="H12" s="14" t="n">
        <x:f>SUMIFS('2017'!$E$24:$E$106,'2017'!$C$24:$C$106,A12,'2017'!$B$24:$B$106,"&lt;&gt;Playoffs")+SUMIFS('2017'!$H$24:$H$106,'2017'!$F$24:$F$106,A12,'2017'!$B$24:$B$106,"&lt;&gt;Playoffs")</x:f>
        <x:v>1556</x:v>
      </x:c>
      <x:c r="I12" s="14" t="n">
        <x:f>SUMIFS('2017'!$H$24:$H$106,'2017'!$C$24:$C$106,A12,'2017'!$B$24:$B$106,"&lt;&gt;Playoffs")+SUMIFS('2017'!$E$24:$E$106,'2017'!$F$24:$F$106,A12,'2017'!$B$24:$B$106,"&lt;&gt;Playoffs")</x:f>
        <x:v>1409</x:v>
      </x:c>
      <x:c r="J12" s="10" t="n">
        <x:v>24</x:v>
      </x:c>
      <x:c r="K12" s="10" t="n">
        <x:v>1</x:v>
      </x:c>
      <x:c r="L12" s="10" t="n">
        <x:v>8</x:v>
      </x:c>
    </x:row>
    <x:row r="13" ht="22" customHeight="1">
      <x:c r="A13" s="2" t="str">
        <x:v>Josh</x:v>
      </x:c>
      <x:c r="B13" s="2" t="str">
        <x:v>The Markgregors</x:v>
      </x:c>
      <x:c r="C13" s="2" t="n">
        <x:f>COUNTIFS('2017'!$I$24:$I$106,A13,'2017'!$B$24:$B$106,"&lt;&gt;Playoffs")</x:f>
        <x:v>9</x:v>
      </x:c>
      <x:c r="D13" s="2" t="n">
        <x:f>COUNTIFS('2017'!$J$24:$J$106,A13,'2017'!$B$24:$B$106,"&lt;&gt;Playoffs")</x:f>
        <x:v>3</x:v>
      </x:c>
      <x:c r="E13" s="2" t="n">
        <x:f>COUNTIFS('2017'!$C$24:$C$106,A13,'2017'!$K$24:$K$106,1,'2017'!$B$24:$B$106,"&lt;&gt;Playoffs")+COUNTIFS('2017'!$F$24:$F$106,A13,'2017'!$K$24:$K$106,1,'2017'!$B$24:$B$106,"&lt;&gt;Playoffs")</x:f>
        <x:v>1</x:v>
      </x:c>
      <x:c r="F13" s="2" t="n">
        <x:f>SUM(C13:E13)</x:f>
        <x:v>13</x:v>
      </x:c>
      <x:c r="G13" s="11" t="n">
        <x:f>IF(F13=0,0,(C13+0.5*E13)/F13)</x:f>
        <x:v>0.7307692307692307</x:v>
      </x:c>
      <x:c r="H13" s="13" t="n">
        <x:f>SUMIFS('2017'!$E$24:$E$106,'2017'!$C$24:$C$106,A13,'2017'!$B$24:$B$106,"&lt;&gt;Playoffs")+SUMIFS('2017'!$H$24:$H$106,'2017'!$F$24:$F$106,A13,'2017'!$B$24:$B$106,"&lt;&gt;Playoffs")</x:f>
        <x:v>1452</x:v>
      </x:c>
      <x:c r="I13" s="13" t="n">
        <x:f>SUMIFS('2017'!$H$24:$H$106,'2017'!$C$24:$C$106,A13,'2017'!$B$24:$B$106,"&lt;&gt;Playoffs")+SUMIFS('2017'!$E$24:$E$106,'2017'!$F$24:$F$106,A13,'2017'!$B$24:$B$106,"&lt;&gt;Playoffs")</x:f>
        <x:v>1286</x:v>
      </x:c>
      <x:c r="J13" s="2" t="n">
        <x:v>14</x:v>
      </x:c>
      <x:c r="K13" s="2" t="n">
        <x:v>2</x:v>
      </x:c>
      <x:c r="L13" s="2" t="n">
        <x:v>9</x:v>
      </x:c>
    </x:row>
    <x:row r="14" ht="22" customHeight="1">
      <x:c r="A14" s="10" t="str">
        <x:v>Mark</x:v>
      </x:c>
      <x:c r="B14" s="10" t="str">
        <x:v>wacky waving arms</x:v>
      </x:c>
      <x:c r="C14" s="10" t="n">
        <x:f>COUNTIFS('2017'!$I$24:$I$106,A14,'2017'!$B$24:$B$106,"&lt;&gt;Playoffs")</x:f>
        <x:v>7</x:v>
      </x:c>
      <x:c r="D14" s="10" t="n">
        <x:f>COUNTIFS('2017'!$J$24:$J$106,A14,'2017'!$B$24:$B$106,"&lt;&gt;Playoffs")</x:f>
        <x:v>6</x:v>
      </x:c>
      <x:c r="E14" s="10" t="n">
        <x:f>COUNTIFS('2017'!$C$24:$C$106,A14,'2017'!$K$24:$K$106,1,'2017'!$B$24:$B$106,"&lt;&gt;Playoffs")+COUNTIFS('2017'!$F$24:$F$106,A14,'2017'!$K$24:$K$106,1,'2017'!$B$24:$B$106,"&lt;&gt;Playoffs")</x:f>
        <x:v>0</x:v>
      </x:c>
      <x:c r="F14" s="10" t="n">
        <x:f>SUM(C14:E14)</x:f>
        <x:v>13</x:v>
      </x:c>
      <x:c r="G14" s="12" t="n">
        <x:f>IF(F14=0,0,(C14+0.5*E14)/F14)</x:f>
        <x:v>0.5384615384615384</x:v>
      </x:c>
      <x:c r="H14" s="14" t="n">
        <x:f>SUMIFS('2017'!$E$24:$E$106,'2017'!$C$24:$C$106,A14,'2017'!$B$24:$B$106,"&lt;&gt;Playoffs")+SUMIFS('2017'!$H$24:$H$106,'2017'!$F$24:$F$106,A14,'2017'!$B$24:$B$106,"&lt;&gt;Playoffs")</x:f>
        <x:v>1409</x:v>
      </x:c>
      <x:c r="I14" s="14" t="n">
        <x:f>SUMIFS('2017'!$H$24:$H$106,'2017'!$C$24:$C$106,A14,'2017'!$B$24:$B$106,"&lt;&gt;Playoffs")+SUMIFS('2017'!$E$24:$E$106,'2017'!$F$24:$F$106,A14,'2017'!$B$24:$B$106,"&lt;&gt;Playoffs")</x:f>
        <x:v>1322</x:v>
      </x:c>
      <x:c r="J14" s="10" t="n">
        <x:v>10</x:v>
      </x:c>
      <x:c r="K14" s="10" t="n">
        <x:v>1</x:v>
      </x:c>
      <x:c r="L14" s="10" t="n">
        <x:v>10</x:v>
      </x:c>
    </x:row>
    <x:row r="15" ht="22" customHeight="1">
      <x:c r="A15" s="2" t="str">
        <x:v>Matt</x:v>
      </x:c>
      <x:c r="B15" s="2" t="str">
        <x:v>Craig Gregor</x:v>
      </x:c>
      <x:c r="C15" s="2" t="n">
        <x:f>COUNTIFS('2017'!$I$24:$I$106,A15,'2017'!$B$24:$B$106,"&lt;&gt;Playoffs")</x:f>
        <x:v>6</x:v>
      </x:c>
      <x:c r="D15" s="2" t="n">
        <x:f>COUNTIFS('2017'!$J$24:$J$106,A15,'2017'!$B$24:$B$106,"&lt;&gt;Playoffs")</x:f>
        <x:v>7</x:v>
      </x:c>
      <x:c r="E15" s="2" t="n">
        <x:f>COUNTIFS('2017'!$C$24:$C$106,A15,'2017'!$K$24:$K$106,1,'2017'!$B$24:$B$106,"&lt;&gt;Playoffs")+COUNTIFS('2017'!$F$24:$F$106,A15,'2017'!$K$24:$K$106,1,'2017'!$B$24:$B$106,"&lt;&gt;Playoffs")</x:f>
        <x:v>0</x:v>
      </x:c>
      <x:c r="F15" s="2" t="n">
        <x:f>SUM(C15:E15)</x:f>
        <x:v>13</x:v>
      </x:c>
      <x:c r="G15" s="11" t="n">
        <x:f>IF(F15=0,0,(C15+0.5*E15)/F15)</x:f>
        <x:v>0.46153846153846156</x:v>
      </x:c>
      <x:c r="H15" s="13" t="n">
        <x:f>SUMIFS('2017'!$E$24:$E$106,'2017'!$C$24:$C$106,A15,'2017'!$B$24:$B$106,"&lt;&gt;Playoffs")+SUMIFS('2017'!$H$24:$H$106,'2017'!$F$24:$F$106,A15,'2017'!$B$24:$B$106,"&lt;&gt;Playoffs")</x:f>
        <x:v>1459</x:v>
      </x:c>
      <x:c r="I15" s="13" t="n">
        <x:f>SUMIFS('2017'!$H$24:$H$106,'2017'!$C$24:$C$106,A15,'2017'!$B$24:$B$106,"&lt;&gt;Playoffs")+SUMIFS('2017'!$E$24:$E$106,'2017'!$F$24:$F$106,A15,'2017'!$B$24:$B$106,"&lt;&gt;Playoffs")</x:f>
        <x:v>1511</x:v>
      </x:c>
      <x:c r="J15" s="2" t="n">
        <x:v>14</x:v>
      </x:c>
      <x:c r="K15" s="2" t="n">
        <x:v>1</x:v>
      </x:c>
      <x:c r="L15" s="2" t="n">
        <x:v>6</x:v>
      </x:c>
    </x:row>
    <x:row r="16" ht="22" customHeight="1">
      <x:c r="A16" s="10" t="str">
        <x:v>Mike</x:v>
      </x:c>
      <x:c r="B16" s="10" t="str">
        <x:v>Torn ACL's</x:v>
      </x:c>
      <x:c r="C16" s="10" t="n">
        <x:f>COUNTIFS('2017'!$I$24:$I$106,A16,'2017'!$B$24:$B$106,"&lt;&gt;Playoffs")</x:f>
        <x:v>6</x:v>
      </x:c>
      <x:c r="D16" s="10" t="n">
        <x:f>COUNTIFS('2017'!$J$24:$J$106,A16,'2017'!$B$24:$B$106,"&lt;&gt;Playoffs")</x:f>
        <x:v>7</x:v>
      </x:c>
      <x:c r="E16" s="10" t="n">
        <x:f>COUNTIFS('2017'!$C$24:$C$106,A16,'2017'!$K$24:$K$106,1,'2017'!$B$24:$B$106,"&lt;&gt;Playoffs")+COUNTIFS('2017'!$F$24:$F$106,A16,'2017'!$K$24:$K$106,1,'2017'!$B$24:$B$106,"&lt;&gt;Playoffs")</x:f>
        <x:v>0</x:v>
      </x:c>
      <x:c r="F16" s="10" t="n">
        <x:f>SUM(C16:E16)</x:f>
        <x:v>13</x:v>
      </x:c>
      <x:c r="G16" s="12" t="n">
        <x:f>IF(F16=0,0,(C16+0.5*E16)/F16)</x:f>
        <x:v>0.46153846153846156</x:v>
      </x:c>
      <x:c r="H16" s="14" t="n">
        <x:f>SUMIFS('2017'!$E$24:$E$106,'2017'!$C$24:$C$106,A16,'2017'!$B$24:$B$106,"&lt;&gt;Playoffs")+SUMIFS('2017'!$H$24:$H$106,'2017'!$F$24:$F$106,A16,'2017'!$B$24:$B$106,"&lt;&gt;Playoffs")</x:f>
        <x:v>1380</x:v>
      </x:c>
      <x:c r="I16" s="14" t="n">
        <x:f>SUMIFS('2017'!$H$24:$H$106,'2017'!$C$24:$C$106,A16,'2017'!$B$24:$B$106,"&lt;&gt;Playoffs")+SUMIFS('2017'!$E$24:$E$106,'2017'!$F$24:$F$106,A16,'2017'!$B$24:$B$106,"&lt;&gt;Playoffs")</x:f>
        <x:v>1431</x:v>
      </x:c>
      <x:c r="J16" s="10" t="n">
        <x:v>23</x:v>
      </x:c>
      <x:c r="K16" s="10" t="n">
        <x:v>1</x:v>
      </x:c>
      <x:c r="L16" s="10" t="n">
        <x:v>4</x:v>
      </x:c>
    </x:row>
    <x:row r="17" ht="22" customHeight="1">
      <x:c r="A17" s="2" t="str">
        <x:v>Paul</x:v>
      </x:c>
      <x:c r="B17" s="2" t="str">
        <x:v>Paul's Team</x:v>
      </x:c>
      <x:c r="C17" s="2" t="n">
        <x:f>COUNTIFS('2017'!$I$24:$I$106,A17,'2017'!$B$24:$B$106,"&lt;&gt;Playoffs")</x:f>
        <x:v>6</x:v>
      </x:c>
      <x:c r="D17" s="2" t="n">
        <x:f>COUNTIFS('2017'!$J$24:$J$106,A17,'2017'!$B$24:$B$106,"&lt;&gt;Playoffs")</x:f>
        <x:v>7</x:v>
      </x:c>
      <x:c r="E17" s="2" t="n">
        <x:f>COUNTIFS('2017'!$C$24:$C$106,A17,'2017'!$K$24:$K$106,1,'2017'!$B$24:$B$106,"&lt;&gt;Playoffs")+COUNTIFS('2017'!$F$24:$F$106,A17,'2017'!$K$24:$K$106,1,'2017'!$B$24:$B$106,"&lt;&gt;Playoffs")</x:f>
        <x:v>0</x:v>
      </x:c>
      <x:c r="F17" s="2" t="n">
        <x:f>SUM(C17:E17)</x:f>
        <x:v>13</x:v>
      </x:c>
      <x:c r="G17" s="11" t="n">
        <x:f>IF(F17=0,0,(C17+0.5*E17)/F17)</x:f>
        <x:v>0.46153846153846156</x:v>
      </x:c>
      <x:c r="H17" s="13" t="n">
        <x:f>SUMIFS('2017'!$E$24:$E$106,'2017'!$C$24:$C$106,A17,'2017'!$B$24:$B$106,"&lt;&gt;Playoffs")+SUMIFS('2017'!$H$24:$H$106,'2017'!$F$24:$F$106,A17,'2017'!$B$24:$B$106,"&lt;&gt;Playoffs")</x:f>
        <x:v>1413</x:v>
      </x:c>
      <x:c r="I17" s="13" t="n">
        <x:f>SUMIFS('2017'!$H$24:$H$106,'2017'!$C$24:$C$106,A17,'2017'!$B$24:$B$106,"&lt;&gt;Playoffs")+SUMIFS('2017'!$E$24:$E$106,'2017'!$F$24:$F$106,A17,'2017'!$B$24:$B$106,"&lt;&gt;Playoffs")</x:f>
        <x:v>1357</x:v>
      </x:c>
      <x:c r="J17" s="2" t="n">
        <x:v>15</x:v>
      </x:c>
      <x:c r="K17" s="2" t="n">
        <x:v>0</x:v>
      </x:c>
      <x:c r="L17" s="2" t="n">
        <x:v>5</x:v>
      </x:c>
    </x:row>
    <x:row r="18" ht="22" customHeight="1">
      <x:c r="A18" s="10" t="str">
        <x:v>Taylor</x:v>
      </x:c>
      <x:c r="B18" s="10" t="str">
        <x:v>BILLY BALD-ASS</x:v>
      </x:c>
      <x:c r="C18" s="10" t="n">
        <x:f>COUNTIFS('2017'!$I$24:$I$106,A18,'2017'!$B$24:$B$106,"&lt;&gt;Playoffs")</x:f>
        <x:v>10</x:v>
      </x:c>
      <x:c r="D18" s="10" t="n">
        <x:f>COUNTIFS('2017'!$J$24:$J$106,A18,'2017'!$B$24:$B$106,"&lt;&gt;Playoffs")</x:f>
        <x:v>3</x:v>
      </x:c>
      <x:c r="E18" s="10" t="n">
        <x:f>COUNTIFS('2017'!$C$24:$C$106,A18,'2017'!$K$24:$K$106,1,'2017'!$B$24:$B$106,"&lt;&gt;Playoffs")+COUNTIFS('2017'!$F$24:$F$106,A18,'2017'!$K$24:$K$106,1,'2017'!$B$24:$B$106,"&lt;&gt;Playoffs")</x:f>
        <x:v>0</x:v>
      </x:c>
      <x:c r="F18" s="10" t="n">
        <x:f>SUM(C18:E18)</x:f>
        <x:v>13</x:v>
      </x:c>
      <x:c r="G18" s="12" t="n">
        <x:f>IF(F18=0,0,(C18+0.5*E18)/F18)</x:f>
        <x:v>0.7692307692307693</x:v>
      </x:c>
      <x:c r="H18" s="14" t="n">
        <x:f>SUMIFS('2017'!$E$24:$E$106,'2017'!$C$24:$C$106,A18,'2017'!$B$24:$B$106,"&lt;&gt;Playoffs")+SUMIFS('2017'!$H$24:$H$106,'2017'!$F$24:$F$106,A18,'2017'!$B$24:$B$106,"&lt;&gt;Playoffs")</x:f>
        <x:v>1437</x:v>
      </x:c>
      <x:c r="I18" s="14" t="n">
        <x:f>SUMIFS('2017'!$H$24:$H$106,'2017'!$C$24:$C$106,A18,'2017'!$B$24:$B$106,"&lt;&gt;Playoffs")+SUMIFS('2017'!$E$24:$E$106,'2017'!$F$24:$F$106,A18,'2017'!$B$24:$B$106,"&lt;&gt;Playoffs")</x:f>
        <x:v>1303</x:v>
      </x:c>
      <x:c r="J18" s="10" t="n">
        <x:v>19</x:v>
      </x:c>
      <x:c r="K18" s="10" t="n">
        <x:v>0</x:v>
      </x:c>
      <x:c r="L18" s="10" t="n">
        <x:v>11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6" t="str">
        <x:v>Week</x:v>
      </x:c>
      <x:c r="B23" s="6" t="str">
        <x:v>Phase</x:v>
      </x:c>
      <x:c r="C23" s="6" t="str">
        <x:v>Manager A</x:v>
      </x:c>
      <x:c r="D23" s="6" t="str">
        <x:v>Team A</x:v>
      </x:c>
      <x:c r="E23" s="6" t="str">
        <x:v>Score A</x:v>
      </x:c>
      <x:c r="F23" s="6" t="str">
        <x:v>Manager B</x:v>
      </x:c>
      <x:c r="G23" s="6" t="str">
        <x:v>Team B</x:v>
      </x:c>
      <x:c r="H23" s="6" t="str">
        <x:v>Score B</x:v>
      </x:c>
      <x:c r="I23" s="6" t="str">
        <x:v>Winner</x:v>
      </x:c>
      <x:c r="J23" s="6" t="str">
        <x:v>Loser</x:v>
      </x:c>
      <x:c r="K23" s="6" t="str">
        <x:v>Tie</x:v>
      </x:c>
      <x:c r="L23" s="6" t="str">
        <x:v>Pair</x:v>
      </x:c>
      <x:c r="M23" s="9" t="str">
        <x:v>Round</x:v>
      </x:c>
      <x:c r="N23" s="9" t="str">
        <x:v>Week source</x:v>
      </x:c>
    </x:row>
    <x:row r="24" ht="22" customHeight="1">
      <x:c r="A24" s="2" t="n">
        <x:v>1</x:v>
      </x:c>
      <x:c r="B24" s="2" t="str">
        <x:v>Regular</x:v>
      </x:c>
      <x:c r="C24" s="2" t="str">
        <x:v>Andrew</x:v>
      </x:c>
      <x:c r="D24" s="2" t="str">
        <x:v>Hilton Head SC</x:v>
      </x:c>
      <x:c r="E24" s="15" t="n">
        <x:v>112</x:v>
      </x:c>
      <x:c r="F24" s="2" t="str">
        <x:v>James B.</x:v>
      </x:c>
      <x:c r="G24" s="2" t="str">
        <x:v>The Entourage</x:v>
      </x:c>
      <x:c r="H24" s="15" t="n">
        <x:v>79</x:v>
      </x:c>
      <x:c r="I24" s="2" t="str">
        <x:f>IF(E24&gt;H24,C24,IF(E24&lt;H24,F24,"Tie"))</x:f>
        <x:v>Andrew</x:v>
      </x:c>
      <x:c r="J24" s="2" t="str">
        <x:f>IF(E24&gt;H24,F24,IF(E24&lt;H24,C24,"Tie"))</x:f>
        <x:v>James B.</x:v>
      </x:c>
      <x:c r="K24" s="2" t="n">
        <x:f>IF(E24=H24,1,0)</x:f>
        <x:v>0</x:v>
      </x:c>
      <x:c r="L24" s="2" t="str">
        <x:v>Andrew / James B.</x:v>
      </x:c>
      <x:c r="M24" t="str"/>
      <x:c r="N24" t="str">
        <x:v>Supplied</x:v>
      </x:c>
    </x:row>
    <x:row r="25" ht="22" customHeight="1">
      <x:c r="A25" s="2" t="n">
        <x:v>1</x:v>
      </x:c>
      <x:c r="B25" s="2" t="str">
        <x:v>Regular</x:v>
      </x:c>
      <x:c r="C25" s="2" t="str">
        <x:v>Bruce</x:v>
      </x:c>
      <x:c r="D25" s="2" t="str">
        <x:v>The Storm</x:v>
      </x:c>
      <x:c r="E25" s="15" t="n">
        <x:v>104</x:v>
      </x:c>
      <x:c r="F25" s="2" t="str">
        <x:v>Craig</x:v>
      </x:c>
      <x:c r="G25" s="2" t="str">
        <x:v>The Ants Marching</x:v>
      </x:c>
      <x:c r="H25" s="15" t="n">
        <x:v>125</x:v>
      </x:c>
      <x:c r="I25" s="2" t="str">
        <x:f>IF(E25&gt;H25,C25,IF(E25&lt;H25,F25,"Tie"))</x:f>
        <x:v>Craig</x:v>
      </x:c>
      <x:c r="J25" s="2" t="str">
        <x:f>IF(E25&gt;H25,F25,IF(E25&lt;H25,C25,"Tie"))</x:f>
        <x:v>Bruce</x:v>
      </x:c>
      <x:c r="K25" s="2" t="n">
        <x:f>IF(E25=H25,1,0)</x:f>
        <x:v>0</x:v>
      </x:c>
      <x:c r="L25" s="2" t="str">
        <x:v>Bruce / Craig</x:v>
      </x:c>
      <x:c r="M25" t="str"/>
      <x:c r="N25" t="str">
        <x:v>Supplied</x:v>
      </x:c>
    </x:row>
    <x:row r="26" ht="22" customHeight="1">
      <x:c r="A26" s="2" t="n">
        <x:v>1</x:v>
      </x:c>
      <x:c r="B26" s="2" t="str">
        <x:v>Regular</x:v>
      </x:c>
      <x:c r="C26" s="2" t="str">
        <x:v>Ed</x:v>
      </x:c>
      <x:c r="D26" s="2" t="str">
        <x:v>Club Eroticas Finest</x:v>
      </x:c>
      <x:c r="E26" s="15" t="n">
        <x:v>108</x:v>
      </x:c>
      <x:c r="F26" s="2" t="str">
        <x:v>Josh</x:v>
      </x:c>
      <x:c r="G26" s="2" t="str">
        <x:v>The Markgregors</x:v>
      </x:c>
      <x:c r="H26" s="15" t="n">
        <x:v>108</x:v>
      </x:c>
      <x:c r="I26" s="2" t="str">
        <x:f>IF(E26&gt;H26,C26,IF(E26&lt;H26,F26,"Tie"))</x:f>
        <x:v>Tie</x:v>
      </x:c>
      <x:c r="J26" s="2" t="str">
        <x:f>IF(E26&gt;H26,F26,IF(E26&lt;H26,C26,"Tie"))</x:f>
        <x:v>Tie</x:v>
      </x:c>
      <x:c r="K26" s="2" t="n">
        <x:f>IF(E26=H26,1,0)</x:f>
        <x:v>1</x:v>
      </x:c>
      <x:c r="L26" s="2" t="str">
        <x:v>Ed / Josh</x:v>
      </x:c>
      <x:c r="M26" t="str"/>
      <x:c r="N26" t="str">
        <x:v>Supplied</x:v>
      </x:c>
    </x:row>
    <x:row r="27" ht="22" customHeight="1">
      <x:c r="A27" s="2" t="n">
        <x:v>1</x:v>
      </x:c>
      <x:c r="B27" s="2" t="str">
        <x:v>Regular</x:v>
      </x:c>
      <x:c r="C27" s="2" t="str">
        <x:v>Chas</x:v>
      </x:c>
      <x:c r="D27" s="2" t="str">
        <x:v>Team chas</x:v>
      </x:c>
      <x:c r="E27" s="15" t="n">
        <x:v>92</x:v>
      </x:c>
      <x:c r="F27" s="2" t="str">
        <x:v>Mark</x:v>
      </x:c>
      <x:c r="G27" s="2" t="str">
        <x:v>wacky waving arms</x:v>
      </x:c>
      <x:c r="H27" s="15" t="n">
        <x:v>91</x:v>
      </x:c>
      <x:c r="I27" s="2" t="str">
        <x:f>IF(E27&gt;H27,C27,IF(E27&lt;H27,F27,"Tie"))</x:f>
        <x:v>Chas</x:v>
      </x:c>
      <x:c r="J27" s="2" t="str">
        <x:f>IF(E27&gt;H27,F27,IF(E27&lt;H27,C27,"Tie"))</x:f>
        <x:v>Mark</x:v>
      </x:c>
      <x:c r="K27" s="2" t="n">
        <x:f>IF(E27=H27,1,0)</x:f>
        <x:v>0</x:v>
      </x:c>
      <x:c r="L27" s="2" t="str">
        <x:v>Chas / Mark</x:v>
      </x:c>
      <x:c r="M27" t="str"/>
      <x:c r="N27" t="str">
        <x:v>Supplied</x:v>
      </x:c>
    </x:row>
    <x:row r="28" ht="22" customHeight="1">
      <x:c r="A28" s="2" t="n">
        <x:v>1</x:v>
      </x:c>
      <x:c r="B28" s="2" t="str">
        <x:v>Regular</x:v>
      </x:c>
      <x:c r="C28" s="2" t="str">
        <x:v>Mike</x:v>
      </x:c>
      <x:c r="D28" s="2" t="str">
        <x:v>Torn ACL's</x:v>
      </x:c>
      <x:c r="E28" s="15" t="n">
        <x:v>83</x:v>
      </x:c>
      <x:c r="F28" s="2" t="str">
        <x:v>Paul</x:v>
      </x:c>
      <x:c r="G28" s="2" t="str">
        <x:v>Paul's Team</x:v>
      </x:c>
      <x:c r="H28" s="15" t="n">
        <x:v>87</x:v>
      </x:c>
      <x:c r="I28" s="2" t="str">
        <x:f>IF(E28&gt;H28,C28,IF(E28&lt;H28,F28,"Tie"))</x:f>
        <x:v>Paul</x:v>
      </x:c>
      <x:c r="J28" s="2" t="str">
        <x:f>IF(E28&gt;H28,F28,IF(E28&lt;H28,C28,"Tie"))</x:f>
        <x:v>Mike</x:v>
      </x:c>
      <x:c r="K28" s="2" t="n">
        <x:f>IF(E28=H28,1,0)</x:f>
        <x:v>0</x:v>
      </x:c>
      <x:c r="L28" s="2" t="str">
        <x:v>Mike / Paul</x:v>
      </x:c>
      <x:c r="M28" t="str"/>
      <x:c r="N28" t="str">
        <x:v>Supplied</x:v>
      </x:c>
    </x:row>
    <x:row r="29" ht="22" customHeight="1">
      <x:c r="A29" s="2" t="n">
        <x:v>1</x:v>
      </x:c>
      <x:c r="B29" s="2" t="str">
        <x:v>Regular</x:v>
      </x:c>
      <x:c r="C29" s="2" t="str">
        <x:v>Matt</x:v>
      </x:c>
      <x:c r="D29" s="2" t="str">
        <x:v>Craig Gregor</x:v>
      </x:c>
      <x:c r="E29" s="15" t="n">
        <x:v>82</x:v>
      </x:c>
      <x:c r="F29" s="2" t="str">
        <x:v>Taylor</x:v>
      </x:c>
      <x:c r="G29" s="2" t="str">
        <x:v>BILLY BALD-ASS</x:v>
      </x:c>
      <x:c r="H29" s="15" t="n">
        <x:v>118</x:v>
      </x:c>
      <x:c r="I29" s="2" t="str">
        <x:f>IF(E29&gt;H29,C29,IF(E29&lt;H29,F29,"Tie"))</x:f>
        <x:v>Taylor</x:v>
      </x:c>
      <x:c r="J29" s="2" t="str">
        <x:f>IF(E29&gt;H29,F29,IF(E29&lt;H29,C29,"Tie"))</x:f>
        <x:v>Matt</x:v>
      </x:c>
      <x:c r="K29" s="2" t="n">
        <x:f>IF(E29=H29,1,0)</x:f>
        <x:v>0</x:v>
      </x:c>
      <x:c r="L29" s="2" t="str">
        <x:v>Matt / Taylor</x:v>
      </x:c>
      <x:c r="M29" t="str"/>
      <x:c r="N29" t="str">
        <x:v>Supplied</x:v>
      </x:c>
    </x:row>
    <x:row r="30" ht="22" customHeight="1">
      <x:c r="A30" s="2" t="n">
        <x:v>2</x:v>
      </x:c>
      <x:c r="B30" s="2" t="str">
        <x:v>Regular</x:v>
      </x:c>
      <x:c r="C30" s="2" t="str">
        <x:v>Andrew</x:v>
      </x:c>
      <x:c r="D30" s="2" t="str">
        <x:v>Hilton Head SC</x:v>
      </x:c>
      <x:c r="E30" s="15" t="n">
        <x:v>95</x:v>
      </x:c>
      <x:c r="F30" s="2" t="str">
        <x:v>Taylor</x:v>
      </x:c>
      <x:c r="G30" s="2" t="str">
        <x:v>BILLY BALD-ASS</x:v>
      </x:c>
      <x:c r="H30" s="15" t="n">
        <x:v>86</x:v>
      </x:c>
      <x:c r="I30" s="2" t="str">
        <x:f>IF(E30&gt;H30,C30,IF(E30&lt;H30,F30,"Tie"))</x:f>
        <x:v>Andrew</x:v>
      </x:c>
      <x:c r="J30" s="2" t="str">
        <x:f>IF(E30&gt;H30,F30,IF(E30&lt;H30,C30,"Tie"))</x:f>
        <x:v>Taylor</x:v>
      </x:c>
      <x:c r="K30" s="2" t="n">
        <x:f>IF(E30=H30,1,0)</x:f>
        <x:v>0</x:v>
      </x:c>
      <x:c r="L30" s="2" t="str">
        <x:v>Andrew / Taylor</x:v>
      </x:c>
      <x:c r="M30" t="str"/>
      <x:c r="N30" t="str">
        <x:v>Supplied</x:v>
      </x:c>
    </x:row>
    <x:row r="31" ht="22" customHeight="1">
      <x:c r="A31" s="2" t="n">
        <x:v>2</x:v>
      </x:c>
      <x:c r="B31" s="2" t="str">
        <x:v>Regular</x:v>
      </x:c>
      <x:c r="C31" s="2" t="str">
        <x:v>Bruce</x:v>
      </x:c>
      <x:c r="D31" s="2" t="str">
        <x:v>The Storm</x:v>
      </x:c>
      <x:c r="E31" s="15" t="n">
        <x:v>62</x:v>
      </x:c>
      <x:c r="F31" s="2" t="str">
        <x:v>Josh</x:v>
      </x:c>
      <x:c r="G31" s="2" t="str">
        <x:v>The Markgregors</x:v>
      </x:c>
      <x:c r="H31" s="15" t="n">
        <x:v>120</x:v>
      </x:c>
      <x:c r="I31" s="2" t="str">
        <x:f>IF(E31&gt;H31,C31,IF(E31&lt;H31,F31,"Tie"))</x:f>
        <x:v>Josh</x:v>
      </x:c>
      <x:c r="J31" s="2" t="str">
        <x:f>IF(E31&gt;H31,F31,IF(E31&lt;H31,C31,"Tie"))</x:f>
        <x:v>Bruce</x:v>
      </x:c>
      <x:c r="K31" s="2" t="n">
        <x:f>IF(E31=H31,1,0)</x:f>
        <x:v>0</x:v>
      </x:c>
      <x:c r="L31" s="2" t="str">
        <x:v>Bruce / Josh</x:v>
      </x:c>
      <x:c r="M31" t="str"/>
      <x:c r="N31" t="str">
        <x:v>Supplied</x:v>
      </x:c>
    </x:row>
    <x:row r="32" ht="22" customHeight="1">
      <x:c r="A32" s="2" t="n">
        <x:v>2</x:v>
      </x:c>
      <x:c r="B32" s="2" t="str">
        <x:v>Regular</x:v>
      </x:c>
      <x:c r="C32" s="2" t="str">
        <x:v>Craig</x:v>
      </x:c>
      <x:c r="D32" s="2" t="str">
        <x:v>The Ants Marching</x:v>
      </x:c>
      <x:c r="E32" s="15" t="n">
        <x:v>146</x:v>
      </x:c>
      <x:c r="F32" s="2" t="str">
        <x:v>Mark</x:v>
      </x:c>
      <x:c r="G32" s="2" t="str">
        <x:v>wacky waving arms</x:v>
      </x:c>
      <x:c r="H32" s="15" t="n">
        <x:v>151</x:v>
      </x:c>
      <x:c r="I32" s="2" t="str">
        <x:f>IF(E32&gt;H32,C32,IF(E32&lt;H32,F32,"Tie"))</x:f>
        <x:v>Mark</x:v>
      </x:c>
      <x:c r="J32" s="2" t="str">
        <x:f>IF(E32&gt;H32,F32,IF(E32&lt;H32,C32,"Tie"))</x:f>
        <x:v>Craig</x:v>
      </x:c>
      <x:c r="K32" s="2" t="n">
        <x:f>IF(E32=H32,1,0)</x:f>
        <x:v>0</x:v>
      </x:c>
      <x:c r="L32" s="2" t="str">
        <x:v>Craig / Mark</x:v>
      </x:c>
      <x:c r="M32" t="str"/>
      <x:c r="N32" t="str">
        <x:v>Supplied</x:v>
      </x:c>
    </x:row>
    <x:row r="33" ht="22" customHeight="1">
      <x:c r="A33" s="2" t="n">
        <x:v>2</x:v>
      </x:c>
      <x:c r="B33" s="2" t="str">
        <x:v>Regular</x:v>
      </x:c>
      <x:c r="C33" s="2" t="str">
        <x:v>Ed</x:v>
      </x:c>
      <x:c r="D33" s="2" t="str">
        <x:v>Club Eroticas Finest</x:v>
      </x:c>
      <x:c r="E33" s="15" t="n">
        <x:v>118</x:v>
      </x:c>
      <x:c r="F33" s="2" t="str">
        <x:v>Matt</x:v>
      </x:c>
      <x:c r="G33" s="2" t="str">
        <x:v>Craig Gregor</x:v>
      </x:c>
      <x:c r="H33" s="15" t="n">
        <x:v>86</x:v>
      </x:c>
      <x:c r="I33" s="2" t="str">
        <x:f>IF(E33&gt;H33,C33,IF(E33&lt;H33,F33,"Tie"))</x:f>
        <x:v>Ed</x:v>
      </x:c>
      <x:c r="J33" s="2" t="str">
        <x:f>IF(E33&gt;H33,F33,IF(E33&lt;H33,C33,"Tie"))</x:f>
        <x:v>Matt</x:v>
      </x:c>
      <x:c r="K33" s="2" t="n">
        <x:f>IF(E33=H33,1,0)</x:f>
        <x:v>0</x:v>
      </x:c>
      <x:c r="L33" s="2" t="str">
        <x:v>Ed / Matt</x:v>
      </x:c>
      <x:c r="M33" t="str"/>
      <x:c r="N33" t="str">
        <x:v>Supplied</x:v>
      </x:c>
    </x:row>
    <x:row r="34" ht="22" customHeight="1">
      <x:c r="A34" s="2" t="n">
        <x:v>2</x:v>
      </x:c>
      <x:c r="B34" s="2" t="str">
        <x:v>Regular</x:v>
      </x:c>
      <x:c r="C34" s="2" t="str">
        <x:v>Chas</x:v>
      </x:c>
      <x:c r="D34" s="2" t="str">
        <x:v>Team chas</x:v>
      </x:c>
      <x:c r="E34" s="15" t="n">
        <x:v>88</x:v>
      </x:c>
      <x:c r="F34" s="2" t="str">
        <x:v>Mike</x:v>
      </x:c>
      <x:c r="G34" s="2" t="str">
        <x:v>Torn ACL's</x:v>
      </x:c>
      <x:c r="H34" s="15" t="n">
        <x:v>108</x:v>
      </x:c>
      <x:c r="I34" s="2" t="str">
        <x:f>IF(E34&gt;H34,C34,IF(E34&lt;H34,F34,"Tie"))</x:f>
        <x:v>Mike</x:v>
      </x:c>
      <x:c r="J34" s="2" t="str">
        <x:f>IF(E34&gt;H34,F34,IF(E34&lt;H34,C34,"Tie"))</x:f>
        <x:v>Chas</x:v>
      </x:c>
      <x:c r="K34" s="2" t="n">
        <x:f>IF(E34=H34,1,0)</x:f>
        <x:v>0</x:v>
      </x:c>
      <x:c r="L34" s="2" t="str">
        <x:v>Chas / Mike</x:v>
      </x:c>
      <x:c r="M34" t="str"/>
      <x:c r="N34" t="str">
        <x:v>Supplied</x:v>
      </x:c>
    </x:row>
    <x:row r="35" ht="22" customHeight="1">
      <x:c r="A35" s="2" t="n">
        <x:v>2</x:v>
      </x:c>
      <x:c r="B35" s="2" t="str">
        <x:v>Regular</x:v>
      </x:c>
      <x:c r="C35" s="2" t="str">
        <x:v>James B.</x:v>
      </x:c>
      <x:c r="D35" s="2" t="str">
        <x:v>The Entourage</x:v>
      </x:c>
      <x:c r="E35" s="15" t="n">
        <x:v>99</x:v>
      </x:c>
      <x:c r="F35" s="2" t="str">
        <x:v>Paul</x:v>
      </x:c>
      <x:c r="G35" s="2" t="str">
        <x:v>Paul's Team</x:v>
      </x:c>
      <x:c r="H35" s="15" t="n">
        <x:v>118</x:v>
      </x:c>
      <x:c r="I35" s="2" t="str">
        <x:f>IF(E35&gt;H35,C35,IF(E35&lt;H35,F35,"Tie"))</x:f>
        <x:v>Paul</x:v>
      </x:c>
      <x:c r="J35" s="2" t="str">
        <x:f>IF(E35&gt;H35,F35,IF(E35&lt;H35,C35,"Tie"))</x:f>
        <x:v>James B.</x:v>
      </x:c>
      <x:c r="K35" s="2" t="n">
        <x:f>IF(E35=H35,1,0)</x:f>
        <x:v>0</x:v>
      </x:c>
      <x:c r="L35" s="2" t="str">
        <x:v>James B. / Paul</x:v>
      </x:c>
      <x:c r="M35" t="str"/>
      <x:c r="N35" t="str">
        <x:v>Supplied</x:v>
      </x:c>
    </x:row>
    <x:row r="36" ht="22" customHeight="1">
      <x:c r="A36" s="2" t="n">
        <x:v>3</x:v>
      </x:c>
      <x:c r="B36" s="2" t="str">
        <x:v>Regular</x:v>
      </x:c>
      <x:c r="C36" s="2" t="str">
        <x:v>Andrew</x:v>
      </x:c>
      <x:c r="D36" s="2" t="str">
        <x:v>Hilton Head SC</x:v>
      </x:c>
      <x:c r="E36" s="15" t="n">
        <x:v>156</x:v>
      </x:c>
      <x:c r="F36" s="2" t="str">
        <x:v>Mike</x:v>
      </x:c>
      <x:c r="G36" s="2" t="str">
        <x:v>Torn ACL's</x:v>
      </x:c>
      <x:c r="H36" s="15" t="n">
        <x:v>102</x:v>
      </x:c>
      <x:c r="I36" s="2" t="str">
        <x:f>IF(E36&gt;H36,C36,IF(E36&lt;H36,F36,"Tie"))</x:f>
        <x:v>Andrew</x:v>
      </x:c>
      <x:c r="J36" s="2" t="str">
        <x:f>IF(E36&gt;H36,F36,IF(E36&lt;H36,C36,"Tie"))</x:f>
        <x:v>Mike</x:v>
      </x:c>
      <x:c r="K36" s="2" t="n">
        <x:f>IF(E36=H36,1,0)</x:f>
        <x:v>0</x:v>
      </x:c>
      <x:c r="L36" s="2" t="str">
        <x:v>Andrew / Mike</x:v>
      </x:c>
      <x:c r="M36" t="str"/>
      <x:c r="N36" t="str">
        <x:v>Supplied</x:v>
      </x:c>
    </x:row>
    <x:row r="37" ht="22" customHeight="1">
      <x:c r="A37" s="2" t="n">
        <x:v>3</x:v>
      </x:c>
      <x:c r="B37" s="2" t="str">
        <x:v>Regular</x:v>
      </x:c>
      <x:c r="C37" s="2" t="str">
        <x:v>Bruce</x:v>
      </x:c>
      <x:c r="D37" s="2" t="str">
        <x:v>The Storm</x:v>
      </x:c>
      <x:c r="E37" s="15" t="n">
        <x:v>64</x:v>
      </x:c>
      <x:c r="F37" s="2" t="str">
        <x:v>Mark</x:v>
      </x:c>
      <x:c r="G37" s="2" t="str">
        <x:v>wacky waving arms</x:v>
      </x:c>
      <x:c r="H37" s="15" t="n">
        <x:v>131</x:v>
      </x:c>
      <x:c r="I37" s="2" t="str">
        <x:f>IF(E37&gt;H37,C37,IF(E37&lt;H37,F37,"Tie"))</x:f>
        <x:v>Mark</x:v>
      </x:c>
      <x:c r="J37" s="2" t="str">
        <x:f>IF(E37&gt;H37,F37,IF(E37&lt;H37,C37,"Tie"))</x:f>
        <x:v>Bruce</x:v>
      </x:c>
      <x:c r="K37" s="2" t="n">
        <x:f>IF(E37=H37,1,0)</x:f>
        <x:v>0</x:v>
      </x:c>
      <x:c r="L37" s="2" t="str">
        <x:v>Bruce / Mark</x:v>
      </x:c>
      <x:c r="M37" t="str"/>
      <x:c r="N37" t="str">
        <x:v>Supplied</x:v>
      </x:c>
    </x:row>
    <x:row r="38" ht="22" customHeight="1">
      <x:c r="A38" s="2" t="n">
        <x:v>3</x:v>
      </x:c>
      <x:c r="B38" s="2" t="str">
        <x:v>Regular</x:v>
      </x:c>
      <x:c r="C38" s="2" t="str">
        <x:v>Craig</x:v>
      </x:c>
      <x:c r="D38" s="2" t="str">
        <x:v>The Ants Marching</x:v>
      </x:c>
      <x:c r="E38" s="15" t="n">
        <x:v>118</x:v>
      </x:c>
      <x:c r="F38" s="2" t="str">
        <x:v>Ed</x:v>
      </x:c>
      <x:c r="G38" s="2" t="str">
        <x:v>Club Eroticas Finest</x:v>
      </x:c>
      <x:c r="H38" s="15" t="n">
        <x:v>66</x:v>
      </x:c>
      <x:c r="I38" s="2" t="str">
        <x:f>IF(E38&gt;H38,C38,IF(E38&lt;H38,F38,"Tie"))</x:f>
        <x:v>Craig</x:v>
      </x:c>
      <x:c r="J38" s="2" t="str">
        <x:f>IF(E38&gt;H38,F38,IF(E38&lt;H38,C38,"Tie"))</x:f>
        <x:v>Ed</x:v>
      </x:c>
      <x:c r="K38" s="2" t="n">
        <x:f>IF(E38=H38,1,0)</x:f>
        <x:v>0</x:v>
      </x:c>
      <x:c r="L38" s="2" t="str">
        <x:v>Craig / Ed</x:v>
      </x:c>
      <x:c r="M38" t="str"/>
      <x:c r="N38" t="str">
        <x:v>Supplied</x:v>
      </x:c>
    </x:row>
    <x:row r="39" ht="22" customHeight="1">
      <x:c r="A39" s="2" t="n">
        <x:v>3</x:v>
      </x:c>
      <x:c r="B39" s="2" t="str">
        <x:v>Regular</x:v>
      </x:c>
      <x:c r="C39" s="2" t="str">
        <x:v>Chas</x:v>
      </x:c>
      <x:c r="D39" s="2" t="str">
        <x:v>Team chas</x:v>
      </x:c>
      <x:c r="E39" s="15" t="n">
        <x:v>95</x:v>
      </x:c>
      <x:c r="F39" s="2" t="str">
        <x:v>Paul</x:v>
      </x:c>
      <x:c r="G39" s="2" t="str">
        <x:v>Paul's Team</x:v>
      </x:c>
      <x:c r="H39" s="15" t="n">
        <x:v>141</x:v>
      </x:c>
      <x:c r="I39" s="2" t="str">
        <x:f>IF(E39&gt;H39,C39,IF(E39&lt;H39,F39,"Tie"))</x:f>
        <x:v>Paul</x:v>
      </x:c>
      <x:c r="J39" s="2" t="str">
        <x:f>IF(E39&gt;H39,F39,IF(E39&lt;H39,C39,"Tie"))</x:f>
        <x:v>Chas</x:v>
      </x:c>
      <x:c r="K39" s="2" t="n">
        <x:f>IF(E39=H39,1,0)</x:f>
        <x:v>0</x:v>
      </x:c>
      <x:c r="L39" s="2" t="str">
        <x:v>Chas / Paul</x:v>
      </x:c>
      <x:c r="M39" t="str"/>
      <x:c r="N39" t="str">
        <x:v>Supplied</x:v>
      </x:c>
    </x:row>
    <x:row r="40" ht="22" customHeight="1">
      <x:c r="A40" s="2" t="n">
        <x:v>3</x:v>
      </x:c>
      <x:c r="B40" s="2" t="str">
        <x:v>Regular</x:v>
      </x:c>
      <x:c r="C40" s="2" t="str">
        <x:v>Josh</x:v>
      </x:c>
      <x:c r="D40" s="2" t="str">
        <x:v>The Markgregors</x:v>
      </x:c>
      <x:c r="E40" s="15" t="n">
        <x:v>89</x:v>
      </x:c>
      <x:c r="F40" s="2" t="str">
        <x:v>Taylor</x:v>
      </x:c>
      <x:c r="G40" s="2" t="str">
        <x:v>BILLY BALD-ASS</x:v>
      </x:c>
      <x:c r="H40" s="15" t="n">
        <x:v>107</x:v>
      </x:c>
      <x:c r="I40" s="2" t="str">
        <x:f>IF(E40&gt;H40,C40,IF(E40&lt;H40,F40,"Tie"))</x:f>
        <x:v>Taylor</x:v>
      </x:c>
      <x:c r="J40" s="2" t="str">
        <x:f>IF(E40&gt;H40,F40,IF(E40&lt;H40,C40,"Tie"))</x:f>
        <x:v>Josh</x:v>
      </x:c>
      <x:c r="K40" s="2" t="n">
        <x:f>IF(E40=H40,1,0)</x:f>
        <x:v>0</x:v>
      </x:c>
      <x:c r="L40" s="2" t="str">
        <x:v>Josh / Taylor</x:v>
      </x:c>
      <x:c r="M40" t="str"/>
      <x:c r="N40" t="str">
        <x:v>Supplied</x:v>
      </x:c>
    </x:row>
    <x:row r="41" ht="22" customHeight="1">
      <x:c r="A41" s="2" t="n">
        <x:v>3</x:v>
      </x:c>
      <x:c r="B41" s="2" t="str">
        <x:v>Regular</x:v>
      </x:c>
      <x:c r="C41" s="2" t="str">
        <x:v>James B.</x:v>
      </x:c>
      <x:c r="D41" s="2" t="str">
        <x:v>The Entourage</x:v>
      </x:c>
      <x:c r="E41" s="15" t="n">
        <x:v>106</x:v>
      </x:c>
      <x:c r="F41" s="2" t="str">
        <x:v>Matt</x:v>
      </x:c>
      <x:c r="G41" s="2" t="str">
        <x:v>Craig Gregor</x:v>
      </x:c>
      <x:c r="H41" s="15" t="n">
        <x:v>113</x:v>
      </x:c>
      <x:c r="I41" s="2" t="str">
        <x:f>IF(E41&gt;H41,C41,IF(E41&lt;H41,F41,"Tie"))</x:f>
        <x:v>Matt</x:v>
      </x:c>
      <x:c r="J41" s="2" t="str">
        <x:f>IF(E41&gt;H41,F41,IF(E41&lt;H41,C41,"Tie"))</x:f>
        <x:v>James B.</x:v>
      </x:c>
      <x:c r="K41" s="2" t="n">
        <x:f>IF(E41=H41,1,0)</x:f>
        <x:v>0</x:v>
      </x:c>
      <x:c r="L41" s="2" t="str">
        <x:v>James B. / Matt</x:v>
      </x:c>
      <x:c r="M41" t="str"/>
      <x:c r="N41" t="str">
        <x:v>Supplied</x:v>
      </x:c>
    </x:row>
    <x:row r="42" ht="22" customHeight="1">
      <x:c r="A42" s="2" t="n">
        <x:v>4</x:v>
      </x:c>
      <x:c r="B42" s="2" t="str">
        <x:v>Regular</x:v>
      </x:c>
      <x:c r="C42" s="2" t="str">
        <x:v>Andrew</x:v>
      </x:c>
      <x:c r="D42" s="2" t="str">
        <x:v>Hilton Head SC</x:v>
      </x:c>
      <x:c r="E42" s="15" t="n">
        <x:v>124</x:v>
      </x:c>
      <x:c r="F42" s="2" t="str">
        <x:v>Josh</x:v>
      </x:c>
      <x:c r="G42" s="2" t="str">
        <x:v>The Markgregors</x:v>
      </x:c>
      <x:c r="H42" s="15" t="n">
        <x:v>100</x:v>
      </x:c>
      <x:c r="I42" s="2" t="str">
        <x:f>IF(E42&gt;H42,C42,IF(E42&lt;H42,F42,"Tie"))</x:f>
        <x:v>Andrew</x:v>
      </x:c>
      <x:c r="J42" s="2" t="str">
        <x:f>IF(E42&gt;H42,F42,IF(E42&lt;H42,C42,"Tie"))</x:f>
        <x:v>Josh</x:v>
      </x:c>
      <x:c r="K42" s="2" t="n">
        <x:f>IF(E42=H42,1,0)</x:f>
        <x:v>0</x:v>
      </x:c>
      <x:c r="L42" s="2" t="str">
        <x:v>Andrew / Josh</x:v>
      </x:c>
      <x:c r="M42" t="str"/>
      <x:c r="N42" t="str">
        <x:v>Supplied</x:v>
      </x:c>
    </x:row>
    <x:row r="43" ht="22" customHeight="1">
      <x:c r="A43" s="2" t="n">
        <x:v>4</x:v>
      </x:c>
      <x:c r="B43" s="2" t="str">
        <x:v>Regular</x:v>
      </x:c>
      <x:c r="C43" s="2" t="str">
        <x:v>Bruce</x:v>
      </x:c>
      <x:c r="D43" s="2" t="str">
        <x:v>The Storm</x:v>
      </x:c>
      <x:c r="E43" s="15" t="n">
        <x:v>58</x:v>
      </x:c>
      <x:c r="F43" s="2" t="str">
        <x:v>James B.</x:v>
      </x:c>
      <x:c r="G43" s="2" t="str">
        <x:v>The Entourage</x:v>
      </x:c>
      <x:c r="H43" s="15" t="n">
        <x:v>137</x:v>
      </x:c>
      <x:c r="I43" s="2" t="str">
        <x:f>IF(E43&gt;H43,C43,IF(E43&lt;H43,F43,"Tie"))</x:f>
        <x:v>James B.</x:v>
      </x:c>
      <x:c r="J43" s="2" t="str">
        <x:f>IF(E43&gt;H43,F43,IF(E43&lt;H43,C43,"Tie"))</x:f>
        <x:v>Bruce</x:v>
      </x:c>
      <x:c r="K43" s="2" t="n">
        <x:f>IF(E43=H43,1,0)</x:f>
        <x:v>0</x:v>
      </x:c>
      <x:c r="L43" s="2" t="str">
        <x:v>Bruce / James B.</x:v>
      </x:c>
      <x:c r="M43" t="str"/>
      <x:c r="N43" t="str">
        <x:v>Supplied</x:v>
      </x:c>
    </x:row>
    <x:row r="44" ht="22" customHeight="1">
      <x:c r="A44" s="2" t="n">
        <x:v>4</x:v>
      </x:c>
      <x:c r="B44" s="2" t="str">
        <x:v>Regular</x:v>
      </x:c>
      <x:c r="C44" s="2" t="str">
        <x:v>Craig</x:v>
      </x:c>
      <x:c r="D44" s="2" t="str">
        <x:v>The Ants Marching</x:v>
      </x:c>
      <x:c r="E44" s="15" t="n">
        <x:v>93</x:v>
      </x:c>
      <x:c r="F44" s="2" t="str">
        <x:v>Paul</x:v>
      </x:c>
      <x:c r="G44" s="2" t="str">
        <x:v>Paul's Team</x:v>
      </x:c>
      <x:c r="H44" s="15" t="n">
        <x:v>112</x:v>
      </x:c>
      <x:c r="I44" s="2" t="str">
        <x:f>IF(E44&gt;H44,C44,IF(E44&lt;H44,F44,"Tie"))</x:f>
        <x:v>Paul</x:v>
      </x:c>
      <x:c r="J44" s="2" t="str">
        <x:f>IF(E44&gt;H44,F44,IF(E44&lt;H44,C44,"Tie"))</x:f>
        <x:v>Craig</x:v>
      </x:c>
      <x:c r="K44" s="2" t="n">
        <x:f>IF(E44=H44,1,0)</x:f>
        <x:v>0</x:v>
      </x:c>
      <x:c r="L44" s="2" t="str">
        <x:v>Craig / Paul</x:v>
      </x:c>
      <x:c r="M44" t="str"/>
      <x:c r="N44" t="str">
        <x:v>Supplied</x:v>
      </x:c>
    </x:row>
    <x:row r="45" ht="22" customHeight="1">
      <x:c r="A45" s="2" t="n">
        <x:v>4</x:v>
      </x:c>
      <x:c r="B45" s="2" t="str">
        <x:v>Regular</x:v>
      </x:c>
      <x:c r="C45" s="2" t="str">
        <x:v>Ed</x:v>
      </x:c>
      <x:c r="D45" s="2" t="str">
        <x:v>Club Eroticas Finest</x:v>
      </x:c>
      <x:c r="E45" s="15" t="n">
        <x:v>69</x:v>
      </x:c>
      <x:c r="F45" s="2" t="str">
        <x:v>Taylor</x:v>
      </x:c>
      <x:c r="G45" s="2" t="str">
        <x:v>BILLY BALD-ASS</x:v>
      </x:c>
      <x:c r="H45" s="15" t="n">
        <x:v>82</x:v>
      </x:c>
      <x:c r="I45" s="2" t="str">
        <x:f>IF(E45&gt;H45,C45,IF(E45&lt;H45,F45,"Tie"))</x:f>
        <x:v>Taylor</x:v>
      </x:c>
      <x:c r="J45" s="2" t="str">
        <x:f>IF(E45&gt;H45,F45,IF(E45&lt;H45,C45,"Tie"))</x:f>
        <x:v>Ed</x:v>
      </x:c>
      <x:c r="K45" s="2" t="n">
        <x:f>IF(E45=H45,1,0)</x:f>
        <x:v>0</x:v>
      </x:c>
      <x:c r="L45" s="2" t="str">
        <x:v>Ed / Taylor</x:v>
      </x:c>
      <x:c r="M45" t="str"/>
      <x:c r="N45" t="str">
        <x:v>Supplied</x:v>
      </x:c>
    </x:row>
    <x:row r="46" ht="22" customHeight="1">
      <x:c r="A46" s="2" t="n">
        <x:v>4</x:v>
      </x:c>
      <x:c r="B46" s="2" t="str">
        <x:v>Regular</x:v>
      </x:c>
      <x:c r="C46" s="2" t="str">
        <x:v>Chas</x:v>
      </x:c>
      <x:c r="D46" s="2" t="str">
        <x:v>Team chas</x:v>
      </x:c>
      <x:c r="E46" s="15" t="n">
        <x:v>127</x:v>
      </x:c>
      <x:c r="F46" s="2" t="str">
        <x:v>Matt</x:v>
      </x:c>
      <x:c r="G46" s="2" t="str">
        <x:v>Craig Gregor</x:v>
      </x:c>
      <x:c r="H46" s="15" t="n">
        <x:v>103</x:v>
      </x:c>
      <x:c r="I46" s="2" t="str">
        <x:f>IF(E46&gt;H46,C46,IF(E46&lt;H46,F46,"Tie"))</x:f>
        <x:v>Chas</x:v>
      </x:c>
      <x:c r="J46" s="2" t="str">
        <x:f>IF(E46&gt;H46,F46,IF(E46&lt;H46,C46,"Tie"))</x:f>
        <x:v>Matt</x:v>
      </x:c>
      <x:c r="K46" s="2" t="n">
        <x:f>IF(E46=H46,1,0)</x:f>
        <x:v>0</x:v>
      </x:c>
      <x:c r="L46" s="2" t="str">
        <x:v>Chas / Matt</x:v>
      </x:c>
      <x:c r="M46" t="str"/>
      <x:c r="N46" t="str">
        <x:v>Supplied</x:v>
      </x:c>
    </x:row>
    <x:row r="47" ht="22" customHeight="1">
      <x:c r="A47" s="2" t="n">
        <x:v>4</x:v>
      </x:c>
      <x:c r="B47" s="2" t="str">
        <x:v>Regular</x:v>
      </x:c>
      <x:c r="C47" s="2" t="str">
        <x:v>Mike</x:v>
      </x:c>
      <x:c r="D47" s="2" t="str">
        <x:v>Torn ACL's</x:v>
      </x:c>
      <x:c r="E47" s="15" t="n">
        <x:v>143</x:v>
      </x:c>
      <x:c r="F47" s="2" t="str">
        <x:v>Mark</x:v>
      </x:c>
      <x:c r="G47" s="2" t="str">
        <x:v>wacky waving arms</x:v>
      </x:c>
      <x:c r="H47" s="15" t="n">
        <x:v>122</x:v>
      </x:c>
      <x:c r="I47" s="2" t="str">
        <x:f>IF(E47&gt;H47,C47,IF(E47&lt;H47,F47,"Tie"))</x:f>
        <x:v>Mike</x:v>
      </x:c>
      <x:c r="J47" s="2" t="str">
        <x:f>IF(E47&gt;H47,F47,IF(E47&lt;H47,C47,"Tie"))</x:f>
        <x:v>Mark</x:v>
      </x:c>
      <x:c r="K47" s="2" t="n">
        <x:f>IF(E47=H47,1,0)</x:f>
        <x:v>0</x:v>
      </x:c>
      <x:c r="L47" s="2" t="str">
        <x:v>Mark / Mike</x:v>
      </x:c>
      <x:c r="M47" t="str"/>
      <x:c r="N47" t="str">
        <x:v>Supplied</x:v>
      </x:c>
    </x:row>
    <x:row r="48" ht="22" customHeight="1">
      <x:c r="A48" s="2" t="n">
        <x:v>5</x:v>
      </x:c>
      <x:c r="B48" s="2" t="str">
        <x:v>Regular</x:v>
      </x:c>
      <x:c r="C48" s="2" t="str">
        <x:v>Andrew</x:v>
      </x:c>
      <x:c r="D48" s="2" t="str">
        <x:v>Hilton Head SC</x:v>
      </x:c>
      <x:c r="E48" s="15" t="n">
        <x:v>136</x:v>
      </x:c>
      <x:c r="F48" s="2" t="str">
        <x:v>Craig</x:v>
      </x:c>
      <x:c r="G48" s="2" t="str">
        <x:v>The Ants Marching</x:v>
      </x:c>
      <x:c r="H48" s="15" t="n">
        <x:v>110</x:v>
      </x:c>
      <x:c r="I48" s="2" t="str">
        <x:f>IF(E48&gt;H48,C48,IF(E48&lt;H48,F48,"Tie"))</x:f>
        <x:v>Andrew</x:v>
      </x:c>
      <x:c r="J48" s="2" t="str">
        <x:f>IF(E48&gt;H48,F48,IF(E48&lt;H48,C48,"Tie"))</x:f>
        <x:v>Craig</x:v>
      </x:c>
      <x:c r="K48" s="2" t="n">
        <x:f>IF(E48=H48,1,0)</x:f>
        <x:v>0</x:v>
      </x:c>
      <x:c r="L48" s="2" t="str">
        <x:v>Andrew / Craig</x:v>
      </x:c>
      <x:c r="M48" t="str"/>
      <x:c r="N48" t="str">
        <x:v>Supplied</x:v>
      </x:c>
    </x:row>
    <x:row r="49" ht="22" customHeight="1">
      <x:c r="A49" s="2" t="n">
        <x:v>5</x:v>
      </x:c>
      <x:c r="B49" s="2" t="str">
        <x:v>Regular</x:v>
      </x:c>
      <x:c r="C49" s="2" t="str">
        <x:v>Bruce</x:v>
      </x:c>
      <x:c r="D49" s="2" t="str">
        <x:v>The Storm</x:v>
      </x:c>
      <x:c r="E49" s="15" t="n">
        <x:v>59</x:v>
      </x:c>
      <x:c r="F49" s="2" t="str">
        <x:v>Mike</x:v>
      </x:c>
      <x:c r="G49" s="2" t="str">
        <x:v>Torn ACL's</x:v>
      </x:c>
      <x:c r="H49" s="15" t="n">
        <x:v>116</x:v>
      </x:c>
      <x:c r="I49" s="2" t="str">
        <x:f>IF(E49&gt;H49,C49,IF(E49&lt;H49,F49,"Tie"))</x:f>
        <x:v>Mike</x:v>
      </x:c>
      <x:c r="J49" s="2" t="str">
        <x:f>IF(E49&gt;H49,F49,IF(E49&lt;H49,C49,"Tie"))</x:f>
        <x:v>Bruce</x:v>
      </x:c>
      <x:c r="K49" s="2" t="n">
        <x:f>IF(E49=H49,1,0)</x:f>
        <x:v>0</x:v>
      </x:c>
      <x:c r="L49" s="2" t="str">
        <x:v>Bruce / Mike</x:v>
      </x:c>
      <x:c r="M49" t="str"/>
      <x:c r="N49" t="str">
        <x:v>Supplied</x:v>
      </x:c>
    </x:row>
    <x:row r="50" ht="22" customHeight="1">
      <x:c r="A50" s="2" t="n">
        <x:v>5</x:v>
      </x:c>
      <x:c r="B50" s="2" t="str">
        <x:v>Regular</x:v>
      </x:c>
      <x:c r="C50" s="2" t="str">
        <x:v>Ed</x:v>
      </x:c>
      <x:c r="D50" s="2" t="str">
        <x:v>Club Eroticas Finest</x:v>
      </x:c>
      <x:c r="E50" s="15" t="n">
        <x:v>84</x:v>
      </x:c>
      <x:c r="F50" s="2" t="str">
        <x:v>James B.</x:v>
      </x:c>
      <x:c r="G50" s="2" t="str">
        <x:v>The Entourage</x:v>
      </x:c>
      <x:c r="H50" s="15" t="n">
        <x:v>112</x:v>
      </x:c>
      <x:c r="I50" s="2" t="str">
        <x:f>IF(E50&gt;H50,C50,IF(E50&lt;H50,F50,"Tie"))</x:f>
        <x:v>James B.</x:v>
      </x:c>
      <x:c r="J50" s="2" t="str">
        <x:f>IF(E50&gt;H50,F50,IF(E50&lt;H50,C50,"Tie"))</x:f>
        <x:v>Ed</x:v>
      </x:c>
      <x:c r="K50" s="2" t="n">
        <x:f>IF(E50=H50,1,0)</x:f>
        <x:v>0</x:v>
      </x:c>
      <x:c r="L50" s="2" t="str">
        <x:v>Ed / James B.</x:v>
      </x:c>
      <x:c r="M50" t="str"/>
      <x:c r="N50" t="str">
        <x:v>Supplied</x:v>
      </x:c>
    </x:row>
    <x:row r="51" ht="22" customHeight="1">
      <x:c r="A51" s="2" t="n">
        <x:v>5</x:v>
      </x:c>
      <x:c r="B51" s="2" t="str">
        <x:v>Regular</x:v>
      </x:c>
      <x:c r="C51" s="2" t="str">
        <x:v>Chas</x:v>
      </x:c>
      <x:c r="D51" s="2" t="str">
        <x:v>Team chas</x:v>
      </x:c>
      <x:c r="E51" s="15" t="n">
        <x:v>94</x:v>
      </x:c>
      <x:c r="F51" s="2" t="str">
        <x:v>Taylor</x:v>
      </x:c>
      <x:c r="G51" s="2" t="str">
        <x:v>BILLY BALD-ASS</x:v>
      </x:c>
      <x:c r="H51" s="15" t="n">
        <x:v>118</x:v>
      </x:c>
      <x:c r="I51" s="2" t="str">
        <x:f>IF(E51&gt;H51,C51,IF(E51&lt;H51,F51,"Tie"))</x:f>
        <x:v>Taylor</x:v>
      </x:c>
      <x:c r="J51" s="2" t="str">
        <x:f>IF(E51&gt;H51,F51,IF(E51&lt;H51,C51,"Tie"))</x:f>
        <x:v>Chas</x:v>
      </x:c>
      <x:c r="K51" s="2" t="n">
        <x:f>IF(E51=H51,1,0)</x:f>
        <x:v>0</x:v>
      </x:c>
      <x:c r="L51" s="2" t="str">
        <x:v>Chas / Taylor</x:v>
      </x:c>
      <x:c r="M51" t="str"/>
      <x:c r="N51" t="str">
        <x:v>Supplied</x:v>
      </x:c>
    </x:row>
    <x:row r="52" ht="22" customHeight="1">
      <x:c r="A52" s="2" t="n">
        <x:v>5</x:v>
      </x:c>
      <x:c r="B52" s="2" t="str">
        <x:v>Regular</x:v>
      </x:c>
      <x:c r="C52" s="2" t="str">
        <x:v>Josh</x:v>
      </x:c>
      <x:c r="D52" s="2" t="str">
        <x:v>The Markgregors</x:v>
      </x:c>
      <x:c r="E52" s="15" t="n">
        <x:v>142</x:v>
      </x:c>
      <x:c r="F52" s="2" t="str">
        <x:v>Matt</x:v>
      </x:c>
      <x:c r="G52" s="2" t="str">
        <x:v>Craig Gregor</x:v>
      </x:c>
      <x:c r="H52" s="15" t="n">
        <x:v>105</x:v>
      </x:c>
      <x:c r="I52" s="2" t="str">
        <x:f>IF(E52&gt;H52,C52,IF(E52&lt;H52,F52,"Tie"))</x:f>
        <x:v>Josh</x:v>
      </x:c>
      <x:c r="J52" s="2" t="str">
        <x:f>IF(E52&gt;H52,F52,IF(E52&lt;H52,C52,"Tie"))</x:f>
        <x:v>Matt</x:v>
      </x:c>
      <x:c r="K52" s="2" t="n">
        <x:f>IF(E52=H52,1,0)</x:f>
        <x:v>0</x:v>
      </x:c>
      <x:c r="L52" s="2" t="str">
        <x:v>Josh / Matt</x:v>
      </x:c>
      <x:c r="M52" t="str"/>
      <x:c r="N52" t="str">
        <x:v>Supplied</x:v>
      </x:c>
    </x:row>
    <x:row r="53" ht="22" customHeight="1">
      <x:c r="A53" s="2" t="n">
        <x:v>5</x:v>
      </x:c>
      <x:c r="B53" s="2" t="str">
        <x:v>Regular</x:v>
      </x:c>
      <x:c r="C53" s="2" t="str">
        <x:v>Mark</x:v>
      </x:c>
      <x:c r="D53" s="2" t="str">
        <x:v>wacky waving arms</x:v>
      </x:c>
      <x:c r="E53" s="15" t="n">
        <x:v>74</x:v>
      </x:c>
      <x:c r="F53" s="2" t="str">
        <x:v>Paul</x:v>
      </x:c>
      <x:c r="G53" s="2" t="str">
        <x:v>Paul's Team</x:v>
      </x:c>
      <x:c r="H53" s="15" t="n">
        <x:v>86</x:v>
      </x:c>
      <x:c r="I53" s="2" t="str">
        <x:f>IF(E53&gt;H53,C53,IF(E53&lt;H53,F53,"Tie"))</x:f>
        <x:v>Paul</x:v>
      </x:c>
      <x:c r="J53" s="2" t="str">
        <x:f>IF(E53&gt;H53,F53,IF(E53&lt;H53,C53,"Tie"))</x:f>
        <x:v>Mark</x:v>
      </x:c>
      <x:c r="K53" s="2" t="n">
        <x:f>IF(E53=H53,1,0)</x:f>
        <x:v>0</x:v>
      </x:c>
      <x:c r="L53" s="2" t="str">
        <x:v>Mark / Paul</x:v>
      </x:c>
      <x:c r="M53" t="str"/>
      <x:c r="N53" t="str">
        <x:v>Supplied</x:v>
      </x:c>
    </x:row>
    <x:row r="54" ht="22" customHeight="1">
      <x:c r="A54" s="2" t="n">
        <x:v>6</x:v>
      </x:c>
      <x:c r="B54" s="2" t="str">
        <x:v>Regular</x:v>
      </x:c>
      <x:c r="C54" s="2" t="str">
        <x:v>Andrew</x:v>
      </x:c>
      <x:c r="D54" s="2" t="str">
        <x:v>Hilton Head SC</x:v>
      </x:c>
      <x:c r="E54" s="15" t="n">
        <x:v>152</x:v>
      </x:c>
      <x:c r="F54" s="2" t="str">
        <x:v>Bruce</x:v>
      </x:c>
      <x:c r="G54" s="2" t="str">
        <x:v>The Storm</x:v>
      </x:c>
      <x:c r="H54" s="15" t="n">
        <x:v>86</x:v>
      </x:c>
      <x:c r="I54" s="2" t="str">
        <x:f>IF(E54&gt;H54,C54,IF(E54&lt;H54,F54,"Tie"))</x:f>
        <x:v>Andrew</x:v>
      </x:c>
      <x:c r="J54" s="2" t="str">
        <x:f>IF(E54&gt;H54,F54,IF(E54&lt;H54,C54,"Tie"))</x:f>
        <x:v>Bruce</x:v>
      </x:c>
      <x:c r="K54" s="2" t="n">
        <x:f>IF(E54=H54,1,0)</x:f>
        <x:v>0</x:v>
      </x:c>
      <x:c r="L54" s="2" t="str">
        <x:v>Andrew / Bruce</x:v>
      </x:c>
      <x:c r="M54" t="str"/>
      <x:c r="N54" t="str">
        <x:v>Supplied</x:v>
      </x:c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122</x:v>
      </x:c>
      <x:c r="F55" s="2" t="str">
        <x:v>Josh</x:v>
      </x:c>
      <x:c r="G55" s="2" t="str">
        <x:v>The Markgregors</x:v>
      </x:c>
      <x:c r="H55" s="15" t="n">
        <x:v>141</x:v>
      </x:c>
      <x:c r="I55" s="2" t="str">
        <x:f>IF(E55&gt;H55,C55,IF(E55&lt;H55,F55,"Tie"))</x:f>
        <x:v>Josh</x:v>
      </x:c>
      <x:c r="J55" s="2" t="str">
        <x:f>IF(E55&gt;H55,F55,IF(E55&lt;H55,C55,"Tie"))</x:f>
        <x:v>Craig</x:v>
      </x:c>
      <x:c r="K55" s="2" t="n">
        <x:f>IF(E55=H55,1,0)</x:f>
        <x:v>0</x:v>
      </x:c>
      <x:c r="L55" s="2" t="str">
        <x:v>Craig / Josh</x:v>
      </x:c>
      <x:c r="M55" t="str"/>
      <x:c r="N55" t="str">
        <x:v>Supplied</x:v>
      </x:c>
    </x:row>
    <x:row r="56" ht="22" customHeight="1">
      <x:c r="A56" s="2" t="n">
        <x:v>6</x:v>
      </x:c>
      <x:c r="B56" s="2" t="str">
        <x:v>Regular</x:v>
      </x:c>
      <x:c r="C56" s="2" t="str">
        <x:v>Ed</x:v>
      </x:c>
      <x:c r="D56" s="2" t="str">
        <x:v>Club Eroticas Finest</x:v>
      </x:c>
      <x:c r="E56" s="15" t="n">
        <x:v>94</x:v>
      </x:c>
      <x:c r="F56" s="2" t="str">
        <x:v>Paul</x:v>
      </x:c>
      <x:c r="G56" s="2" t="str">
        <x:v>Paul's Team</x:v>
      </x:c>
      <x:c r="H56" s="15" t="n">
        <x:v>88</x:v>
      </x:c>
      <x:c r="I56" s="2" t="str">
        <x:f>IF(E56&gt;H56,C56,IF(E56&lt;H56,F56,"Tie"))</x:f>
        <x:v>Ed</x:v>
      </x:c>
      <x:c r="J56" s="2" t="str">
        <x:f>IF(E56&gt;H56,F56,IF(E56&lt;H56,C56,"Tie"))</x:f>
        <x:v>Paul</x:v>
      </x:c>
      <x:c r="K56" s="2" t="n">
        <x:f>IF(E56=H56,1,0)</x:f>
        <x:v>0</x:v>
      </x:c>
      <x:c r="L56" s="2" t="str">
        <x:v>Ed / Paul</x:v>
      </x:c>
      <x:c r="M56" t="str"/>
      <x:c r="N56" t="str">
        <x:v>Supplied</x:v>
      </x:c>
    </x:row>
    <x:row r="57" ht="22" customHeight="1">
      <x:c r="A57" s="2" t="n">
        <x:v>6</x:v>
      </x:c>
      <x:c r="B57" s="2" t="str">
        <x:v>Regular</x:v>
      </x:c>
      <x:c r="C57" s="2" t="str">
        <x:v>Chas</x:v>
      </x:c>
      <x:c r="D57" s="2" t="str">
        <x:v>Team chas</x:v>
      </x:c>
      <x:c r="E57" s="15" t="n">
        <x:v>97</x:v>
      </x:c>
      <x:c r="F57" s="2" t="str">
        <x:v>James B.</x:v>
      </x:c>
      <x:c r="G57" s="2" t="str">
        <x:v>The Entourage</x:v>
      </x:c>
      <x:c r="H57" s="15" t="n">
        <x:v>106</x:v>
      </x:c>
      <x:c r="I57" s="2" t="str">
        <x:f>IF(E57&gt;H57,C57,IF(E57&lt;H57,F57,"Tie"))</x:f>
        <x:v>James B.</x:v>
      </x:c>
      <x:c r="J57" s="2" t="str">
        <x:f>IF(E57&gt;H57,F57,IF(E57&lt;H57,C57,"Tie"))</x:f>
        <x:v>Chas</x:v>
      </x:c>
      <x:c r="K57" s="2" t="n">
        <x:f>IF(E57=H57,1,0)</x:f>
        <x:v>0</x:v>
      </x:c>
      <x:c r="L57" s="2" t="str">
        <x:v>Chas / James B.</x:v>
      </x:c>
      <x:c r="M57" t="str"/>
      <x:c r="N57" t="str">
        <x:v>Supplied</x:v>
      </x:c>
    </x:row>
    <x:row r="58" ht="22" customHeight="1">
      <x:c r="A58" s="2" t="n">
        <x:v>6</x:v>
      </x:c>
      <x:c r="B58" s="2" t="str">
        <x:v>Regular</x:v>
      </x:c>
      <x:c r="C58" s="2" t="str">
        <x:v>Mike</x:v>
      </x:c>
      <x:c r="D58" s="2" t="str">
        <x:v>Torn ACL's</x:v>
      </x:c>
      <x:c r="E58" s="15" t="n">
        <x:v>89</x:v>
      </x:c>
      <x:c r="F58" s="2" t="str">
        <x:v>Taylor</x:v>
      </x:c>
      <x:c r="G58" s="2" t="str">
        <x:v>BILLY BALD-ASS</x:v>
      </x:c>
      <x:c r="H58" s="15" t="n">
        <x:v>127</x:v>
      </x:c>
      <x:c r="I58" s="2" t="str">
        <x:f>IF(E58&gt;H58,C58,IF(E58&lt;H58,F58,"Tie"))</x:f>
        <x:v>Taylor</x:v>
      </x:c>
      <x:c r="J58" s="2" t="str">
        <x:f>IF(E58&gt;H58,F58,IF(E58&lt;H58,C58,"Tie"))</x:f>
        <x:v>Mike</x:v>
      </x:c>
      <x:c r="K58" s="2" t="n">
        <x:f>IF(E58=H58,1,0)</x:f>
        <x:v>0</x:v>
      </x:c>
      <x:c r="L58" s="2" t="str">
        <x:v>Mike / Taylor</x:v>
      </x:c>
      <x:c r="M58" t="str"/>
      <x:c r="N58" t="str">
        <x:v>Supplied</x:v>
      </x:c>
    </x:row>
    <x:row r="59" ht="22" customHeight="1">
      <x:c r="A59" s="2" t="n">
        <x:v>6</x:v>
      </x:c>
      <x:c r="B59" s="2" t="str">
        <x:v>Regular</x:v>
      </x:c>
      <x:c r="C59" s="2" t="str">
        <x:v>Mark</x:v>
      </x:c>
      <x:c r="D59" s="2" t="str">
        <x:v>wacky waving arms</x:v>
      </x:c>
      <x:c r="E59" s="15" t="n">
        <x:v>119</x:v>
      </x:c>
      <x:c r="F59" s="2" t="str">
        <x:v>Matt</x:v>
      </x:c>
      <x:c r="G59" s="2" t="str">
        <x:v>Craig Gregor</x:v>
      </x:c>
      <x:c r="H59" s="15" t="n">
        <x:v>101</x:v>
      </x:c>
      <x:c r="I59" s="2" t="str">
        <x:f>IF(E59&gt;H59,C59,IF(E59&lt;H59,F59,"Tie"))</x:f>
        <x:v>Mark</x:v>
      </x:c>
      <x:c r="J59" s="2" t="str">
        <x:f>IF(E59&gt;H59,F59,IF(E59&lt;H59,C59,"Tie"))</x:f>
        <x:v>Matt</x:v>
      </x:c>
      <x:c r="K59" s="2" t="n">
        <x:f>IF(E59=H59,1,0)</x:f>
        <x:v>0</x:v>
      </x:c>
      <x:c r="L59" s="2" t="str">
        <x:v>Mark / Matt</x:v>
      </x:c>
      <x:c r="M59" t="str"/>
      <x:c r="N59" t="str">
        <x:v>Supplied</x:v>
      </x:c>
    </x:row>
    <x:row r="60" ht="22" customHeight="1">
      <x:c r="A60" s="2" t="n">
        <x:v>7</x:v>
      </x:c>
      <x:c r="B60" s="2" t="str">
        <x:v>Regular</x:v>
      </x:c>
      <x:c r="C60" s="2" t="str">
        <x:v>Andrew</x:v>
      </x:c>
      <x:c r="D60" s="2" t="str">
        <x:v>Hilton Head SC</x:v>
      </x:c>
      <x:c r="E60" s="15" t="n">
        <x:v>110</x:v>
      </x:c>
      <x:c r="F60" s="2" t="str">
        <x:v>Chas</x:v>
      </x:c>
      <x:c r="G60" s="2" t="str">
        <x:v>Team chas</x:v>
      </x:c>
      <x:c r="H60" s="15" t="n">
        <x:v>78</x:v>
      </x:c>
      <x:c r="I60" s="2" t="str">
        <x:f>IF(E60&gt;H60,C60,IF(E60&lt;H60,F60,"Tie"))</x:f>
        <x:v>Andrew</x:v>
      </x:c>
      <x:c r="J60" s="2" t="str">
        <x:f>IF(E60&gt;H60,F60,IF(E60&lt;H60,C60,"Tie"))</x:f>
        <x:v>Chas</x:v>
      </x:c>
      <x:c r="K60" s="2" t="n">
        <x:f>IF(E60=H60,1,0)</x:f>
        <x:v>0</x:v>
      </x:c>
      <x:c r="L60" s="2" t="str">
        <x:v>Andrew / Chas</x:v>
      </x:c>
      <x:c r="M60" t="str"/>
      <x:c r="N60" t="str">
        <x:v>Supplied</x:v>
      </x:c>
    </x:row>
    <x:row r="61" ht="22" customHeight="1">
      <x:c r="A61" s="2" t="n">
        <x:v>7</x:v>
      </x:c>
      <x:c r="B61" s="2" t="str">
        <x:v>Regular</x:v>
      </x:c>
      <x:c r="C61" s="2" t="str">
        <x:v>Bruce</x:v>
      </x:c>
      <x:c r="D61" s="2" t="str">
        <x:v>The Storm</x:v>
      </x:c>
      <x:c r="E61" s="15" t="n">
        <x:v>78</x:v>
      </x:c>
      <x:c r="F61" s="2" t="str">
        <x:v>Ed</x:v>
      </x:c>
      <x:c r="G61" s="2" t="str">
        <x:v>Club Eroticas Finest</x:v>
      </x:c>
      <x:c r="H61" s="15" t="n">
        <x:v>127</x:v>
      </x:c>
      <x:c r="I61" s="2" t="str">
        <x:f>IF(E61&gt;H61,C61,IF(E61&lt;H61,F61,"Tie"))</x:f>
        <x:v>Ed</x:v>
      </x:c>
      <x:c r="J61" s="2" t="str">
        <x:f>IF(E61&gt;H61,F61,IF(E61&lt;H61,C61,"Tie"))</x:f>
        <x:v>Bruce</x:v>
      </x:c>
      <x:c r="K61" s="2" t="n">
        <x:f>IF(E61=H61,1,0)</x:f>
        <x:v>0</x:v>
      </x:c>
      <x:c r="L61" s="2" t="str">
        <x:v>Bruce / Ed</x:v>
      </x:c>
      <x:c r="M61" t="str"/>
      <x:c r="N61" t="str">
        <x:v>Supplied</x:v>
      </x:c>
    </x:row>
    <x:row r="62" ht="22" customHeight="1">
      <x:c r="A62" s="2" t="n">
        <x:v>7</x:v>
      </x:c>
      <x:c r="B62" s="2" t="str">
        <x:v>Regular</x:v>
      </x:c>
      <x:c r="C62" s="2" t="str">
        <x:v>Craig</x:v>
      </x:c>
      <x:c r="D62" s="2" t="str">
        <x:v>The Ants Marching</x:v>
      </x:c>
      <x:c r="E62" s="15" t="n">
        <x:v>156</x:v>
      </x:c>
      <x:c r="F62" s="2" t="str">
        <x:v>James B.</x:v>
      </x:c>
      <x:c r="G62" s="2" t="str">
        <x:v>The Entourage</x:v>
      </x:c>
      <x:c r="H62" s="15" t="n">
        <x:v>99</x:v>
      </x:c>
      <x:c r="I62" s="2" t="str">
        <x:f>IF(E62&gt;H62,C62,IF(E62&lt;H62,F62,"Tie"))</x:f>
        <x:v>Craig</x:v>
      </x:c>
      <x:c r="J62" s="2" t="str">
        <x:f>IF(E62&gt;H62,F62,IF(E62&lt;H62,C62,"Tie"))</x:f>
        <x:v>James B.</x:v>
      </x:c>
      <x:c r="K62" s="2" t="n">
        <x:f>IF(E62=H62,1,0)</x:f>
        <x:v>0</x:v>
      </x:c>
      <x:c r="L62" s="2" t="str">
        <x:v>Craig / James B.</x:v>
      </x:c>
      <x:c r="M62" t="str"/>
      <x:c r="N62" t="str">
        <x:v>Supplied</x:v>
      </x:c>
    </x:row>
    <x:row r="63" ht="22" customHeight="1">
      <x:c r="A63" s="2" t="n">
        <x:v>7</x:v>
      </x:c>
      <x:c r="B63" s="2" t="str">
        <x:v>Regular</x:v>
      </x:c>
      <x:c r="C63" s="2" t="str">
        <x:v>Mike</x:v>
      </x:c>
      <x:c r="D63" s="2" t="str">
        <x:v>Torn ACL's</x:v>
      </x:c>
      <x:c r="E63" s="15" t="n">
        <x:v>129</x:v>
      </x:c>
      <x:c r="F63" s="2" t="str">
        <x:v>Josh</x:v>
      </x:c>
      <x:c r="G63" s="2" t="str">
        <x:v>The Markgregors</x:v>
      </x:c>
      <x:c r="H63" s="15" t="n">
        <x:v>113</x:v>
      </x:c>
      <x:c r="I63" s="2" t="str">
        <x:f>IF(E63&gt;H63,C63,IF(E63&lt;H63,F63,"Tie"))</x:f>
        <x:v>Mike</x:v>
      </x:c>
      <x:c r="J63" s="2" t="str">
        <x:f>IF(E63&gt;H63,F63,IF(E63&lt;H63,C63,"Tie"))</x:f>
        <x:v>Josh</x:v>
      </x:c>
      <x:c r="K63" s="2" t="n">
        <x:f>IF(E63=H63,1,0)</x:f>
        <x:v>0</x:v>
      </x:c>
      <x:c r="L63" s="2" t="str">
        <x:v>Josh / Mike</x:v>
      </x:c>
      <x:c r="M63" t="str"/>
      <x:c r="N63" t="str">
        <x:v>Supplied</x:v>
      </x:c>
    </x:row>
    <x:row r="64" ht="22" customHeight="1">
      <x:c r="A64" s="2" t="n">
        <x:v>7</x:v>
      </x:c>
      <x:c r="B64" s="2" t="str">
        <x:v>Regular</x:v>
      </x:c>
      <x:c r="C64" s="2" t="str">
        <x:v>Mark</x:v>
      </x:c>
      <x:c r="D64" s="2" t="str">
        <x:v>wacky waving arms</x:v>
      </x:c>
      <x:c r="E64" s="15" t="n">
        <x:v>79</x:v>
      </x:c>
      <x:c r="F64" s="2" t="str">
        <x:v>Taylor</x:v>
      </x:c>
      <x:c r="G64" s="2" t="str">
        <x:v>BILLY BALD-ASS</x:v>
      </x:c>
      <x:c r="H64" s="15" t="n">
        <x:v>99</x:v>
      </x:c>
      <x:c r="I64" s="2" t="str">
        <x:f>IF(E64&gt;H64,C64,IF(E64&lt;H64,F64,"Tie"))</x:f>
        <x:v>Taylor</x:v>
      </x:c>
      <x:c r="J64" s="2" t="str">
        <x:f>IF(E64&gt;H64,F64,IF(E64&lt;H64,C64,"Tie"))</x:f>
        <x:v>Mark</x:v>
      </x:c>
      <x:c r="K64" s="2" t="n">
        <x:f>IF(E64=H64,1,0)</x:f>
        <x:v>0</x:v>
      </x:c>
      <x:c r="L64" s="2" t="str">
        <x:v>Mark / Taylor</x:v>
      </x:c>
      <x:c r="M64" t="str"/>
      <x:c r="N64" t="str">
        <x:v>Supplied</x:v>
      </x:c>
    </x:row>
    <x:row r="65" ht="22" customHeight="1">
      <x:c r="A65" s="2" t="n">
        <x:v>7</x:v>
      </x:c>
      <x:c r="B65" s="2" t="str">
        <x:v>Regular</x:v>
      </x:c>
      <x:c r="C65" s="2" t="str">
        <x:v>Paul</x:v>
      </x:c>
      <x:c r="D65" s="2" t="str">
        <x:v>Paul's Team</x:v>
      </x:c>
      <x:c r="E65" s="15" t="n">
        <x:v>116</x:v>
      </x:c>
      <x:c r="F65" s="2" t="str">
        <x:v>Matt</x:v>
      </x:c>
      <x:c r="G65" s="2" t="str">
        <x:v>Craig Gregor</x:v>
      </x:c>
      <x:c r="H65" s="15" t="n">
        <x:v>121</x:v>
      </x:c>
      <x:c r="I65" s="2" t="str">
        <x:f>IF(E65&gt;H65,C65,IF(E65&lt;H65,F65,"Tie"))</x:f>
        <x:v>Matt</x:v>
      </x:c>
      <x:c r="J65" s="2" t="str">
        <x:f>IF(E65&gt;H65,F65,IF(E65&lt;H65,C65,"Tie"))</x:f>
        <x:v>Paul</x:v>
      </x:c>
      <x:c r="K65" s="2" t="n">
        <x:f>IF(E65=H65,1,0)</x:f>
        <x:v>0</x:v>
      </x:c>
      <x:c r="L65" s="2" t="str">
        <x:v>Matt / Paul</x:v>
      </x:c>
      <x:c r="M65" t="str"/>
      <x:c r="N65" t="str">
        <x:v>Supplied</x:v>
      </x:c>
    </x:row>
    <x:row r="66" ht="22" customHeight="1">
      <x:c r="A66" s="2" t="n">
        <x:v>8</x:v>
      </x:c>
      <x:c r="B66" s="2" t="str">
        <x:v>Regular</x:v>
      </x:c>
      <x:c r="C66" s="2" t="str">
        <x:v>Andrew</x:v>
      </x:c>
      <x:c r="D66" s="2" t="str">
        <x:v>Hilton Head SC</x:v>
      </x:c>
      <x:c r="E66" s="15" t="n">
        <x:v>102</x:v>
      </x:c>
      <x:c r="F66" s="2" t="str">
        <x:v>Ed</x:v>
      </x:c>
      <x:c r="G66" s="2" t="str">
        <x:v>Club Eroticas Finest</x:v>
      </x:c>
      <x:c r="H66" s="15" t="n">
        <x:v>90</x:v>
      </x:c>
      <x:c r="I66" s="2" t="str">
        <x:f>IF(E66&gt;H66,C66,IF(E66&lt;H66,F66,"Tie"))</x:f>
        <x:v>Andrew</x:v>
      </x:c>
      <x:c r="J66" s="2" t="str">
        <x:f>IF(E66&gt;H66,F66,IF(E66&lt;H66,C66,"Tie"))</x:f>
        <x:v>Ed</x:v>
      </x:c>
      <x:c r="K66" s="2" t="n">
        <x:f>IF(E66=H66,1,0)</x:f>
        <x:v>0</x:v>
      </x:c>
      <x:c r="L66" s="2" t="str">
        <x:v>Andrew / Ed</x:v>
      </x:c>
      <x:c r="M66" t="str"/>
      <x:c r="N66" t="str">
        <x:v>Supplied</x:v>
      </x:c>
    </x:row>
    <x:row r="67" ht="22" customHeight="1">
      <x:c r="A67" s="2" t="n">
        <x:v>8</x:v>
      </x:c>
      <x:c r="B67" s="2" t="str">
        <x:v>Regular</x:v>
      </x:c>
      <x:c r="C67" s="2" t="str">
        <x:v>Bruce</x:v>
      </x:c>
      <x:c r="D67" s="2" t="str">
        <x:v>The Storm</x:v>
      </x:c>
      <x:c r="E67" s="15" t="n">
        <x:v>120</x:v>
      </x:c>
      <x:c r="F67" s="2" t="str">
        <x:v>Matt</x:v>
      </x:c>
      <x:c r="G67" s="2" t="str">
        <x:v>Craig Gregor</x:v>
      </x:c>
      <x:c r="H67" s="15" t="n">
        <x:v>104</x:v>
      </x:c>
      <x:c r="I67" s="2" t="str">
        <x:f>IF(E67&gt;H67,C67,IF(E67&lt;H67,F67,"Tie"))</x:f>
        <x:v>Bruce</x:v>
      </x:c>
      <x:c r="J67" s="2" t="str">
        <x:f>IF(E67&gt;H67,F67,IF(E67&lt;H67,C67,"Tie"))</x:f>
        <x:v>Matt</x:v>
      </x:c>
      <x:c r="K67" s="2" t="n">
        <x:f>IF(E67=H67,1,0)</x:f>
        <x:v>0</x:v>
      </x:c>
      <x:c r="L67" s="2" t="str">
        <x:v>Bruce / Matt</x:v>
      </x:c>
      <x:c r="M67" t="str"/>
      <x:c r="N67" t="str">
        <x:v>Supplied</x:v>
      </x:c>
    </x:row>
    <x:row r="68" ht="22" customHeight="1">
      <x:c r="A68" s="2" t="n">
        <x:v>8</x:v>
      </x:c>
      <x:c r="B68" s="2" t="str">
        <x:v>Regular</x:v>
      </x:c>
      <x:c r="C68" s="2" t="str">
        <x:v>Craig</x:v>
      </x:c>
      <x:c r="D68" s="2" t="str">
        <x:v>The Ants Marching</x:v>
      </x:c>
      <x:c r="E68" s="15" t="n">
        <x:v>100</x:v>
      </x:c>
      <x:c r="F68" s="2" t="str">
        <x:v>Chas</x:v>
      </x:c>
      <x:c r="G68" s="2" t="str">
        <x:v>Team chas</x:v>
      </x:c>
      <x:c r="H68" s="15" t="n">
        <x:v>83</x:v>
      </x:c>
      <x:c r="I68" s="2" t="str">
        <x:f>IF(E68&gt;H68,C68,IF(E68&lt;H68,F68,"Tie"))</x:f>
        <x:v>Craig</x:v>
      </x:c>
      <x:c r="J68" s="2" t="str">
        <x:f>IF(E68&gt;H68,F68,IF(E68&lt;H68,C68,"Tie"))</x:f>
        <x:v>Chas</x:v>
      </x:c>
      <x:c r="K68" s="2" t="n">
        <x:f>IF(E68=H68,1,0)</x:f>
        <x:v>0</x:v>
      </x:c>
      <x:c r="L68" s="2" t="str">
        <x:v>Chas / Craig</x:v>
      </x:c>
      <x:c r="M68" t="str"/>
      <x:c r="N68" t="str">
        <x:v>Supplied</x:v>
      </x:c>
    </x:row>
    <x:row r="69" ht="22" customHeight="1">
      <x:c r="A69" s="2" t="n">
        <x:v>8</x:v>
      </x:c>
      <x:c r="B69" s="2" t="str">
        <x:v>Regular</x:v>
      </x:c>
      <x:c r="C69" s="2" t="str">
        <x:v>Mike</x:v>
      </x:c>
      <x:c r="D69" s="2" t="str">
        <x:v>Torn ACL's</x:v>
      </x:c>
      <x:c r="E69" s="15" t="n">
        <x:v>110</x:v>
      </x:c>
      <x:c r="F69" s="2" t="str">
        <x:v>James B.</x:v>
      </x:c>
      <x:c r="G69" s="2" t="str">
        <x:v>The Entourage</x:v>
      </x:c>
      <x:c r="H69" s="15" t="n">
        <x:v>158</x:v>
      </x:c>
      <x:c r="I69" s="2" t="str">
        <x:f>IF(E69&gt;H69,C69,IF(E69&lt;H69,F69,"Tie"))</x:f>
        <x:v>James B.</x:v>
      </x:c>
      <x:c r="J69" s="2" t="str">
        <x:f>IF(E69&gt;H69,F69,IF(E69&lt;H69,C69,"Tie"))</x:f>
        <x:v>Mike</x:v>
      </x:c>
      <x:c r="K69" s="2" t="n">
        <x:f>IF(E69=H69,1,0)</x:f>
        <x:v>0</x:v>
      </x:c>
      <x:c r="L69" s="2" t="str">
        <x:v>James B. / Mike</x:v>
      </x:c>
      <x:c r="M69" t="str"/>
      <x:c r="N69" t="str">
        <x:v>Supplied</x:v>
      </x:c>
    </x:row>
    <x:row r="70" ht="22" customHeight="1">
      <x:c r="A70" s="2" t="n">
        <x:v>8</x:v>
      </x:c>
      <x:c r="B70" s="2" t="str">
        <x:v>Regular</x:v>
      </x:c>
      <x:c r="C70" s="2" t="str">
        <x:v>Josh</x:v>
      </x:c>
      <x:c r="D70" s="2" t="str">
        <x:v>The Markgregors</x:v>
      </x:c>
      <x:c r="E70" s="15" t="n">
        <x:v>125</x:v>
      </x:c>
      <x:c r="F70" s="2" t="str">
        <x:v>Mark</x:v>
      </x:c>
      <x:c r="G70" s="2" t="str">
        <x:v>wacky waving arms</x:v>
      </x:c>
      <x:c r="H70" s="15" t="n">
        <x:v>92</x:v>
      </x:c>
      <x:c r="I70" s="2" t="str">
        <x:f>IF(E70&gt;H70,C70,IF(E70&lt;H70,F70,"Tie"))</x:f>
        <x:v>Josh</x:v>
      </x:c>
      <x:c r="J70" s="2" t="str">
        <x:f>IF(E70&gt;H70,F70,IF(E70&lt;H70,C70,"Tie"))</x:f>
        <x:v>Mark</x:v>
      </x:c>
      <x:c r="K70" s="2" t="n">
        <x:f>IF(E70=H70,1,0)</x:f>
        <x:v>0</x:v>
      </x:c>
      <x:c r="L70" s="2" t="str">
        <x:v>Josh / Mark</x:v>
      </x:c>
      <x:c r="M70" t="str"/>
      <x:c r="N70" t="str">
        <x:v>Supplied</x:v>
      </x:c>
    </x:row>
    <x:row r="71" ht="22" customHeight="1">
      <x:c r="A71" s="2" t="n">
        <x:v>8</x:v>
      </x:c>
      <x:c r="B71" s="2" t="str">
        <x:v>Regular</x:v>
      </x:c>
      <x:c r="C71" s="2" t="str">
        <x:v>Paul</x:v>
      </x:c>
      <x:c r="D71" s="2" t="str">
        <x:v>Paul's Team</x:v>
      </x:c>
      <x:c r="E71" s="15" t="n">
        <x:v>100</x:v>
      </x:c>
      <x:c r="F71" s="2" t="str">
        <x:v>Taylor</x:v>
      </x:c>
      <x:c r="G71" s="2" t="str">
        <x:v>BILLY BALD-ASS</x:v>
      </x:c>
      <x:c r="H71" s="15" t="n">
        <x:v>101</x:v>
      </x:c>
      <x:c r="I71" s="2" t="str">
        <x:f>IF(E71&gt;H71,C71,IF(E71&lt;H71,F71,"Tie"))</x:f>
        <x:v>Taylor</x:v>
      </x:c>
      <x:c r="J71" s="2" t="str">
        <x:f>IF(E71&gt;H71,F71,IF(E71&lt;H71,C71,"Tie"))</x:f>
        <x:v>Paul</x:v>
      </x:c>
      <x:c r="K71" s="2" t="n">
        <x:f>IF(E71=H71,1,0)</x:f>
        <x:v>0</x:v>
      </x:c>
      <x:c r="L71" s="2" t="str">
        <x:v>Paul / Taylor</x:v>
      </x:c>
      <x:c r="M71" t="str"/>
      <x:c r="N71" t="str">
        <x:v>Supplied</x:v>
      </x:c>
    </x:row>
    <x:row r="72" ht="22" customHeight="1">
      <x:c r="A72" s="2" t="n">
        <x:v>9</x:v>
      </x:c>
      <x:c r="B72" s="2" t="str">
        <x:v>Regular</x:v>
      </x:c>
      <x:c r="C72" s="2" t="str">
        <x:v>Andrew</x:v>
      </x:c>
      <x:c r="D72" s="2" t="str">
        <x:v>Hilton Head SC</x:v>
      </x:c>
      <x:c r="E72" s="15" t="n">
        <x:v>160</x:v>
      </x:c>
      <x:c r="F72" s="2" t="str">
        <x:v>Paul</x:v>
      </x:c>
      <x:c r="G72" s="2" t="str">
        <x:v>Paul's Team</x:v>
      </x:c>
      <x:c r="H72" s="15" t="n">
        <x:v>127</x:v>
      </x:c>
      <x:c r="I72" s="2" t="str">
        <x:f>IF(E72&gt;H72,C72,IF(E72&lt;H72,F72,"Tie"))</x:f>
        <x:v>Andrew</x:v>
      </x:c>
      <x:c r="J72" s="2" t="str">
        <x:f>IF(E72&gt;H72,F72,IF(E72&lt;H72,C72,"Tie"))</x:f>
        <x:v>Paul</x:v>
      </x:c>
      <x:c r="K72" s="2" t="n">
        <x:f>IF(E72=H72,1,0)</x:f>
        <x:v>0</x:v>
      </x:c>
      <x:c r="L72" s="2" t="str">
        <x:v>Andrew / Paul</x:v>
      </x:c>
      <x:c r="M72" t="str"/>
      <x:c r="N72" t="str">
        <x:v>Supplied</x:v>
      </x:c>
    </x:row>
    <x:row r="73" ht="22" customHeight="1">
      <x:c r="A73" s="2" t="n">
        <x:v>9</x:v>
      </x:c>
      <x:c r="B73" s="2" t="str">
        <x:v>Regular</x:v>
      </x:c>
      <x:c r="C73" s="2" t="str">
        <x:v>Bruce</x:v>
      </x:c>
      <x:c r="D73" s="2" t="str">
        <x:v>The Storm</x:v>
      </x:c>
      <x:c r="E73" s="15" t="n">
        <x:v>85</x:v>
      </x:c>
      <x:c r="F73" s="2" t="str">
        <x:v>Chas</x:v>
      </x:c>
      <x:c r="G73" s="2" t="str">
        <x:v>Team chas</x:v>
      </x:c>
      <x:c r="H73" s="15" t="n">
        <x:v>68</x:v>
      </x:c>
      <x:c r="I73" s="2" t="str">
        <x:f>IF(E73&gt;H73,C73,IF(E73&lt;H73,F73,"Tie"))</x:f>
        <x:v>Bruce</x:v>
      </x:c>
      <x:c r="J73" s="2" t="str">
        <x:f>IF(E73&gt;H73,F73,IF(E73&lt;H73,C73,"Tie"))</x:f>
        <x:v>Chas</x:v>
      </x:c>
      <x:c r="K73" s="2" t="n">
        <x:f>IF(E73=H73,1,0)</x:f>
        <x:v>0</x:v>
      </x:c>
      <x:c r="L73" s="2" t="str">
        <x:v>Bruce / Chas</x:v>
      </x:c>
      <x:c r="M73" t="str"/>
      <x:c r="N73" t="str">
        <x:v>Supplied</x:v>
      </x:c>
    </x:row>
    <x:row r="74" ht="22" customHeight="1">
      <x:c r="A74" s="2" t="n">
        <x:v>9</x:v>
      </x:c>
      <x:c r="B74" s="2" t="str">
        <x:v>Regular</x:v>
      </x:c>
      <x:c r="C74" s="2" t="str">
        <x:v>Craig</x:v>
      </x:c>
      <x:c r="D74" s="2" t="str">
        <x:v>The Ants Marching</x:v>
      </x:c>
      <x:c r="E74" s="15" t="n">
        <x:v>74</x:v>
      </x:c>
      <x:c r="F74" s="2" t="str">
        <x:v>Taylor</x:v>
      </x:c>
      <x:c r="G74" s="2" t="str">
        <x:v>BILLY BALD-ASS</x:v>
      </x:c>
      <x:c r="H74" s="15" t="n">
        <x:v>103</x:v>
      </x:c>
      <x:c r="I74" s="2" t="str">
        <x:f>IF(E74&gt;H74,C74,IF(E74&lt;H74,F74,"Tie"))</x:f>
        <x:v>Taylor</x:v>
      </x:c>
      <x:c r="J74" s="2" t="str">
        <x:f>IF(E74&gt;H74,F74,IF(E74&lt;H74,C74,"Tie"))</x:f>
        <x:v>Craig</x:v>
      </x:c>
      <x:c r="K74" s="2" t="n">
        <x:f>IF(E74=H74,1,0)</x:f>
        <x:v>0</x:v>
      </x:c>
      <x:c r="L74" s="2" t="str">
        <x:v>Craig / Taylor</x:v>
      </x:c>
      <x:c r="M74" t="str"/>
      <x:c r="N74" t="str">
        <x:v>Supplied</x:v>
      </x:c>
    </x:row>
    <x:row r="75" ht="22" customHeight="1">
      <x:c r="A75" s="2" t="n">
        <x:v>9</x:v>
      </x:c>
      <x:c r="B75" s="2" t="str">
        <x:v>Regular</x:v>
      </x:c>
      <x:c r="C75" s="2" t="str">
        <x:v>Ed</x:v>
      </x:c>
      <x:c r="D75" s="2" t="str">
        <x:v>Club Eroticas Finest</x:v>
      </x:c>
      <x:c r="E75" s="15" t="n">
        <x:v>83</x:v>
      </x:c>
      <x:c r="F75" s="2" t="str">
        <x:v>Mark</x:v>
      </x:c>
      <x:c r="G75" s="2" t="str">
        <x:v>wacky waving arms</x:v>
      </x:c>
      <x:c r="H75" s="15" t="n">
        <x:v>111</x:v>
      </x:c>
      <x:c r="I75" s="2" t="str">
        <x:f>IF(E75&gt;H75,C75,IF(E75&lt;H75,F75,"Tie"))</x:f>
        <x:v>Mark</x:v>
      </x:c>
      <x:c r="J75" s="2" t="str">
        <x:f>IF(E75&gt;H75,F75,IF(E75&lt;H75,C75,"Tie"))</x:f>
        <x:v>Ed</x:v>
      </x:c>
      <x:c r="K75" s="2" t="n">
        <x:f>IF(E75=H75,1,0)</x:f>
        <x:v>0</x:v>
      </x:c>
      <x:c r="L75" s="2" t="str">
        <x:v>Ed / Mark</x:v>
      </x:c>
      <x:c r="M75" t="str"/>
      <x:c r="N75" t="str">
        <x:v>Supplied</x:v>
      </x:c>
    </x:row>
    <x:row r="76" ht="22" customHeight="1">
      <x:c r="A76" s="2" t="n">
        <x:v>9</x:v>
      </x:c>
      <x:c r="B76" s="2" t="str">
        <x:v>Regular</x:v>
      </x:c>
      <x:c r="C76" s="2" t="str">
        <x:v>Mike</x:v>
      </x:c>
      <x:c r="D76" s="2" t="str">
        <x:v>Torn ACL's</x:v>
      </x:c>
      <x:c r="E76" s="15" t="n">
        <x:v>117</x:v>
      </x:c>
      <x:c r="F76" s="2" t="str">
        <x:v>Matt</x:v>
      </x:c>
      <x:c r="G76" s="2" t="str">
        <x:v>Craig Gregor</x:v>
      </x:c>
      <x:c r="H76" s="15" t="n">
        <x:v>131</x:v>
      </x:c>
      <x:c r="I76" s="2" t="str">
        <x:f>IF(E76&gt;H76,C76,IF(E76&lt;H76,F76,"Tie"))</x:f>
        <x:v>Matt</x:v>
      </x:c>
      <x:c r="J76" s="2" t="str">
        <x:f>IF(E76&gt;H76,F76,IF(E76&lt;H76,C76,"Tie"))</x:f>
        <x:v>Mike</x:v>
      </x:c>
      <x:c r="K76" s="2" t="n">
        <x:f>IF(E76=H76,1,0)</x:f>
        <x:v>0</x:v>
      </x:c>
      <x:c r="L76" s="2" t="str">
        <x:v>Matt / Mike</x:v>
      </x:c>
      <x:c r="M76" t="str"/>
      <x:c r="N76" t="str">
        <x:v>Supplied</x:v>
      </x:c>
    </x:row>
    <x:row r="77" ht="22" customHeight="1">
      <x:c r="A77" s="2" t="n">
        <x:v>9</x:v>
      </x:c>
      <x:c r="B77" s="2" t="str">
        <x:v>Regular</x:v>
      </x:c>
      <x:c r="C77" s="2" t="str">
        <x:v>Josh</x:v>
      </x:c>
      <x:c r="D77" s="2" t="str">
        <x:v>The Markgregors</x:v>
      </x:c>
      <x:c r="E77" s="15" t="n">
        <x:v>123</x:v>
      </x:c>
      <x:c r="F77" s="2" t="str">
        <x:v>James B.</x:v>
      </x:c>
      <x:c r="G77" s="2" t="str">
        <x:v>The Entourage</x:v>
      </x:c>
      <x:c r="H77" s="15" t="n">
        <x:v>93</x:v>
      </x:c>
      <x:c r="I77" s="2" t="str">
        <x:f>IF(E77&gt;H77,C77,IF(E77&lt;H77,F77,"Tie"))</x:f>
        <x:v>Josh</x:v>
      </x:c>
      <x:c r="J77" s="2" t="str">
        <x:f>IF(E77&gt;H77,F77,IF(E77&lt;H77,C77,"Tie"))</x:f>
        <x:v>James B.</x:v>
      </x:c>
      <x:c r="K77" s="2" t="n">
        <x:f>IF(E77=H77,1,0)</x:f>
        <x:v>0</x:v>
      </x:c>
      <x:c r="L77" s="2" t="str">
        <x:v>James B. / Josh</x:v>
      </x:c>
      <x:c r="M77" t="str"/>
      <x:c r="N77" t="str">
        <x:v>Supplied</x:v>
      </x:c>
    </x:row>
    <x:row r="78" ht="22" customHeight="1">
      <x:c r="A78" s="2" t="n">
        <x:v>10</x:v>
      </x:c>
      <x:c r="B78" s="2" t="str">
        <x:v>Regular</x:v>
      </x:c>
      <x:c r="C78" s="2" t="str">
        <x:v>Andrew</x:v>
      </x:c>
      <x:c r="D78" s="2" t="str">
        <x:v>Hilton Head SC</x:v>
      </x:c>
      <x:c r="E78" s="15" t="n">
        <x:v>92</x:v>
      </x:c>
      <x:c r="F78" s="2" t="str">
        <x:v>Mark</x:v>
      </x:c>
      <x:c r="G78" s="2" t="str">
        <x:v>wacky waving arms</x:v>
      </x:c>
      <x:c r="H78" s="15" t="n">
        <x:v>97</x:v>
      </x:c>
      <x:c r="I78" s="2" t="str">
        <x:f>IF(E78&gt;H78,C78,IF(E78&lt;H78,F78,"Tie"))</x:f>
        <x:v>Mark</x:v>
      </x:c>
      <x:c r="J78" s="2" t="str">
        <x:f>IF(E78&gt;H78,F78,IF(E78&lt;H78,C78,"Tie"))</x:f>
        <x:v>Andrew</x:v>
      </x:c>
      <x:c r="K78" s="2" t="n">
        <x:f>IF(E78=H78,1,0)</x:f>
        <x:v>0</x:v>
      </x:c>
      <x:c r="L78" s="2" t="str">
        <x:v>Andrew / Mark</x:v>
      </x:c>
      <x:c r="M78" t="str"/>
      <x:c r="N78" t="str">
        <x:v>Supplied</x:v>
      </x:c>
    </x:row>
    <x:row r="79" ht="22" customHeight="1">
      <x:c r="A79" s="2" t="n">
        <x:v>10</x:v>
      </x:c>
      <x:c r="B79" s="2" t="str">
        <x:v>Regular</x:v>
      </x:c>
      <x:c r="C79" s="2" t="str">
        <x:v>Bruce</x:v>
      </x:c>
      <x:c r="D79" s="2" t="str">
        <x:v>The Storm</x:v>
      </x:c>
      <x:c r="E79" s="15" t="n">
        <x:v>117</x:v>
      </x:c>
      <x:c r="F79" s="2" t="str">
        <x:v>Paul</x:v>
      </x:c>
      <x:c r="G79" s="2" t="str">
        <x:v>Paul's Team</x:v>
      </x:c>
      <x:c r="H79" s="15" t="n">
        <x:v>114</x:v>
      </x:c>
      <x:c r="I79" s="2" t="str">
        <x:f>IF(E79&gt;H79,C79,IF(E79&lt;H79,F79,"Tie"))</x:f>
        <x:v>Bruce</x:v>
      </x:c>
      <x:c r="J79" s="2" t="str">
        <x:f>IF(E79&gt;H79,F79,IF(E79&lt;H79,C79,"Tie"))</x:f>
        <x:v>Paul</x:v>
      </x:c>
      <x:c r="K79" s="2" t="n">
        <x:f>IF(E79=H79,1,0)</x:f>
        <x:v>0</x:v>
      </x:c>
      <x:c r="L79" s="2" t="str">
        <x:v>Bruce / Paul</x:v>
      </x:c>
      <x:c r="M79" t="str"/>
      <x:c r="N79" t="str">
        <x:v>Supplied</x:v>
      </x:c>
    </x:row>
    <x:row r="80" ht="22" customHeight="1">
      <x:c r="A80" s="2" t="n">
        <x:v>10</x:v>
      </x:c>
      <x:c r="B80" s="2" t="str">
        <x:v>Regular</x:v>
      </x:c>
      <x:c r="C80" s="2" t="str">
        <x:v>Craig</x:v>
      </x:c>
      <x:c r="D80" s="2" t="str">
        <x:v>The Ants Marching</x:v>
      </x:c>
      <x:c r="E80" s="15" t="n">
        <x:v>74</x:v>
      </x:c>
      <x:c r="F80" s="2" t="str">
        <x:v>Matt</x:v>
      </x:c>
      <x:c r="G80" s="2" t="str">
        <x:v>Craig Gregor</x:v>
      </x:c>
      <x:c r="H80" s="15" t="n">
        <x:v>121</x:v>
      </x:c>
      <x:c r="I80" s="2" t="str">
        <x:f>IF(E80&gt;H80,C80,IF(E80&lt;H80,F80,"Tie"))</x:f>
        <x:v>Matt</x:v>
      </x:c>
      <x:c r="J80" s="2" t="str">
        <x:f>IF(E80&gt;H80,F80,IF(E80&lt;H80,C80,"Tie"))</x:f>
        <x:v>Craig</x:v>
      </x:c>
      <x:c r="K80" s="2" t="n">
        <x:f>IF(E80=H80,1,0)</x:f>
        <x:v>0</x:v>
      </x:c>
      <x:c r="L80" s="2" t="str">
        <x:v>Craig / Matt</x:v>
      </x:c>
      <x:c r="M80" t="str"/>
      <x:c r="N80" t="str">
        <x:v>Supplied</x:v>
      </x:c>
    </x:row>
    <x:row r="81" ht="22" customHeight="1">
      <x:c r="A81" s="2" t="n">
        <x:v>10</x:v>
      </x:c>
      <x:c r="B81" s="2" t="str">
        <x:v>Regular</x:v>
      </x:c>
      <x:c r="C81" s="2" t="str">
        <x:v>Ed</x:v>
      </x:c>
      <x:c r="D81" s="2" t="str">
        <x:v>Club Eroticas Finest</x:v>
      </x:c>
      <x:c r="E81" s="15" t="n">
        <x:v>98</x:v>
      </x:c>
      <x:c r="F81" s="2" t="str">
        <x:v>Mike</x:v>
      </x:c>
      <x:c r="G81" s="2" t="str">
        <x:v>Torn ACL's</x:v>
      </x:c>
      <x:c r="H81" s="15" t="n">
        <x:v>137</x:v>
      </x:c>
      <x:c r="I81" s="2" t="str">
        <x:f>IF(E81&gt;H81,C81,IF(E81&lt;H81,F81,"Tie"))</x:f>
        <x:v>Mike</x:v>
      </x:c>
      <x:c r="J81" s="2" t="str">
        <x:f>IF(E81&gt;H81,F81,IF(E81&lt;H81,C81,"Tie"))</x:f>
        <x:v>Ed</x:v>
      </x:c>
      <x:c r="K81" s="2" t="n">
        <x:f>IF(E81=H81,1,0)</x:f>
        <x:v>0</x:v>
      </x:c>
      <x:c r="L81" s="2" t="str">
        <x:v>Ed / Mike</x:v>
      </x:c>
      <x:c r="M81" t="str"/>
      <x:c r="N81" t="str">
        <x:v>Supplied</x:v>
      </x:c>
    </x:row>
    <x:row r="82" ht="22" customHeight="1">
      <x:c r="A82" s="2" t="n">
        <x:v>10</x:v>
      </x:c>
      <x:c r="B82" s="2" t="str">
        <x:v>Regular</x:v>
      </x:c>
      <x:c r="C82" s="2" t="str">
        <x:v>Chas</x:v>
      </x:c>
      <x:c r="D82" s="2" t="str">
        <x:v>Team chas</x:v>
      </x:c>
      <x:c r="E82" s="15" t="n">
        <x:v>98</x:v>
      </x:c>
      <x:c r="F82" s="2" t="str">
        <x:v>Josh</x:v>
      </x:c>
      <x:c r="G82" s="2" t="str">
        <x:v>The Markgregors</x:v>
      </x:c>
      <x:c r="H82" s="15" t="n">
        <x:v>101</x:v>
      </x:c>
      <x:c r="I82" s="2" t="str">
        <x:f>IF(E82&gt;H82,C82,IF(E82&lt;H82,F82,"Tie"))</x:f>
        <x:v>Josh</x:v>
      </x:c>
      <x:c r="J82" s="2" t="str">
        <x:f>IF(E82&gt;H82,F82,IF(E82&lt;H82,C82,"Tie"))</x:f>
        <x:v>Chas</x:v>
      </x:c>
      <x:c r="K82" s="2" t="n">
        <x:f>IF(E82=H82,1,0)</x:f>
        <x:v>0</x:v>
      </x:c>
      <x:c r="L82" s="2" t="str">
        <x:v>Chas / Josh</x:v>
      </x:c>
      <x:c r="M82" t="str"/>
      <x:c r="N82" t="str">
        <x:v>Supplied</x:v>
      </x:c>
    </x:row>
    <x:row r="83" ht="22" customHeight="1">
      <x:c r="A83" s="2" t="n">
        <x:v>10</x:v>
      </x:c>
      <x:c r="B83" s="2" t="str">
        <x:v>Regular</x:v>
      </x:c>
      <x:c r="C83" s="2" t="str">
        <x:v>James B.</x:v>
      </x:c>
      <x:c r="D83" s="2" t="str">
        <x:v>The Entourage</x:v>
      </x:c>
      <x:c r="E83" s="15" t="n">
        <x:v>160</x:v>
      </x:c>
      <x:c r="F83" s="2" t="str">
        <x:v>Taylor</x:v>
      </x:c>
      <x:c r="G83" s="2" t="str">
        <x:v>BILLY BALD-ASS</x:v>
      </x:c>
      <x:c r="H83" s="15" t="n">
        <x:v>107</x:v>
      </x:c>
      <x:c r="I83" s="2" t="str">
        <x:f>IF(E83&gt;H83,C83,IF(E83&lt;H83,F83,"Tie"))</x:f>
        <x:v>James B.</x:v>
      </x:c>
      <x:c r="J83" s="2" t="str">
        <x:f>IF(E83&gt;H83,F83,IF(E83&lt;H83,C83,"Tie"))</x:f>
        <x:v>Taylor</x:v>
      </x:c>
      <x:c r="K83" s="2" t="n">
        <x:f>IF(E83=H83,1,0)</x:f>
        <x:v>0</x:v>
      </x:c>
      <x:c r="L83" s="2" t="str">
        <x:v>James B. / Taylor</x:v>
      </x:c>
      <x:c r="M83" t="str"/>
      <x:c r="N83" t="str">
        <x:v>Supplied</x:v>
      </x:c>
    </x:row>
    <x:row r="84" ht="22" customHeight="1">
      <x:c r="A84" s="2" t="n">
        <x:v>11</x:v>
      </x:c>
      <x:c r="B84" s="2" t="str">
        <x:v>Regular</x:v>
      </x:c>
      <x:c r="C84" s="2" t="str">
        <x:v>Andrew</x:v>
      </x:c>
      <x:c r="D84" s="2" t="str">
        <x:v>Hilton Head SC</x:v>
      </x:c>
      <x:c r="E84" s="15" t="n">
        <x:v>130</x:v>
      </x:c>
      <x:c r="F84" s="2" t="str">
        <x:v>Matt</x:v>
      </x:c>
      <x:c r="G84" s="2" t="str">
        <x:v>Craig Gregor</x:v>
      </x:c>
      <x:c r="H84" s="15" t="n">
        <x:v>132</x:v>
      </x:c>
      <x:c r="I84" s="2" t="str">
        <x:f>IF(E84&gt;H84,C84,IF(E84&lt;H84,F84,"Tie"))</x:f>
        <x:v>Matt</x:v>
      </x:c>
      <x:c r="J84" s="2" t="str">
        <x:f>IF(E84&gt;H84,F84,IF(E84&lt;H84,C84,"Tie"))</x:f>
        <x:v>Andrew</x:v>
      </x:c>
      <x:c r="K84" s="2" t="n">
        <x:f>IF(E84=H84,1,0)</x:f>
        <x:v>0</x:v>
      </x:c>
      <x:c r="L84" s="2" t="str">
        <x:v>Andrew / Matt</x:v>
      </x:c>
      <x:c r="M84" t="str"/>
      <x:c r="N84" t="str">
        <x:v>Supplied</x:v>
      </x:c>
    </x:row>
    <x:row r="85" ht="22" customHeight="1">
      <x:c r="A85" s="2" t="n">
        <x:v>11</x:v>
      </x:c>
      <x:c r="B85" s="2" t="str">
        <x:v>Regular</x:v>
      </x:c>
      <x:c r="C85" s="2" t="str">
        <x:v>Bruce</x:v>
      </x:c>
      <x:c r="D85" s="2" t="str">
        <x:v>The Storm</x:v>
      </x:c>
      <x:c r="E85" s="15" t="n">
        <x:v>136</x:v>
      </x:c>
      <x:c r="F85" s="2" t="str">
        <x:v>Taylor</x:v>
      </x:c>
      <x:c r="G85" s="2" t="str">
        <x:v>BILLY BALD-ASS</x:v>
      </x:c>
      <x:c r="H85" s="15" t="n">
        <x:v>125</x:v>
      </x:c>
      <x:c r="I85" s="2" t="str">
        <x:f>IF(E85&gt;H85,C85,IF(E85&lt;H85,F85,"Tie"))</x:f>
        <x:v>Bruce</x:v>
      </x:c>
      <x:c r="J85" s="2" t="str">
        <x:f>IF(E85&gt;H85,F85,IF(E85&lt;H85,C85,"Tie"))</x:f>
        <x:v>Taylor</x:v>
      </x:c>
      <x:c r="K85" s="2" t="n">
        <x:f>IF(E85=H85,1,0)</x:f>
        <x:v>0</x:v>
      </x:c>
      <x:c r="L85" s="2" t="str">
        <x:v>Bruce / Taylor</x:v>
      </x:c>
      <x:c r="M85" t="str"/>
      <x:c r="N85" t="str">
        <x:v>Supplied</x:v>
      </x:c>
    </x:row>
    <x:row r="86" ht="22" customHeight="1">
      <x:c r="A86" s="2" t="n">
        <x:v>11</x:v>
      </x:c>
      <x:c r="B86" s="2" t="str">
        <x:v>Regular</x:v>
      </x:c>
      <x:c r="C86" s="2" t="str">
        <x:v>Craig</x:v>
      </x:c>
      <x:c r="D86" s="2" t="str">
        <x:v>The Ants Marching</x:v>
      </x:c>
      <x:c r="E86" s="15" t="n">
        <x:v>107</x:v>
      </x:c>
      <x:c r="F86" s="2" t="str">
        <x:v>Mike</x:v>
      </x:c>
      <x:c r="G86" s="2" t="str">
        <x:v>Torn ACL's</x:v>
      </x:c>
      <x:c r="H86" s="15" t="n">
        <x:v>84</x:v>
      </x:c>
      <x:c r="I86" s="2" t="str">
        <x:f>IF(E86&gt;H86,C86,IF(E86&lt;H86,F86,"Tie"))</x:f>
        <x:v>Craig</x:v>
      </x:c>
      <x:c r="J86" s="2" t="str">
        <x:f>IF(E86&gt;H86,F86,IF(E86&lt;H86,C86,"Tie"))</x:f>
        <x:v>Mike</x:v>
      </x:c>
      <x:c r="K86" s="2" t="n">
        <x:f>IF(E86=H86,1,0)</x:f>
        <x:v>0</x:v>
      </x:c>
      <x:c r="L86" s="2" t="str">
        <x:v>Craig / Mike</x:v>
      </x:c>
      <x:c r="M86" t="str"/>
      <x:c r="N86" t="str">
        <x:v>Supplied</x:v>
      </x:c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Club Eroticas Finest</x:v>
      </x:c>
      <x:c r="E87" s="15" t="n">
        <x:v>113</x:v>
      </x:c>
      <x:c r="F87" s="2" t="str">
        <x:v>Chas</x:v>
      </x:c>
      <x:c r="G87" s="2" t="str">
        <x:v>Team chas</x:v>
      </x:c>
      <x:c r="H87" s="15" t="n">
        <x:v>78</x:v>
      </x:c>
      <x:c r="I87" s="2" t="str">
        <x:f>IF(E87&gt;H87,C87,IF(E87&lt;H87,F87,"Tie"))</x:f>
        <x:v>Ed</x:v>
      </x:c>
      <x:c r="J87" s="2" t="str">
        <x:f>IF(E87&gt;H87,F87,IF(E87&lt;H87,C87,"Tie"))</x:f>
        <x:v>Chas</x:v>
      </x:c>
      <x:c r="K87" s="2" t="n">
        <x:f>IF(E87=H87,1,0)</x:f>
        <x:v>0</x:v>
      </x:c>
      <x:c r="L87" s="2" t="str">
        <x:v>Chas / Ed</x:v>
      </x:c>
      <x:c r="M87" t="str"/>
      <x:c r="N87" t="str">
        <x:v>Supplied</x:v>
      </x:c>
    </x:row>
    <x:row r="88" ht="22" customHeight="1">
      <x:c r="A88" s="2" t="n">
        <x:v>11</x:v>
      </x:c>
      <x:c r="B88" s="2" t="str">
        <x:v>Regular</x:v>
      </x:c>
      <x:c r="C88" s="2" t="str">
        <x:v>Josh</x:v>
      </x:c>
      <x:c r="D88" s="2" t="str">
        <x:v>The Markgregors</x:v>
      </x:c>
      <x:c r="E88" s="15" t="n">
        <x:v>100</x:v>
      </x:c>
      <x:c r="F88" s="2" t="str">
        <x:v>Paul</x:v>
      </x:c>
      <x:c r="G88" s="2" t="str">
        <x:v>Paul's Team</x:v>
      </x:c>
      <x:c r="H88" s="15" t="n">
        <x:v>90</x:v>
      </x:c>
      <x:c r="I88" s="2" t="str">
        <x:f>IF(E88&gt;H88,C88,IF(E88&lt;H88,F88,"Tie"))</x:f>
        <x:v>Josh</x:v>
      </x:c>
      <x:c r="J88" s="2" t="str">
        <x:f>IF(E88&gt;H88,F88,IF(E88&lt;H88,C88,"Tie"))</x:f>
        <x:v>Paul</x:v>
      </x:c>
      <x:c r="K88" s="2" t="n">
        <x:f>IF(E88=H88,1,0)</x:f>
        <x:v>0</x:v>
      </x:c>
      <x:c r="L88" s="2" t="str">
        <x:v>Josh / Paul</x:v>
      </x:c>
      <x:c r="M88" t="str"/>
      <x:c r="N88" t="str">
        <x:v>Supplied</x:v>
      </x:c>
    </x:row>
    <x:row r="89" ht="22" customHeight="1">
      <x:c r="A89" s="2" t="n">
        <x:v>11</x:v>
      </x:c>
      <x:c r="B89" s="2" t="str">
        <x:v>Regular</x:v>
      </x:c>
      <x:c r="C89" s="2" t="str">
        <x:v>Mark</x:v>
      </x:c>
      <x:c r="D89" s="2" t="str">
        <x:v>wacky waving arms</x:v>
      </x:c>
      <x:c r="E89" s="15" t="n">
        <x:v>123</x:v>
      </x:c>
      <x:c r="F89" s="2" t="str">
        <x:v>James B.</x:v>
      </x:c>
      <x:c r="G89" s="2" t="str">
        <x:v>The Entourage</x:v>
      </x:c>
      <x:c r="H89" s="15" t="n">
        <x:v>139</x:v>
      </x:c>
      <x:c r="I89" s="2" t="str">
        <x:f>IF(E89&gt;H89,C89,IF(E89&lt;H89,F89,"Tie"))</x:f>
        <x:v>James B.</x:v>
      </x:c>
      <x:c r="J89" s="2" t="str">
        <x:f>IF(E89&gt;H89,F89,IF(E89&lt;H89,C89,"Tie"))</x:f>
        <x:v>Mark</x:v>
      </x:c>
      <x:c r="K89" s="2" t="n">
        <x:f>IF(E89=H89,1,0)</x:f>
        <x:v>0</x:v>
      </x:c>
      <x:c r="L89" s="2" t="str">
        <x:v>James B. / Mark</x:v>
      </x:c>
      <x:c r="M89" t="str"/>
      <x:c r="N89" t="str">
        <x:v>Supplied</x:v>
      </x:c>
    </x:row>
    <x:row r="90" ht="22" customHeight="1">
      <x:c r="A90" s="2" t="n">
        <x:v>12</x:v>
      </x:c>
      <x:c r="B90" s="2" t="str">
        <x:v>Regular</x:v>
      </x:c>
      <x:c r="C90" s="2" t="str">
        <x:v>Andrew</x:v>
      </x:c>
      <x:c r="D90" s="2" t="str">
        <x:v>Hilton Head SC</x:v>
      </x:c>
      <x:c r="E90" s="15" t="n">
        <x:v>107</x:v>
      </x:c>
      <x:c r="F90" s="2" t="str">
        <x:v>James B.</x:v>
      </x:c>
      <x:c r="G90" s="2" t="str">
        <x:v>The Entourage</x:v>
      </x:c>
      <x:c r="H90" s="15" t="n">
        <x:v>106</x:v>
      </x:c>
      <x:c r="I90" s="2" t="str">
        <x:f>IF(E90&gt;H90,C90,IF(E90&lt;H90,F90,"Tie"))</x:f>
        <x:v>Andrew</x:v>
      </x:c>
      <x:c r="J90" s="2" t="str">
        <x:f>IF(E90&gt;H90,F90,IF(E90&lt;H90,C90,"Tie"))</x:f>
        <x:v>James B.</x:v>
      </x:c>
      <x:c r="K90" s="2" t="n">
        <x:f>IF(E90=H90,1,0)</x:f>
        <x:v>0</x:v>
      </x:c>
      <x:c r="L90" s="2" t="str">
        <x:v>Andrew / James B.</x:v>
      </x:c>
      <x:c r="M90" t="str"/>
      <x:c r="N90" t="str">
        <x:v>Supplied</x:v>
      </x:c>
    </x:row>
    <x:row r="91" ht="22" customHeight="1">
      <x:c r="A91" s="2" t="n">
        <x:v>12</x:v>
      </x:c>
      <x:c r="B91" s="2" t="str">
        <x:v>Regular</x:v>
      </x:c>
      <x:c r="C91" s="2" t="str">
        <x:v>Bruce</x:v>
      </x:c>
      <x:c r="D91" s="2" t="str">
        <x:v>The Storm</x:v>
      </x:c>
      <x:c r="E91" s="15" t="n">
        <x:v>141</x:v>
      </x:c>
      <x:c r="F91" s="2" t="str">
        <x:v>Craig</x:v>
      </x:c>
      <x:c r="G91" s="2" t="str">
        <x:v>The Ants Marching</x:v>
      </x:c>
      <x:c r="H91" s="15" t="n">
        <x:v>174</x:v>
      </x:c>
      <x:c r="I91" s="2" t="str">
        <x:f>IF(E91&gt;H91,C91,IF(E91&lt;H91,F91,"Tie"))</x:f>
        <x:v>Craig</x:v>
      </x:c>
      <x:c r="J91" s="2" t="str">
        <x:f>IF(E91&gt;H91,F91,IF(E91&lt;H91,C91,"Tie"))</x:f>
        <x:v>Bruce</x:v>
      </x:c>
      <x:c r="K91" s="2" t="n">
        <x:f>IF(E91=H91,1,0)</x:f>
        <x:v>0</x:v>
      </x:c>
      <x:c r="L91" s="2" t="str">
        <x:v>Bruce / Craig</x:v>
      </x:c>
      <x:c r="M91" t="str"/>
      <x:c r="N91" t="str">
        <x:v>Supplied</x:v>
      </x:c>
    </x:row>
    <x:row r="92" ht="22" customHeight="1">
      <x:c r="A92" s="2" t="n">
        <x:v>12</x:v>
      </x:c>
      <x:c r="B92" s="2" t="str">
        <x:v>Regular</x:v>
      </x:c>
      <x:c r="C92" s="2" t="str">
        <x:v>Ed</x:v>
      </x:c>
      <x:c r="D92" s="2" t="str">
        <x:v>Club Eroticas Finest</x:v>
      </x:c>
      <x:c r="E92" s="15" t="n">
        <x:v>80</x:v>
      </x:c>
      <x:c r="F92" s="2" t="str">
        <x:v>Josh</x:v>
      </x:c>
      <x:c r="G92" s="2" t="str">
        <x:v>The Markgregors</x:v>
      </x:c>
      <x:c r="H92" s="15" t="n">
        <x:v>81</x:v>
      </x:c>
      <x:c r="I92" s="2" t="str">
        <x:f>IF(E92&gt;H92,C92,IF(E92&lt;H92,F92,"Tie"))</x:f>
        <x:v>Josh</x:v>
      </x:c>
      <x:c r="J92" s="2" t="str">
        <x:f>IF(E92&gt;H92,F92,IF(E92&lt;H92,C92,"Tie"))</x:f>
        <x:v>Ed</x:v>
      </x:c>
      <x:c r="K92" s="2" t="n">
        <x:f>IF(E92=H92,1,0)</x:f>
        <x:v>0</x:v>
      </x:c>
      <x:c r="L92" s="2" t="str">
        <x:v>Ed / Josh</x:v>
      </x:c>
      <x:c r="M92" t="str"/>
      <x:c r="N92" t="str">
        <x:v>Supplied</x:v>
      </x:c>
    </x:row>
    <x:row r="93" ht="22" customHeight="1">
      <x:c r="A93" s="2" t="n">
        <x:v>12</x:v>
      </x:c>
      <x:c r="B93" s="2" t="str">
        <x:v>Regular</x:v>
      </x:c>
      <x:c r="C93" s="2" t="str">
        <x:v>Chas</x:v>
      </x:c>
      <x:c r="D93" s="2" t="str">
        <x:v>Team chas</x:v>
      </x:c>
      <x:c r="E93" s="15" t="n">
        <x:v>69</x:v>
      </x:c>
      <x:c r="F93" s="2" t="str">
        <x:v>Mark</x:v>
      </x:c>
      <x:c r="G93" s="2" t="str">
        <x:v>wacky waving arms</x:v>
      </x:c>
      <x:c r="H93" s="15" t="n">
        <x:v>102</x:v>
      </x:c>
      <x:c r="I93" s="2" t="str">
        <x:f>IF(E93&gt;H93,C93,IF(E93&lt;H93,F93,"Tie"))</x:f>
        <x:v>Mark</x:v>
      </x:c>
      <x:c r="J93" s="2" t="str">
        <x:f>IF(E93&gt;H93,F93,IF(E93&lt;H93,C93,"Tie"))</x:f>
        <x:v>Chas</x:v>
      </x:c>
      <x:c r="K93" s="2" t="n">
        <x:f>IF(E93=H93,1,0)</x:f>
        <x:v>0</x:v>
      </x:c>
      <x:c r="L93" s="2" t="str">
        <x:v>Chas / Mark</x:v>
      </x:c>
      <x:c r="M93" t="str"/>
      <x:c r="N93" t="str">
        <x:v>Supplied</x:v>
      </x:c>
    </x:row>
    <x:row r="94" ht="22" customHeight="1">
      <x:c r="A94" s="2" t="n">
        <x:v>12</x:v>
      </x:c>
      <x:c r="B94" s="2" t="str">
        <x:v>Regular</x:v>
      </x:c>
      <x:c r="C94" s="2" t="str">
        <x:v>Mike</x:v>
      </x:c>
      <x:c r="D94" s="2" t="str">
        <x:v>Torn ACL's</x:v>
      </x:c>
      <x:c r="E94" s="15" t="n">
        <x:v>58</x:v>
      </x:c>
      <x:c r="F94" s="2" t="str">
        <x:v>Paul</x:v>
      </x:c>
      <x:c r="G94" s="2" t="str">
        <x:v>Paul's Team</x:v>
      </x:c>
      <x:c r="H94" s="15" t="n">
        <x:v>133</x:v>
      </x:c>
      <x:c r="I94" s="2" t="str">
        <x:f>IF(E94&gt;H94,C94,IF(E94&lt;H94,F94,"Tie"))</x:f>
        <x:v>Paul</x:v>
      </x:c>
      <x:c r="J94" s="2" t="str">
        <x:f>IF(E94&gt;H94,F94,IF(E94&lt;H94,C94,"Tie"))</x:f>
        <x:v>Mike</x:v>
      </x:c>
      <x:c r="K94" s="2" t="n">
        <x:f>IF(E94=H94,1,0)</x:f>
        <x:v>0</x:v>
      </x:c>
      <x:c r="L94" s="2" t="str">
        <x:v>Mike / Paul</x:v>
      </x:c>
      <x:c r="M94" t="str"/>
      <x:c r="N94" t="str">
        <x:v>Supplied</x:v>
      </x:c>
    </x:row>
    <x:row r="95" ht="22" customHeight="1">
      <x:c r="A95" s="2" t="n">
        <x:v>12</x:v>
      </x:c>
      <x:c r="B95" s="2" t="str">
        <x:v>Regular</x:v>
      </x:c>
      <x:c r="C95" s="2" t="str">
        <x:v>Matt</x:v>
      </x:c>
      <x:c r="D95" s="2" t="str">
        <x:v>Craig Gregor</x:v>
      </x:c>
      <x:c r="E95" s="15" t="n">
        <x:v>127</x:v>
      </x:c>
      <x:c r="F95" s="2" t="str">
        <x:v>Taylor</x:v>
      </x:c>
      <x:c r="G95" s="2" t="str">
        <x:v>BILLY BALD-ASS</x:v>
      </x:c>
      <x:c r="H95" s="15" t="n">
        <x:v>130</x:v>
      </x:c>
      <x:c r="I95" s="2" t="str">
        <x:f>IF(E95&gt;H95,C95,IF(E95&lt;H95,F95,"Tie"))</x:f>
        <x:v>Taylor</x:v>
      </x:c>
      <x:c r="J95" s="2" t="str">
        <x:f>IF(E95&gt;H95,F95,IF(E95&lt;H95,C95,"Tie"))</x:f>
        <x:v>Matt</x:v>
      </x:c>
      <x:c r="K95" s="2" t="n">
        <x:f>IF(E95=H95,1,0)</x:f>
        <x:v>0</x:v>
      </x:c>
      <x:c r="L95" s="2" t="str">
        <x:v>Matt / Taylor</x:v>
      </x:c>
      <x:c r="M95" t="str"/>
      <x:c r="N95" t="str">
        <x:v>Supplied</x:v>
      </x:c>
    </x:row>
    <x:row r="96" ht="22" customHeight="1">
      <x:c r="A96" s="2" t="n">
        <x:v>13</x:v>
      </x:c>
      <x:c r="B96" s="2" t="str">
        <x:v>Regular</x:v>
      </x:c>
      <x:c r="C96" s="2" t="str">
        <x:v>Andrew</x:v>
      </x:c>
      <x:c r="D96" s="2" t="str">
        <x:v>Hilton Head SC</x:v>
      </x:c>
      <x:c r="E96" s="15" t="n">
        <x:v>109</x:v>
      </x:c>
      <x:c r="F96" s="2" t="str">
        <x:v>Taylor</x:v>
      </x:c>
      <x:c r="G96" s="2" t="str">
        <x:v>BILLY BALD-ASS</x:v>
      </x:c>
      <x:c r="H96" s="15" t="n">
        <x:v>134</x:v>
      </x:c>
      <x:c r="I96" s="2" t="str">
        <x:f>IF(E96&gt;H96,C96,IF(E96&lt;H96,F96,"Tie"))</x:f>
        <x:v>Taylor</x:v>
      </x:c>
      <x:c r="J96" s="2" t="str">
        <x:f>IF(E96&gt;H96,F96,IF(E96&lt;H96,C96,"Tie"))</x:f>
        <x:v>Andrew</x:v>
      </x:c>
      <x:c r="K96" s="2" t="n">
        <x:f>IF(E96=H96,1,0)</x:f>
        <x:v>0</x:v>
      </x:c>
      <x:c r="L96" s="2" t="str">
        <x:v>Andrew / Taylor</x:v>
      </x:c>
      <x:c r="M96" t="str"/>
      <x:c r="N96" t="str">
        <x:v>Supplied</x:v>
      </x:c>
    </x:row>
    <x:row r="97" ht="22" customHeight="1">
      <x:c r="A97" s="2" t="n">
        <x:v>13</x:v>
      </x:c>
      <x:c r="B97" s="2" t="str">
        <x:v>Regular</x:v>
      </x:c>
      <x:c r="C97" s="2" t="str">
        <x:v>Bruce</x:v>
      </x:c>
      <x:c r="D97" s="2" t="str">
        <x:v>The Storm</x:v>
      </x:c>
      <x:c r="E97" s="15" t="n">
        <x:v>76</x:v>
      </x:c>
      <x:c r="F97" s="2" t="str">
        <x:v>Josh</x:v>
      </x:c>
      <x:c r="G97" s="2" t="str">
        <x:v>The Markgregors</x:v>
      </x:c>
      <x:c r="H97" s="15" t="n">
        <x:v>109</x:v>
      </x:c>
      <x:c r="I97" s="2" t="str">
        <x:f>IF(E97&gt;H97,C97,IF(E97&lt;H97,F97,"Tie"))</x:f>
        <x:v>Josh</x:v>
      </x:c>
      <x:c r="J97" s="2" t="str">
        <x:f>IF(E97&gt;H97,F97,IF(E97&lt;H97,C97,"Tie"))</x:f>
        <x:v>Bruce</x:v>
      </x:c>
      <x:c r="K97" s="2" t="n">
        <x:f>IF(E97=H97,1,0)</x:f>
        <x:v>0</x:v>
      </x:c>
      <x:c r="L97" s="2" t="str">
        <x:v>Bruce / Josh</x:v>
      </x:c>
      <x:c r="M97" t="str"/>
      <x:c r="N97" t="str">
        <x:v>Supplied</x:v>
      </x:c>
    </x:row>
    <x:row r="98" ht="22" customHeight="1">
      <x:c r="A98" s="2" t="n">
        <x:v>13</x:v>
      </x:c>
      <x:c r="B98" s="2" t="str">
        <x:v>Regular</x:v>
      </x:c>
      <x:c r="C98" s="2" t="str">
        <x:v>Craig</x:v>
      </x:c>
      <x:c r="D98" s="2" t="str">
        <x:v>The Ants Marching</x:v>
      </x:c>
      <x:c r="E98" s="15" t="n">
        <x:v>83</x:v>
      </x:c>
      <x:c r="F98" s="2" t="str">
        <x:v>Mark</x:v>
      </x:c>
      <x:c r="G98" s="2" t="str">
        <x:v>wacky waving arms</x:v>
      </x:c>
      <x:c r="H98" s="15" t="n">
        <x:v>117</x:v>
      </x:c>
      <x:c r="I98" s="2" t="str">
        <x:f>IF(E98&gt;H98,C98,IF(E98&lt;H98,F98,"Tie"))</x:f>
        <x:v>Mark</x:v>
      </x:c>
      <x:c r="J98" s="2" t="str">
        <x:f>IF(E98&gt;H98,F98,IF(E98&lt;H98,C98,"Tie"))</x:f>
        <x:v>Craig</x:v>
      </x:c>
      <x:c r="K98" s="2" t="n">
        <x:f>IF(E98=H98,1,0)</x:f>
        <x:v>0</x:v>
      </x:c>
      <x:c r="L98" s="2" t="str">
        <x:v>Craig / Mark</x:v>
      </x:c>
      <x:c r="M98" t="str"/>
      <x:c r="N98" t="str">
        <x:v>Supplied</x:v>
      </x:c>
    </x:row>
    <x:row r="99" ht="22" customHeight="1">
      <x:c r="A99" s="2" t="n">
        <x:v>13</x:v>
      </x:c>
      <x:c r="B99" s="2" t="str">
        <x:v>Regular</x:v>
      </x:c>
      <x:c r="C99" s="2" t="str">
        <x:v>Ed</x:v>
      </x:c>
      <x:c r="D99" s="2" t="str">
        <x:v>Club Eroticas Finest</x:v>
      </x:c>
      <x:c r="E99" s="15" t="n">
        <x:v>94</x:v>
      </x:c>
      <x:c r="F99" s="2" t="str">
        <x:v>Matt</x:v>
      </x:c>
      <x:c r="G99" s="2" t="str">
        <x:v>Craig Gregor</x:v>
      </x:c>
      <x:c r="H99" s="15" t="n">
        <x:v>133</x:v>
      </x:c>
      <x:c r="I99" s="2" t="str">
        <x:f>IF(E99&gt;H99,C99,IF(E99&lt;H99,F99,"Tie"))</x:f>
        <x:v>Matt</x:v>
      </x:c>
      <x:c r="J99" s="2" t="str">
        <x:f>IF(E99&gt;H99,F99,IF(E99&lt;H99,C99,"Tie"))</x:f>
        <x:v>Ed</x:v>
      </x:c>
      <x:c r="K99" s="2" t="n">
        <x:f>IF(E99=H99,1,0)</x:f>
        <x:v>0</x:v>
      </x:c>
      <x:c r="L99" s="2" t="str">
        <x:v>Ed / Matt</x:v>
      </x:c>
      <x:c r="M99" t="str"/>
      <x:c r="N99" t="str">
        <x:v>Supplied</x:v>
      </x:c>
    </x:row>
    <x:row r="100" ht="22" customHeight="1">
      <x:c r="A100" s="2" t="n">
        <x:v>13</x:v>
      </x:c>
      <x:c r="B100" s="2" t="str">
        <x:v>Regular</x:v>
      </x:c>
      <x:c r="C100" s="2" t="str">
        <x:v>Chas</x:v>
      </x:c>
      <x:c r="D100" s="2" t="str">
        <x:v>Team chas</x:v>
      </x:c>
      <x:c r="E100" s="15" t="n">
        <x:v>52</x:v>
      </x:c>
      <x:c r="F100" s="2" t="str">
        <x:v>Mike</x:v>
      </x:c>
      <x:c r="G100" s="2" t="str">
        <x:v>Torn ACL's</x:v>
      </x:c>
      <x:c r="H100" s="15" t="n">
        <x:v>104</x:v>
      </x:c>
      <x:c r="I100" s="2" t="str">
        <x:f>IF(E100&gt;H100,C100,IF(E100&lt;H100,F100,"Tie"))</x:f>
        <x:v>Mike</x:v>
      </x:c>
      <x:c r="J100" s="2" t="str">
        <x:f>IF(E100&gt;H100,F100,IF(E100&lt;H100,C100,"Tie"))</x:f>
        <x:v>Chas</x:v>
      </x:c>
      <x:c r="K100" s="2" t="n">
        <x:f>IF(E100=H100,1,0)</x:f>
        <x:v>0</x:v>
      </x:c>
      <x:c r="L100" s="2" t="str">
        <x:v>Chas / Mike</x:v>
      </x:c>
      <x:c r="M100" t="str"/>
      <x:c r="N100" t="str">
        <x:v>Supplied</x:v>
      </x:c>
    </x:row>
    <x:row r="101" ht="22" customHeight="1">
      <x:c r="A101" s="2" t="n">
        <x:v>13</x:v>
      </x:c>
      <x:c r="B101" s="2" t="str">
        <x:v>Regular</x:v>
      </x:c>
      <x:c r="C101" s="2" t="str">
        <x:v>James B.</x:v>
      </x:c>
      <x:c r="D101" s="2" t="str">
        <x:v>The Entourage</x:v>
      </x:c>
      <x:c r="E101" s="15" t="n">
        <x:v>162</x:v>
      </x:c>
      <x:c r="F101" s="2" t="str">
        <x:v>Paul</x:v>
      </x:c>
      <x:c r="G101" s="2" t="str">
        <x:v>Paul's Team</x:v>
      </x:c>
      <x:c r="H101" s="15" t="n">
        <x:v>101</x:v>
      </x:c>
      <x:c r="I101" s="2" t="str">
        <x:f>IF(E101&gt;H101,C101,IF(E101&lt;H101,F101,"Tie"))</x:f>
        <x:v>James B.</x:v>
      </x:c>
      <x:c r="J101" s="2" t="str">
        <x:f>IF(E101&gt;H101,F101,IF(E101&lt;H101,C101,"Tie"))</x:f>
        <x:v>Paul</x:v>
      </x:c>
      <x:c r="K101" s="2" t="n">
        <x:f>IF(E101=H101,1,0)</x:f>
        <x:v>0</x:v>
      </x:c>
      <x:c r="L101" s="2" t="str">
        <x:v>James B. / Paul</x:v>
      </x:c>
      <x:c r="M101" t="str"/>
      <x:c r="N101" t="str">
        <x:v>Supplied</x:v>
      </x:c>
    </x:row>
    <x:row r="102" ht="22" customHeight="1">
      <x:c r="A102" s="2" t="n">
        <x:v>14</x:v>
      </x:c>
      <x:c r="B102" s="2" t="str">
        <x:v>Playoffs</x:v>
      </x:c>
      <x:c r="C102" s="2" t="str">
        <x:v>Craig</x:v>
      </x:c>
      <x:c r="D102" s="2" t="str">
        <x:v>The Ants Marching</x:v>
      </x:c>
      <x:c r="E102" s="15" t="n">
        <x:v>100</x:v>
      </x:c>
      <x:c r="F102" s="2" t="str">
        <x:v>Mark</x:v>
      </x:c>
      <x:c r="G102" s="2" t="str">
        <x:v>wacky waving arms</x:v>
      </x:c>
      <x:c r="H102" s="15" t="n">
        <x:v>82</x:v>
      </x:c>
      <x:c r="I102" s="2" t="str">
        <x:f>IF(E102&gt;H102,C102,IF(E102&lt;H102,F102,"Tie"))</x:f>
        <x:v>Craig</x:v>
      </x:c>
      <x:c r="J102" s="2" t="str">
        <x:f>IF(E102&gt;H102,F102,IF(E102&lt;H102,C102,"Tie"))</x:f>
        <x:v>Mark</x:v>
      </x:c>
      <x:c r="K102" s="2" t="n">
        <x:f>IF(E102=H102,1,0)</x:f>
        <x:v>0</x:v>
      </x:c>
      <x:c r="L102" s="2" t="str">
        <x:v>Craig / Mark</x:v>
      </x:c>
      <x:c r="M102" t="str">
        <x:v>Quarterfinal</x:v>
      </x:c>
      <x:c r="N102" t="str">
        <x:v>Supplied</x:v>
      </x:c>
    </x:row>
    <x:row r="103" ht="22" customHeight="1">
      <x:c r="A103" s="2" t="n">
        <x:v>14</x:v>
      </x:c>
      <x:c r="B103" s="2" t="str">
        <x:v>Playoffs</x:v>
      </x:c>
      <x:c r="C103" s="2" t="str">
        <x:v>Josh</x:v>
      </x:c>
      <x:c r="D103" s="2" t="str">
        <x:v>The Markgregors</x:v>
      </x:c>
      <x:c r="E103" s="15" t="n">
        <x:v>119</x:v>
      </x:c>
      <x:c r="F103" s="2" t="str">
        <x:v>James B.</x:v>
      </x:c>
      <x:c r="G103" s="2" t="str">
        <x:v>The Entourage</x:v>
      </x:c>
      <x:c r="H103" s="15" t="n">
        <x:v>148</x:v>
      </x:c>
      <x:c r="I103" s="2" t="str">
        <x:f>IF(E103&gt;H103,C103,IF(E103&lt;H103,F103,"Tie"))</x:f>
        <x:v>James B.</x:v>
      </x:c>
      <x:c r="J103" s="2" t="str">
        <x:f>IF(E103&gt;H103,F103,IF(E103&lt;H103,C103,"Tie"))</x:f>
        <x:v>Josh</x:v>
      </x:c>
      <x:c r="K103" s="2" t="n">
        <x:f>IF(E103=H103,1,0)</x:f>
        <x:v>0</x:v>
      </x:c>
      <x:c r="L103" s="2" t="str">
        <x:v>James B. / Josh</x:v>
      </x:c>
      <x:c r="M103" t="str">
        <x:v>Quarterfinal</x:v>
      </x:c>
      <x:c r="N103" t="str">
        <x:v>Supplied</x:v>
      </x:c>
    </x:row>
    <x:row r="104" ht="22" customHeight="1">
      <x:c r="A104" s="2" t="n">
        <x:v>15</x:v>
      </x:c>
      <x:c r="B104" s="2" t="str">
        <x:v>Playoffs</x:v>
      </x:c>
      <x:c r="C104" s="2" t="str">
        <x:v>Craig</x:v>
      </x:c>
      <x:c r="D104" s="2" t="str">
        <x:v>The Ants Marching</x:v>
      </x:c>
      <x:c r="E104" s="15" t="n">
        <x:v>90</x:v>
      </x:c>
      <x:c r="F104" s="2" t="str">
        <x:v>Taylor</x:v>
      </x:c>
      <x:c r="G104" s="2" t="str">
        <x:v>BILLY BALD-ASS</x:v>
      </x:c>
      <x:c r="H104" s="15" t="n">
        <x:v>113</x:v>
      </x:c>
      <x:c r="I104" s="2" t="str">
        <x:f>IF(E104&gt;H104,C104,IF(E104&lt;H104,F104,"Tie"))</x:f>
        <x:v>Taylor</x:v>
      </x:c>
      <x:c r="J104" s="2" t="str">
        <x:f>IF(E104&gt;H104,F104,IF(E104&lt;H104,C104,"Tie"))</x:f>
        <x:v>Craig</x:v>
      </x:c>
      <x:c r="K104" s="2" t="n">
        <x:f>IF(E104=H104,1,0)</x:f>
        <x:v>0</x:v>
      </x:c>
      <x:c r="L104" s="2" t="str">
        <x:v>Craig / Taylor</x:v>
      </x:c>
      <x:c r="M104" t="str">
        <x:v>Semifinal</x:v>
      </x:c>
      <x:c r="N104" t="str">
        <x:v>Inferred</x:v>
      </x:c>
    </x:row>
    <x:row r="105" ht="22" customHeight="1">
      <x:c r="A105" s="2" t="n">
        <x:v>15</x:v>
      </x:c>
      <x:c r="B105" s="2" t="str">
        <x:v>Playoffs</x:v>
      </x:c>
      <x:c r="C105" s="2" t="str">
        <x:v>James B.</x:v>
      </x:c>
      <x:c r="D105" s="2" t="str">
        <x:v>The Entourage</x:v>
      </x:c>
      <x:c r="E105" s="15" t="n">
        <x:v>83</x:v>
      </x:c>
      <x:c r="F105" s="2" t="str">
        <x:v>Andrew</x:v>
      </x:c>
      <x:c r="G105" s="2" t="str">
        <x:v>Hilton Head SC</x:v>
      </x:c>
      <x:c r="H105" s="15" t="n">
        <x:v>112</x:v>
      </x:c>
      <x:c r="I105" s="2" t="str">
        <x:f>IF(E105&gt;H105,C105,IF(E105&lt;H105,F105,"Tie"))</x:f>
        <x:v>Andrew</x:v>
      </x:c>
      <x:c r="J105" s="2" t="str">
        <x:f>IF(E105&gt;H105,F105,IF(E105&lt;H105,C105,"Tie"))</x:f>
        <x:v>James B.</x:v>
      </x:c>
      <x:c r="K105" s="2" t="n">
        <x:f>IF(E105=H105,1,0)</x:f>
        <x:v>0</x:v>
      </x:c>
      <x:c r="L105" s="2" t="str">
        <x:v>Andrew / James B.</x:v>
      </x:c>
      <x:c r="M105" t="str">
        <x:v>Semifinal</x:v>
      </x:c>
      <x:c r="N105" t="str">
        <x:v>Inferred</x:v>
      </x:c>
    </x:row>
    <x:row r="106" ht="22" customHeight="1">
      <x:c r="A106" s="2" t="n">
        <x:v>16</x:v>
      </x:c>
      <x:c r="B106" s="2" t="str">
        <x:v>Playoffs</x:v>
      </x:c>
      <x:c r="C106" s="2" t="str">
        <x:v>Taylor</x:v>
      </x:c>
      <x:c r="D106" s="2" t="str">
        <x:v>BILLY BALD-ASS</x:v>
      </x:c>
      <x:c r="E106" s="15" t="n">
        <x:v>85</x:v>
      </x:c>
      <x:c r="F106" s="2" t="str">
        <x:v>Andrew</x:v>
      </x:c>
      <x:c r="G106" s="2" t="str">
        <x:v>Hilton Head SC</x:v>
      </x:c>
      <x:c r="H106" s="15" t="n">
        <x:v>94</x:v>
      </x:c>
      <x:c r="I106" s="2" t="str">
        <x:f>IF(E106&gt;H106,C106,IF(E106&lt;H106,F106,"Tie"))</x:f>
        <x:v>Andrew</x:v>
      </x:c>
      <x:c r="J106" s="2" t="str">
        <x:f>IF(E106&gt;H106,F106,IF(E106&lt;H106,C106,"Tie"))</x:f>
        <x:v>Taylor</x:v>
      </x:c>
      <x:c r="K106" s="2" t="n">
        <x:f>IF(E106=H106,1,0)</x:f>
        <x:v>0</x:v>
      </x:c>
      <x:c r="L106" s="2" t="str">
        <x:v>Andrew / Taylor</x:v>
      </x:c>
      <x:c r="M106" t="str">
        <x:v>Final</x:v>
      </x:c>
      <x:c r="N106" t="str">
        <x:v>Inferred</x:v>
      </x:c>
    </x:row>
  </x:sheetData>
  <x:pageMargins left="0.7" right="0.7" top="0.75" bottom="0.75" header="0.3" footer="0.3"/>
  <x:tableParts count="1">
    <x:tablePart xmlns:r="http://schemas.openxmlformats.org/officeDocument/2006/relationships" r:id="R84031b9947da44c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2018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Ben</x:v>
      </x:c>
      <x:c r="C4" s="2"/>
      <x:c r="D4" s="2" t="str">
        <x:v>Runner-up</x:v>
      </x:c>
      <x:c r="E4" s="2" t="str">
        <x:v>Frank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6" t="str">
        <x:v>Manager</x:v>
      </x:c>
      <x:c r="B6" s="6" t="str">
        <x:v>Team</x:v>
      </x:c>
      <x:c r="C6" s="6" t="str">
        <x:v>W</x:v>
      </x:c>
      <x:c r="D6" s="6" t="str">
        <x:v>L</x:v>
      </x:c>
      <x:c r="E6" s="6" t="str">
        <x:v>T</x:v>
      </x:c>
      <x:c r="F6" s="6" t="str">
        <x:v>Games</x:v>
      </x:c>
      <x:c r="G6" s="6" t="str">
        <x:v>Win %</x:v>
      </x:c>
      <x:c r="H6" s="6" t="str">
        <x:v>PF</x:v>
      </x:c>
      <x:c r="I6" s="6" t="str">
        <x:v>PA</x:v>
      </x:c>
      <x:c r="J6" s="6" t="str">
        <x:v>Moves</x:v>
      </x:c>
      <x:c r="K6" s="6" t="str">
        <x:v>Trades</x:v>
      </x:c>
      <x:c r="L6" s="6" t="str">
        <x:v>Waiver</x:v>
      </x:c>
    </x:row>
    <x:row r="7" ht="22" customHeight="1">
      <x:c r="A7" s="2" t="str">
        <x:v>Ben</x:v>
      </x:c>
      <x:c r="B7" s="2" t="str">
        <x:v>NebGilum</x:v>
      </x:c>
      <x:c r="C7" s="2" t="n">
        <x:f>COUNTIFS('2018'!$I$24:$I$106,A7,'2018'!$B$24:$B$106,"&lt;&gt;Playoffs")</x:f>
        <x:v>10</x:v>
      </x:c>
      <x:c r="D7" s="2" t="n">
        <x:f>COUNTIFS('2018'!$J$24:$J$106,A7,'2018'!$B$24:$B$106,"&lt;&gt;Playoffs")</x:f>
        <x:v>3</x:v>
      </x:c>
      <x:c r="E7" s="2" t="n">
        <x:f>COUNTIFS('2018'!$C$24:$C$106,A7,'2018'!$K$24:$K$106,1,'2018'!$B$24:$B$106,"&lt;&gt;Playoffs")+COUNTIFS('2018'!$F$24:$F$106,A7,'2018'!$K$24:$K$106,1,'2018'!$B$24:$B$106,"&lt;&gt;Playoffs")</x:f>
        <x:v>0</x:v>
      </x:c>
      <x:c r="F7" s="2" t="n">
        <x:f>SUM(C7:E7)</x:f>
        <x:v>13</x:v>
      </x:c>
      <x:c r="G7" s="11" t="n">
        <x:f>IF(F7=0,0,(C7+0.5*E7)/F7)</x:f>
        <x:v>0.7692307692307693</x:v>
      </x:c>
      <x:c r="H7" s="13" t="n">
        <x:f>SUMIFS('2018'!$E$24:$E$106,'2018'!$C$24:$C$106,A7,'2018'!$B$24:$B$106,"&lt;&gt;Playoffs")+SUMIFS('2018'!$H$24:$H$106,'2018'!$F$24:$F$106,A7,'2018'!$B$24:$B$106,"&lt;&gt;Playoffs")</x:f>
        <x:v>1814</x:v>
      </x:c>
      <x:c r="I7" s="13" t="n">
        <x:f>SUMIFS('2018'!$H$24:$H$106,'2018'!$C$24:$C$106,A7,'2018'!$B$24:$B$106,"&lt;&gt;Playoffs")+SUMIFS('2018'!$E$24:$E$106,'2018'!$F$24:$F$106,A7,'2018'!$B$24:$B$106,"&lt;&gt;Playoffs")</x:f>
        <x:v>1612</x:v>
      </x:c>
      <x:c r="J7" s="2" t="n">
        <x:v>15</x:v>
      </x:c>
      <x:c r="K7" s="2" t="n">
        <x:v>2</x:v>
      </x:c>
      <x:c r="L7" s="2" t="n">
        <x:v>12</x:v>
      </x:c>
    </x:row>
    <x:row r="8" ht="22" customHeight="1">
      <x:c r="A8" s="10" t="str">
        <x:v>Bruce</x:v>
      </x:c>
      <x:c r="B8" s="10" t="str">
        <x:v>The Storm</x:v>
      </x:c>
      <x:c r="C8" s="10" t="n">
        <x:f>COUNTIFS('2018'!$I$24:$I$106,A8,'2018'!$B$24:$B$106,"&lt;&gt;Playoffs")</x:f>
        <x:v>5</x:v>
      </x:c>
      <x:c r="D8" s="10" t="n">
        <x:f>COUNTIFS('2018'!$J$24:$J$106,A8,'2018'!$B$24:$B$106,"&lt;&gt;Playoffs")</x:f>
        <x:v>7</x:v>
      </x:c>
      <x:c r="E8" s="10" t="n">
        <x:f>COUNTIFS('2018'!$C$24:$C$106,A8,'2018'!$K$24:$K$106,1,'2018'!$B$24:$B$106,"&lt;&gt;Playoffs")+COUNTIFS('2018'!$F$24:$F$106,A8,'2018'!$K$24:$K$106,1,'2018'!$B$24:$B$106,"&lt;&gt;Playoffs")</x:f>
        <x:v>1</x:v>
      </x:c>
      <x:c r="F8" s="10" t="n">
        <x:f>SUM(C8:E8)</x:f>
        <x:v>13</x:v>
      </x:c>
      <x:c r="G8" s="12" t="n">
        <x:f>IF(F8=0,0,(C8+0.5*E8)/F8)</x:f>
        <x:v>0.4230769230769231</x:v>
      </x:c>
      <x:c r="H8" s="14" t="n">
        <x:f>SUMIFS('2018'!$E$24:$E$106,'2018'!$C$24:$C$106,A8,'2018'!$B$24:$B$106,"&lt;&gt;Playoffs")+SUMIFS('2018'!$H$24:$H$106,'2018'!$F$24:$F$106,A8,'2018'!$B$24:$B$106,"&lt;&gt;Playoffs")</x:f>
        <x:v>1483</x:v>
      </x:c>
      <x:c r="I8" s="14" t="n">
        <x:f>SUMIFS('2018'!$H$24:$H$106,'2018'!$C$24:$C$106,A8,'2018'!$B$24:$B$106,"&lt;&gt;Playoffs")+SUMIFS('2018'!$E$24:$E$106,'2018'!$F$24:$F$106,A8,'2018'!$B$24:$B$106,"&lt;&gt;Playoffs")</x:f>
        <x:v>1590</x:v>
      </x:c>
      <x:c r="J8" s="10" t="n">
        <x:v>5</x:v>
      </x:c>
      <x:c r="K8" s="10" t="n">
        <x:v>0</x:v>
      </x:c>
      <x:c r="L8" s="10" t="n">
        <x:v>5</x:v>
      </x:c>
    </x:row>
    <x:row r="9" ht="22" customHeight="1">
      <x:c r="A9" s="2" t="str">
        <x:v>Chas</x:v>
      </x:c>
      <x:c r="B9" s="2" t="str">
        <x:v>Team chas</x:v>
      </x:c>
      <x:c r="C9" s="2" t="n">
        <x:f>COUNTIFS('2018'!$I$24:$I$106,A9,'2018'!$B$24:$B$106,"&lt;&gt;Playoffs")</x:f>
        <x:v>3</x:v>
      </x:c>
      <x:c r="D9" s="2" t="n">
        <x:f>COUNTIFS('2018'!$J$24:$J$106,A9,'2018'!$B$24:$B$106,"&lt;&gt;Playoffs")</x:f>
        <x:v>10</x:v>
      </x:c>
      <x:c r="E9" s="2" t="n">
        <x:f>COUNTIFS('2018'!$C$24:$C$106,A9,'2018'!$K$24:$K$106,1,'2018'!$B$24:$B$106,"&lt;&gt;Playoffs")+COUNTIFS('2018'!$F$24:$F$106,A9,'2018'!$K$24:$K$106,1,'2018'!$B$24:$B$106,"&lt;&gt;Playoffs")</x:f>
        <x:v>0</x:v>
      </x:c>
      <x:c r="F9" s="2" t="n">
        <x:f>SUM(C9:E9)</x:f>
        <x:v>13</x:v>
      </x:c>
      <x:c r="G9" s="11" t="n">
        <x:f>IF(F9=0,0,(C9+0.5*E9)/F9)</x:f>
        <x:v>0.23076923076923078</x:v>
      </x:c>
      <x:c r="H9" s="13" t="n">
        <x:f>SUMIFS('2018'!$E$24:$E$106,'2018'!$C$24:$C$106,A9,'2018'!$B$24:$B$106,"&lt;&gt;Playoffs")+SUMIFS('2018'!$H$24:$H$106,'2018'!$F$24:$F$106,A9,'2018'!$B$24:$B$106,"&lt;&gt;Playoffs")</x:f>
        <x:v>1151</x:v>
      </x:c>
      <x:c r="I9" s="13" t="n">
        <x:f>SUMIFS('2018'!$H$24:$H$106,'2018'!$C$24:$C$106,A9,'2018'!$B$24:$B$106,"&lt;&gt;Playoffs")+SUMIFS('2018'!$E$24:$E$106,'2018'!$F$24:$F$106,A9,'2018'!$B$24:$B$106,"&lt;&gt;Playoffs")</x:f>
        <x:v>1719</x:v>
      </x:c>
      <x:c r="J9" s="2" t="n">
        <x:v>0</x:v>
      </x:c>
      <x:c r="K9" s="2" t="n">
        <x:v>0</x:v>
      </x:c>
      <x:c r="L9" s="2" t="n">
        <x:v>1</x:v>
      </x:c>
    </x:row>
    <x:row r="10" ht="22" customHeight="1">
      <x:c r="A10" s="10" t="str">
        <x:v>Craig</x:v>
      </x:c>
      <x:c r="B10" s="10" t="str">
        <x:v>The Ants Marching</x:v>
      </x:c>
      <x:c r="C10" s="10" t="n">
        <x:f>COUNTIFS('2018'!$I$24:$I$106,A10,'2018'!$B$24:$B$106,"&lt;&gt;Playoffs")</x:f>
        <x:v>13</x:v>
      </x:c>
      <x:c r="D10" s="10" t="n">
        <x:f>COUNTIFS('2018'!$J$24:$J$106,A10,'2018'!$B$24:$B$106,"&lt;&gt;Playoffs")</x:f>
        <x:v>0</x:v>
      </x:c>
      <x:c r="E10" s="10" t="n">
        <x:f>COUNTIFS('2018'!$C$24:$C$106,A10,'2018'!$K$24:$K$106,1,'2018'!$B$24:$B$106,"&lt;&gt;Playoffs")+COUNTIFS('2018'!$F$24:$F$106,A10,'2018'!$K$24:$K$106,1,'2018'!$B$24:$B$106,"&lt;&gt;Playoffs")</x:f>
        <x:v>0</x:v>
      </x:c>
      <x:c r="F10" s="10" t="n">
        <x:f>SUM(C10:E10)</x:f>
        <x:v>13</x:v>
      </x:c>
      <x:c r="G10" s="12" t="n">
        <x:f>IF(F10=0,0,(C10+0.5*E10)/F10)</x:f>
        <x:v>1</x:v>
      </x:c>
      <x:c r="H10" s="14" t="n">
        <x:f>SUMIFS('2018'!$E$24:$E$106,'2018'!$C$24:$C$106,A10,'2018'!$B$24:$B$106,"&lt;&gt;Playoffs")+SUMIFS('2018'!$H$24:$H$106,'2018'!$F$24:$F$106,A10,'2018'!$B$24:$B$106,"&lt;&gt;Playoffs")</x:f>
        <x:v>1930</x:v>
      </x:c>
      <x:c r="I10" s="14" t="n">
        <x:f>SUMIFS('2018'!$H$24:$H$106,'2018'!$C$24:$C$106,A10,'2018'!$B$24:$B$106,"&lt;&gt;Playoffs")+SUMIFS('2018'!$E$24:$E$106,'2018'!$F$24:$F$106,A10,'2018'!$B$24:$B$106,"&lt;&gt;Playoffs")</x:f>
        <x:v>1533</x:v>
      </x:c>
      <x:c r="J10" s="10" t="n">
        <x:v>9</x:v>
      </x:c>
      <x:c r="K10" s="10" t="n">
        <x:v>1</x:v>
      </x:c>
      <x:c r="L10" s="10" t="n">
        <x:v>8</x:v>
      </x:c>
    </x:row>
    <x:row r="11" ht="22" customHeight="1">
      <x:c r="A11" s="2" t="str">
        <x:v>Dave</x:v>
      </x:c>
      <x:c r="B11" s="2" t="str">
        <x:v>dave's Awesome Team</x:v>
      </x:c>
      <x:c r="C11" s="2" t="n">
        <x:f>COUNTIFS('2018'!$I$24:$I$106,A11,'2018'!$B$24:$B$106,"&lt;&gt;Playoffs")</x:f>
        <x:v>7</x:v>
      </x:c>
      <x:c r="D11" s="2" t="n">
        <x:f>COUNTIFS('2018'!$J$24:$J$106,A11,'2018'!$B$24:$B$106,"&lt;&gt;Playoffs")</x:f>
        <x:v>6</x:v>
      </x:c>
      <x:c r="E11" s="2" t="n">
        <x:f>COUNTIFS('2018'!$C$24:$C$106,A11,'2018'!$K$24:$K$106,1,'2018'!$B$24:$B$106,"&lt;&gt;Playoffs")+COUNTIFS('2018'!$F$24:$F$106,A11,'2018'!$K$24:$K$106,1,'2018'!$B$24:$B$106,"&lt;&gt;Playoffs")</x:f>
        <x:v>0</x:v>
      </x:c>
      <x:c r="F11" s="2" t="n">
        <x:f>SUM(C11:E11)</x:f>
        <x:v>13</x:v>
      </x:c>
      <x:c r="G11" s="11" t="n">
        <x:f>IF(F11=0,0,(C11+0.5*E11)/F11)</x:f>
        <x:v>0.5384615384615384</x:v>
      </x:c>
      <x:c r="H11" s="13" t="n">
        <x:f>SUMIFS('2018'!$E$24:$E$106,'2018'!$C$24:$C$106,A11,'2018'!$B$24:$B$106,"&lt;&gt;Playoffs")+SUMIFS('2018'!$H$24:$H$106,'2018'!$F$24:$F$106,A11,'2018'!$B$24:$B$106,"&lt;&gt;Playoffs")</x:f>
        <x:v>1512</x:v>
      </x:c>
      <x:c r="I11" s="13" t="n">
        <x:f>SUMIFS('2018'!$H$24:$H$106,'2018'!$C$24:$C$106,A11,'2018'!$B$24:$B$106,"&lt;&gt;Playoffs")+SUMIFS('2018'!$E$24:$E$106,'2018'!$F$24:$F$106,A11,'2018'!$B$24:$B$106,"&lt;&gt;Playoffs")</x:f>
        <x:v>1480</x:v>
      </x:c>
      <x:c r="J11" s="2" t="n">
        <x:v>12</x:v>
      </x:c>
      <x:c r="K11" s="2" t="n">
        <x:v>2</x:v>
      </x:c>
      <x:c r="L11" s="2" t="n">
        <x:v>9</x:v>
      </x:c>
    </x:row>
    <x:row r="12" ht="22" customHeight="1">
      <x:c r="A12" s="10" t="str">
        <x:v>Ed</x:v>
      </x:c>
      <x:c r="B12" s="10" t="str">
        <x:v>Club Eroticas Finest</x:v>
      </x:c>
      <x:c r="C12" s="10" t="n">
        <x:f>COUNTIFS('2018'!$I$24:$I$106,A12,'2018'!$B$24:$B$106,"&lt;&gt;Playoffs")</x:f>
        <x:v>5</x:v>
      </x:c>
      <x:c r="D12" s="10" t="n">
        <x:f>COUNTIFS('2018'!$J$24:$J$106,A12,'2018'!$B$24:$B$106,"&lt;&gt;Playoffs")</x:f>
        <x:v>7</x:v>
      </x:c>
      <x:c r="E12" s="10" t="n">
        <x:f>COUNTIFS('2018'!$C$24:$C$106,A12,'2018'!$K$24:$K$106,1,'2018'!$B$24:$B$106,"&lt;&gt;Playoffs")+COUNTIFS('2018'!$F$24:$F$106,A12,'2018'!$K$24:$K$106,1,'2018'!$B$24:$B$106,"&lt;&gt;Playoffs")</x:f>
        <x:v>1</x:v>
      </x:c>
      <x:c r="F12" s="10" t="n">
        <x:f>SUM(C12:E12)</x:f>
        <x:v>13</x:v>
      </x:c>
      <x:c r="G12" s="12" t="n">
        <x:f>IF(F12=0,0,(C12+0.5*E12)/F12)</x:f>
        <x:v>0.4230769230769231</x:v>
      </x:c>
      <x:c r="H12" s="14" t="n">
        <x:f>SUMIFS('2018'!$E$24:$E$106,'2018'!$C$24:$C$106,A12,'2018'!$B$24:$B$106,"&lt;&gt;Playoffs")+SUMIFS('2018'!$H$24:$H$106,'2018'!$F$24:$F$106,A12,'2018'!$B$24:$B$106,"&lt;&gt;Playoffs")</x:f>
        <x:v>1617</x:v>
      </x:c>
      <x:c r="I12" s="14" t="n">
        <x:f>SUMIFS('2018'!$H$24:$H$106,'2018'!$C$24:$C$106,A12,'2018'!$B$24:$B$106,"&lt;&gt;Playoffs")+SUMIFS('2018'!$E$24:$E$106,'2018'!$F$24:$F$106,A12,'2018'!$B$24:$B$106,"&lt;&gt;Playoffs")</x:f>
        <x:v>1665</x:v>
      </x:c>
      <x:c r="J12" s="10" t="n">
        <x:v>8</x:v>
      </x:c>
      <x:c r="K12" s="10" t="n">
        <x:v>2</x:v>
      </x:c>
      <x:c r="L12" s="10" t="n">
        <x:v>6</x:v>
      </x:c>
    </x:row>
    <x:row r="13" ht="22" customHeight="1">
      <x:c r="A13" s="2" t="str">
        <x:v>Frank</x:v>
      </x:c>
      <x:c r="B13" s="2" t="str">
        <x:v>Saquon Deez Nutz</x:v>
      </x:c>
      <x:c r="C13" s="2" t="n">
        <x:f>COUNTIFS('2018'!$I$24:$I$106,A13,'2018'!$B$24:$B$106,"&lt;&gt;Playoffs")</x:f>
        <x:v>7</x:v>
      </x:c>
      <x:c r="D13" s="2" t="n">
        <x:f>COUNTIFS('2018'!$J$24:$J$106,A13,'2018'!$B$24:$B$106,"&lt;&gt;Playoffs")</x:f>
        <x:v>4</x:v>
      </x:c>
      <x:c r="E13" s="2" t="n">
        <x:f>COUNTIFS('2018'!$C$24:$C$106,A13,'2018'!$K$24:$K$106,1,'2018'!$B$24:$B$106,"&lt;&gt;Playoffs")+COUNTIFS('2018'!$F$24:$F$106,A13,'2018'!$K$24:$K$106,1,'2018'!$B$24:$B$106,"&lt;&gt;Playoffs")</x:f>
        <x:v>2</x:v>
      </x:c>
      <x:c r="F13" s="2" t="n">
        <x:f>SUM(C13:E13)</x:f>
        <x:v>13</x:v>
      </x:c>
      <x:c r="G13" s="11" t="n">
        <x:f>IF(F13=0,0,(C13+0.5*E13)/F13)</x:f>
        <x:v>0.6153846153846154</x:v>
      </x:c>
      <x:c r="H13" s="13" t="n">
        <x:f>SUMIFS('2018'!$E$24:$E$106,'2018'!$C$24:$C$106,A13,'2018'!$B$24:$B$106,"&lt;&gt;Playoffs")+SUMIFS('2018'!$H$24:$H$106,'2018'!$F$24:$F$106,A13,'2018'!$B$24:$B$106,"&lt;&gt;Playoffs")</x:f>
        <x:v>1714</x:v>
      </x:c>
      <x:c r="I13" s="13" t="n">
        <x:f>SUMIFS('2018'!$H$24:$H$106,'2018'!$C$24:$C$106,A13,'2018'!$B$24:$B$106,"&lt;&gt;Playoffs")+SUMIFS('2018'!$E$24:$E$106,'2018'!$F$24:$F$106,A13,'2018'!$B$24:$B$106,"&lt;&gt;Playoffs")</x:f>
        <x:v>1569</x:v>
      </x:c>
      <x:c r="J13" s="2" t="n">
        <x:v>9</x:v>
      </x:c>
      <x:c r="K13" s="2" t="n">
        <x:v>1</x:v>
      </x:c>
      <x:c r="L13" s="2" t="n">
        <x:v>11</x:v>
      </x:c>
    </x:row>
    <x:row r="14" ht="22" customHeight="1">
      <x:c r="A14" s="10" t="str">
        <x:v>Josh</x:v>
      </x:c>
      <x:c r="B14" s="10" t="str">
        <x:v>The Marching Antz</x:v>
      </x:c>
      <x:c r="C14" s="10" t="n">
        <x:f>COUNTIFS('2018'!$I$24:$I$106,A14,'2018'!$B$24:$B$106,"&lt;&gt;Playoffs")</x:f>
        <x:v>4</x:v>
      </x:c>
      <x:c r="D14" s="10" t="n">
        <x:f>COUNTIFS('2018'!$J$24:$J$106,A14,'2018'!$B$24:$B$106,"&lt;&gt;Playoffs")</x:f>
        <x:v>9</x:v>
      </x:c>
      <x:c r="E14" s="10" t="n">
        <x:f>COUNTIFS('2018'!$C$24:$C$106,A14,'2018'!$K$24:$K$106,1,'2018'!$B$24:$B$106,"&lt;&gt;Playoffs")+COUNTIFS('2018'!$F$24:$F$106,A14,'2018'!$K$24:$K$106,1,'2018'!$B$24:$B$106,"&lt;&gt;Playoffs")</x:f>
        <x:v>0</x:v>
      </x:c>
      <x:c r="F14" s="10" t="n">
        <x:f>SUM(C14:E14)</x:f>
        <x:v>13</x:v>
      </x:c>
      <x:c r="G14" s="12" t="n">
        <x:f>IF(F14=0,0,(C14+0.5*E14)/F14)</x:f>
        <x:v>0.3076923076923077</x:v>
      </x:c>
      <x:c r="H14" s="14" t="n">
        <x:f>SUMIFS('2018'!$E$24:$E$106,'2018'!$C$24:$C$106,A14,'2018'!$B$24:$B$106,"&lt;&gt;Playoffs")+SUMIFS('2018'!$H$24:$H$106,'2018'!$F$24:$F$106,A14,'2018'!$B$24:$B$106,"&lt;&gt;Playoffs")</x:f>
        <x:v>1513</x:v>
      </x:c>
      <x:c r="I14" s="14" t="n">
        <x:f>SUMIFS('2018'!$H$24:$H$106,'2018'!$C$24:$C$106,A14,'2018'!$B$24:$B$106,"&lt;&gt;Playoffs")+SUMIFS('2018'!$E$24:$E$106,'2018'!$F$24:$F$106,A14,'2018'!$B$24:$B$106,"&lt;&gt;Playoffs")</x:f>
        <x:v>1509</x:v>
      </x:c>
      <x:c r="J14" s="10" t="n">
        <x:v>17</x:v>
      </x:c>
      <x:c r="K14" s="10" t="n">
        <x:v>4</x:v>
      </x:c>
      <x:c r="L14" s="10" t="n">
        <x:v>4</x:v>
      </x:c>
    </x:row>
    <x:row r="15" ht="22" customHeight="1">
      <x:c r="A15" s="2" t="str">
        <x:v>Mark</x:v>
      </x:c>
      <x:c r="B15" s="2" t="str">
        <x:v>wacky waving arms</x:v>
      </x:c>
      <x:c r="C15" s="2" t="n">
        <x:f>COUNTIFS('2018'!$I$24:$I$106,A15,'2018'!$B$24:$B$106,"&lt;&gt;Playoffs")</x:f>
        <x:v>6</x:v>
      </x:c>
      <x:c r="D15" s="2" t="n">
        <x:f>COUNTIFS('2018'!$J$24:$J$106,A15,'2018'!$B$24:$B$106,"&lt;&gt;Playoffs")</x:f>
        <x:v>7</x:v>
      </x:c>
      <x:c r="E15" s="2" t="n">
        <x:f>COUNTIFS('2018'!$C$24:$C$106,A15,'2018'!$K$24:$K$106,1,'2018'!$B$24:$B$106,"&lt;&gt;Playoffs")+COUNTIFS('2018'!$F$24:$F$106,A15,'2018'!$K$24:$K$106,1,'2018'!$B$24:$B$106,"&lt;&gt;Playoffs")</x:f>
        <x:v>0</x:v>
      </x:c>
      <x:c r="F15" s="2" t="n">
        <x:f>SUM(C15:E15)</x:f>
        <x:v>13</x:v>
      </x:c>
      <x:c r="G15" s="11" t="n">
        <x:f>IF(F15=0,0,(C15+0.5*E15)/F15)</x:f>
        <x:v>0.46153846153846156</x:v>
      </x:c>
      <x:c r="H15" s="13" t="n">
        <x:f>SUMIFS('2018'!$E$24:$E$106,'2018'!$C$24:$C$106,A15,'2018'!$B$24:$B$106,"&lt;&gt;Playoffs")+SUMIFS('2018'!$H$24:$H$106,'2018'!$F$24:$F$106,A15,'2018'!$B$24:$B$106,"&lt;&gt;Playoffs")</x:f>
        <x:v>1536</x:v>
      </x:c>
      <x:c r="I15" s="13" t="n">
        <x:f>SUMIFS('2018'!$H$24:$H$106,'2018'!$C$24:$C$106,A15,'2018'!$B$24:$B$106,"&lt;&gt;Playoffs")+SUMIFS('2018'!$E$24:$E$106,'2018'!$F$24:$F$106,A15,'2018'!$B$24:$B$106,"&lt;&gt;Playoffs")</x:f>
        <x:v>1528</x:v>
      </x:c>
      <x:c r="J15" s="2" t="n">
        <x:v>9</x:v>
      </x:c>
      <x:c r="K15" s="2" t="n">
        <x:v>0</x:v>
      </x:c>
      <x:c r="L15" s="2" t="n">
        <x:v>7</x:v>
      </x:c>
    </x:row>
    <x:row r="16" ht="22" customHeight="1">
      <x:c r="A16" s="10" t="str">
        <x:v>Mike</x:v>
      </x:c>
      <x:c r="B16" s="10" t="str">
        <x:v>The Dead Antz</x:v>
      </x:c>
      <x:c r="C16" s="10" t="n">
        <x:f>COUNTIFS('2018'!$I$24:$I$106,A16,'2018'!$B$24:$B$106,"&lt;&gt;Playoffs")</x:f>
        <x:v>4</x:v>
      </x:c>
      <x:c r="D16" s="10" t="n">
        <x:f>COUNTIFS('2018'!$J$24:$J$106,A16,'2018'!$B$24:$B$106,"&lt;&gt;Playoffs")</x:f>
        <x:v>9</x:v>
      </x:c>
      <x:c r="E16" s="10" t="n">
        <x:f>COUNTIFS('2018'!$C$24:$C$106,A16,'2018'!$K$24:$K$106,1,'2018'!$B$24:$B$106,"&lt;&gt;Playoffs")+COUNTIFS('2018'!$F$24:$F$106,A16,'2018'!$K$24:$K$106,1,'2018'!$B$24:$B$106,"&lt;&gt;Playoffs")</x:f>
        <x:v>0</x:v>
      </x:c>
      <x:c r="F16" s="10" t="n">
        <x:f>SUM(C16:E16)</x:f>
        <x:v>13</x:v>
      </x:c>
      <x:c r="G16" s="12" t="n">
        <x:f>IF(F16=0,0,(C16+0.5*E16)/F16)</x:f>
        <x:v>0.3076923076923077</x:v>
      </x:c>
      <x:c r="H16" s="14" t="n">
        <x:f>SUMIFS('2018'!$E$24:$E$106,'2018'!$C$24:$C$106,A16,'2018'!$B$24:$B$106,"&lt;&gt;Playoffs")+SUMIFS('2018'!$H$24:$H$106,'2018'!$F$24:$F$106,A16,'2018'!$B$24:$B$106,"&lt;&gt;Playoffs")</x:f>
        <x:v>1295</x:v>
      </x:c>
      <x:c r="I16" s="14" t="n">
        <x:f>SUMIFS('2018'!$H$24:$H$106,'2018'!$C$24:$C$106,A16,'2018'!$B$24:$B$106,"&lt;&gt;Playoffs")+SUMIFS('2018'!$E$24:$E$106,'2018'!$F$24:$F$106,A16,'2018'!$B$24:$B$106,"&lt;&gt;Playoffs")</x:f>
        <x:v>1552</x:v>
      </x:c>
      <x:c r="J16" s="10" t="n">
        <x:v>16</x:v>
      </x:c>
      <x:c r="K16" s="10" t="n">
        <x:v>3</x:v>
      </x:c>
      <x:c r="L16" s="10" t="n">
        <x:v>3</x:v>
      </x:c>
    </x:row>
    <x:row r="17" ht="22" customHeight="1">
      <x:c r="A17" s="2" t="str">
        <x:v>Paul</x:v>
      </x:c>
      <x:c r="B17" s="2" t="str">
        <x:v>Paul's Team</x:v>
      </x:c>
      <x:c r="C17" s="2" t="n">
        <x:f>COUNTIFS('2018'!$I$24:$I$106,A17,'2018'!$B$24:$B$106,"&lt;&gt;Playoffs")</x:f>
        <x:v>9</x:v>
      </x:c>
      <x:c r="D17" s="2" t="n">
        <x:f>COUNTIFS('2018'!$J$24:$J$106,A17,'2018'!$B$24:$B$106,"&lt;&gt;Playoffs")</x:f>
        <x:v>4</x:v>
      </x:c>
      <x:c r="E17" s="2" t="n">
        <x:f>COUNTIFS('2018'!$C$24:$C$106,A17,'2018'!$K$24:$K$106,1,'2018'!$B$24:$B$106,"&lt;&gt;Playoffs")+COUNTIFS('2018'!$F$24:$F$106,A17,'2018'!$K$24:$K$106,1,'2018'!$B$24:$B$106,"&lt;&gt;Playoffs")</x:f>
        <x:v>0</x:v>
      </x:c>
      <x:c r="F17" s="2" t="n">
        <x:f>SUM(C17:E17)</x:f>
        <x:v>13</x:v>
      </x:c>
      <x:c r="G17" s="11" t="n">
        <x:f>IF(F17=0,0,(C17+0.5*E17)/F17)</x:f>
        <x:v>0.6923076923076923</x:v>
      </x:c>
      <x:c r="H17" s="13" t="n">
        <x:f>SUMIFS('2018'!$E$24:$E$106,'2018'!$C$24:$C$106,A17,'2018'!$B$24:$B$106,"&lt;&gt;Playoffs")+SUMIFS('2018'!$H$24:$H$106,'2018'!$F$24:$F$106,A17,'2018'!$B$24:$B$106,"&lt;&gt;Playoffs")</x:f>
        <x:v>1817</x:v>
      </x:c>
      <x:c r="I17" s="13" t="n">
        <x:f>SUMIFS('2018'!$H$24:$H$106,'2018'!$C$24:$C$106,A17,'2018'!$B$24:$B$106,"&lt;&gt;Playoffs")+SUMIFS('2018'!$E$24:$E$106,'2018'!$F$24:$F$106,A17,'2018'!$B$24:$B$106,"&lt;&gt;Playoffs")</x:f>
        <x:v>1492</x:v>
      </x:c>
      <x:c r="J17" s="2" t="n">
        <x:v>12</x:v>
      </x:c>
      <x:c r="K17" s="2" t="n">
        <x:v>1</x:v>
      </x:c>
      <x:c r="L17" s="2" t="n">
        <x:v>10</x:v>
      </x:c>
    </x:row>
    <x:row r="18" ht="22" customHeight="1">
      <x:c r="A18" s="10" t="str">
        <x:v>Troy</x:v>
      </x:c>
      <x:c r="B18" s="10" t="str">
        <x:v>Troy's Team</x:v>
      </x:c>
      <x:c r="C18" s="10" t="n">
        <x:f>COUNTIFS('2018'!$I$24:$I$106,A18,'2018'!$B$24:$B$106,"&lt;&gt;Playoffs")</x:f>
        <x:v>2</x:v>
      </x:c>
      <x:c r="D18" s="10" t="n">
        <x:f>COUNTIFS('2018'!$J$24:$J$106,A18,'2018'!$B$24:$B$106,"&lt;&gt;Playoffs")</x:f>
        <x:v>9</x:v>
      </x:c>
      <x:c r="E18" s="10" t="n">
        <x:f>COUNTIFS('2018'!$C$24:$C$106,A18,'2018'!$K$24:$K$106,1,'2018'!$B$24:$B$106,"&lt;&gt;Playoffs")+COUNTIFS('2018'!$F$24:$F$106,A18,'2018'!$K$24:$K$106,1,'2018'!$B$24:$B$106,"&lt;&gt;Playoffs")</x:f>
        <x:v>2</x:v>
      </x:c>
      <x:c r="F18" s="10" t="n">
        <x:f>SUM(C18:E18)</x:f>
        <x:v>13</x:v>
      </x:c>
      <x:c r="G18" s="12" t="n">
        <x:f>IF(F18=0,0,(C18+0.5*E18)/F18)</x:f>
        <x:v>0.23076923076923078</x:v>
      </x:c>
      <x:c r="H18" s="14" t="n">
        <x:f>SUMIFS('2018'!$E$24:$E$106,'2018'!$C$24:$C$106,A18,'2018'!$B$24:$B$106,"&lt;&gt;Playoffs")+SUMIFS('2018'!$H$24:$H$106,'2018'!$F$24:$F$106,A18,'2018'!$B$24:$B$106,"&lt;&gt;Playoffs")</x:f>
        <x:v>1430</x:v>
      </x:c>
      <x:c r="I18" s="14" t="n">
        <x:f>SUMIFS('2018'!$H$24:$H$106,'2018'!$C$24:$C$106,A18,'2018'!$B$24:$B$106,"&lt;&gt;Playoffs")+SUMIFS('2018'!$E$24:$E$106,'2018'!$F$24:$F$106,A18,'2018'!$B$24:$B$106,"&lt;&gt;Playoffs")</x:f>
        <x:v>1563</x:v>
      </x:c>
      <x:c r="J18" s="10" t="n">
        <x:v>6</x:v>
      </x:c>
      <x:c r="K18" s="10" t="n">
        <x:v>0</x:v>
      </x:c>
      <x:c r="L18" s="10" t="n">
        <x:v>2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6" t="str">
        <x:v>Week</x:v>
      </x:c>
      <x:c r="B23" s="6" t="str">
        <x:v>Phase</x:v>
      </x:c>
      <x:c r="C23" s="6" t="str">
        <x:v>Manager A</x:v>
      </x:c>
      <x:c r="D23" s="6" t="str">
        <x:v>Team A</x:v>
      </x:c>
      <x:c r="E23" s="6" t="str">
        <x:v>Score A</x:v>
      </x:c>
      <x:c r="F23" s="6" t="str">
        <x:v>Manager B</x:v>
      </x:c>
      <x:c r="G23" s="6" t="str">
        <x:v>Team B</x:v>
      </x:c>
      <x:c r="H23" s="6" t="str">
        <x:v>Score B</x:v>
      </x:c>
      <x:c r="I23" s="6" t="str">
        <x:v>Winner</x:v>
      </x:c>
      <x:c r="J23" s="6" t="str">
        <x:v>Loser</x:v>
      </x:c>
      <x:c r="K23" s="6" t="str">
        <x:v>Tie</x:v>
      </x:c>
      <x:c r="L23" s="6" t="str">
        <x:v>Pair</x:v>
      </x:c>
      <x:c r="M23" s="9" t="str">
        <x:v>Round</x:v>
      </x:c>
      <x:c r="N23" s="9" t="str">
        <x:v>Week source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116</x:v>
      </x:c>
      <x:c r="F24" s="2" t="str">
        <x:v>Troy</x:v>
      </x:c>
      <x:c r="G24" s="2" t="str">
        <x:v>Troy's Team</x:v>
      </x:c>
      <x:c r="H24" s="15" t="n">
        <x:v>116</x:v>
      </x:c>
      <x:c r="I24" s="2" t="str">
        <x:f>IF(E24&gt;H24,C24,IF(E24&lt;H24,F24,"Tie"))</x:f>
        <x:v>Tie</x:v>
      </x:c>
      <x:c r="J24" s="2" t="str">
        <x:f>IF(E24&gt;H24,F24,IF(E24&lt;H24,C24,"Tie"))</x:f>
        <x:v>Tie</x:v>
      </x:c>
      <x:c r="K24" s="2" t="n">
        <x:f>IF(E24=H24,1,0)</x:f>
        <x:v>1</x:v>
      </x:c>
      <x:c r="L24" s="2" t="str">
        <x:v>Bruce / Troy</x:v>
      </x:c>
      <x:c r="M24" t="str"/>
      <x:c r="N24" t="str">
        <x:v>Supplied</x:v>
      </x:c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162</x:v>
      </x:c>
      <x:c r="F25" s="2" t="str">
        <x:v>Ed</x:v>
      </x:c>
      <x:c r="G25" s="2" t="str">
        <x:v>Club Eroticas Finest</x:v>
      </x:c>
      <x:c r="H25" s="15" t="n">
        <x:v>145</x:v>
      </x:c>
      <x:c r="I25" s="2" t="str">
        <x:f>IF(E25&gt;H25,C25,IF(E25&lt;H25,F25,"Tie"))</x:f>
        <x:v>Craig</x:v>
      </x:c>
      <x:c r="J25" s="2" t="str">
        <x:f>IF(E25&gt;H25,F25,IF(E25&lt;H25,C25,"Tie"))</x:f>
        <x:v>Ed</x:v>
      </x:c>
      <x:c r="K25" s="2" t="n">
        <x:f>IF(E25=H25,1,0)</x:f>
        <x:v>0</x:v>
      </x:c>
      <x:c r="L25" s="2" t="str">
        <x:v>Craig / Ed</x:v>
      </x:c>
      <x:c r="M25" t="str"/>
      <x:c r="N25" t="str">
        <x:v>Supplied</x:v>
      </x:c>
    </x:row>
    <x:row r="26" ht="22" customHeight="1">
      <x:c r="A26" s="2" t="n">
        <x:v>1</x:v>
      </x:c>
      <x:c r="B26" s="2" t="str">
        <x:v>Regular</x:v>
      </x:c>
      <x:c r="C26" s="2" t="str">
        <x:v>Dave</x:v>
      </x:c>
      <x:c r="D26" s="2" t="str">
        <x:v>dave's Awesome Team</x:v>
      </x:c>
      <x:c r="E26" s="15" t="n">
        <x:v>96</x:v>
      </x:c>
      <x:c r="F26" s="2" t="str">
        <x:v>Mike</x:v>
      </x:c>
      <x:c r="G26" s="2" t="str">
        <x:v>The Dead Antz</x:v>
      </x:c>
      <x:c r="H26" s="15" t="n">
        <x:v>97</x:v>
      </x:c>
      <x:c r="I26" s="2" t="str">
        <x:f>IF(E26&gt;H26,C26,IF(E26&lt;H26,F26,"Tie"))</x:f>
        <x:v>Mike</x:v>
      </x:c>
      <x:c r="J26" s="2" t="str">
        <x:f>IF(E26&gt;H26,F26,IF(E26&lt;H26,C26,"Tie"))</x:f>
        <x:v>Dave</x:v>
      </x:c>
      <x:c r="K26" s="2" t="n">
        <x:f>IF(E26=H26,1,0)</x:f>
        <x:v>0</x:v>
      </x:c>
      <x:c r="L26" s="2" t="str">
        <x:v>Dave / Mike</x:v>
      </x:c>
      <x:c r="M26" t="str"/>
      <x:c r="N26" t="str">
        <x:v>Supplied</x:v>
      </x:c>
    </x:row>
    <x:row r="27" ht="22" customHeight="1">
      <x:c r="A27" s="2" t="n">
        <x:v>1</x:v>
      </x:c>
      <x:c r="B27" s="2" t="str">
        <x:v>Regular</x:v>
      </x:c>
      <x:c r="C27" s="2" t="str">
        <x:v>Frank</x:v>
      </x:c>
      <x:c r="D27" s="2" t="str">
        <x:v>Saquon Deez Nutz</x:v>
      </x:c>
      <x:c r="E27" s="15" t="n">
        <x:v>127</x:v>
      </x:c>
      <x:c r="F27" s="2" t="str">
        <x:v>Ben</x:v>
      </x:c>
      <x:c r="G27" s="2" t="str">
        <x:v>NebGilum</x:v>
      </x:c>
      <x:c r="H27" s="15" t="n">
        <x:v>153</x:v>
      </x:c>
      <x:c r="I27" s="2" t="str">
        <x:f>IF(E27&gt;H27,C27,IF(E27&lt;H27,F27,"Tie"))</x:f>
        <x:v>Ben</x:v>
      </x:c>
      <x:c r="J27" s="2" t="str">
        <x:f>IF(E27&gt;H27,F27,IF(E27&lt;H27,C27,"Tie"))</x:f>
        <x:v>Frank</x:v>
      </x:c>
      <x:c r="K27" s="2" t="n">
        <x:f>IF(E27=H27,1,0)</x:f>
        <x:v>0</x:v>
      </x:c>
      <x:c r="L27" s="2" t="str">
        <x:v>Ben / Frank</x:v>
      </x:c>
      <x:c r="M27" t="str"/>
      <x:c r="N27" t="str">
        <x:v>Supplied</x:v>
      </x:c>
    </x:row>
    <x:row r="28" ht="22" customHeight="1">
      <x:c r="A28" s="2" t="n">
        <x:v>1</x:v>
      </x:c>
      <x:c r="B28" s="2" t="str">
        <x:v>Regular</x:v>
      </x:c>
      <x:c r="C28" s="2" t="str">
        <x:v>Chas</x:v>
      </x:c>
      <x:c r="D28" s="2" t="str">
        <x:v>Team chas</x:v>
      </x:c>
      <x:c r="E28" s="15" t="n">
        <x:v>81</x:v>
      </x:c>
      <x:c r="F28" s="2" t="str">
        <x:v>Paul</x:v>
      </x:c>
      <x:c r="G28" s="2" t="str">
        <x:v>Paul's Team</x:v>
      </x:c>
      <x:c r="H28" s="15" t="n">
        <x:v>187</x:v>
      </x:c>
      <x:c r="I28" s="2" t="str">
        <x:f>IF(E28&gt;H28,C28,IF(E28&lt;H28,F28,"Tie"))</x:f>
        <x:v>Paul</x:v>
      </x:c>
      <x:c r="J28" s="2" t="str">
        <x:f>IF(E28&gt;H28,F28,IF(E28&lt;H28,C28,"Tie"))</x:f>
        <x:v>Chas</x:v>
      </x:c>
      <x:c r="K28" s="2" t="n">
        <x:f>IF(E28=H28,1,0)</x:f>
        <x:v>0</x:v>
      </x:c>
      <x:c r="L28" s="2" t="str">
        <x:v>Chas / Paul</x:v>
      </x:c>
      <x:c r="M28" t="str"/>
      <x:c r="N28" t="str">
        <x:v>Supplied</x:v>
      </x:c>
    </x:row>
    <x:row r="29" ht="22" customHeight="1">
      <x:c r="A29" s="2" t="n">
        <x:v>1</x:v>
      </x:c>
      <x:c r="B29" s="2" t="str">
        <x:v>Regular</x:v>
      </x:c>
      <x:c r="C29" s="2" t="str">
        <x:v>Josh</x:v>
      </x:c>
      <x:c r="D29" s="2" t="str">
        <x:v>The Marching Antz</x:v>
      </x:c>
      <x:c r="E29" s="15" t="n">
        <x:v>122</x:v>
      </x:c>
      <x:c r="F29" s="2" t="str">
        <x:v>Mark</x:v>
      </x:c>
      <x:c r="G29" s="2" t="str">
        <x:v>wacky waving arms</x:v>
      </x:c>
      <x:c r="H29" s="15" t="n">
        <x:v>110</x:v>
      </x:c>
      <x:c r="I29" s="2" t="str">
        <x:f>IF(E29&gt;H29,C29,IF(E29&lt;H29,F29,"Tie"))</x:f>
        <x:v>Josh</x:v>
      </x:c>
      <x:c r="J29" s="2" t="str">
        <x:f>IF(E29&gt;H29,F29,IF(E29&lt;H29,C29,"Tie"))</x:f>
        <x:v>Mark</x:v>
      </x:c>
      <x:c r="K29" s="2" t="n">
        <x:f>IF(E29=H29,1,0)</x:f>
        <x:v>0</x:v>
      </x:c>
      <x:c r="L29" s="2" t="str">
        <x:v>Josh / Mark</x:v>
      </x:c>
      <x:c r="M29" t="str"/>
      <x:c r="N29" t="str">
        <x:v>Supplied</x:v>
      </x:c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126</x:v>
      </x:c>
      <x:c r="F30" s="2" t="str">
        <x:v>Mark</x:v>
      </x:c>
      <x:c r="G30" s="2" t="str">
        <x:v>wacky waving arms</x:v>
      </x:c>
      <x:c r="H30" s="15" t="n">
        <x:v>139</x:v>
      </x:c>
      <x:c r="I30" s="2" t="str">
        <x:f>IF(E30&gt;H30,C30,IF(E30&lt;H30,F30,"Tie"))</x:f>
        <x:v>Mark</x:v>
      </x:c>
      <x:c r="J30" s="2" t="str">
        <x:f>IF(E30&gt;H30,F30,IF(E30&lt;H30,C30,"Tie"))</x:f>
        <x:v>Bruce</x:v>
      </x:c>
      <x:c r="K30" s="2" t="n">
        <x:f>IF(E30=H30,1,0)</x:f>
        <x:v>0</x:v>
      </x:c>
      <x:c r="L30" s="2" t="str">
        <x:v>Bruce / Mark</x:v>
      </x:c>
      <x:c r="M30" t="str"/>
      <x:c r="N30" t="str">
        <x:v>Supplied</x:v>
      </x:c>
    </x:row>
    <x:row r="31" ht="22" customHeight="1">
      <x:c r="A31" s="2" t="n">
        <x:v>2</x:v>
      </x:c>
      <x:c r="B31" s="2" t="str">
        <x:v>Regular</x:v>
      </x:c>
      <x:c r="C31" s="2" t="str">
        <x:v>Craig</x:v>
      </x:c>
      <x:c r="D31" s="2" t="str">
        <x:v>The Ants Marching</x:v>
      </x:c>
      <x:c r="E31" s="15" t="n">
        <x:v>130</x:v>
      </x:c>
      <x:c r="F31" s="2" t="str">
        <x:v>Troy</x:v>
      </x:c>
      <x:c r="G31" s="2" t="str">
        <x:v>Troy's Team</x:v>
      </x:c>
      <x:c r="H31" s="15" t="n">
        <x:v>88</x:v>
      </x:c>
      <x:c r="I31" s="2" t="str">
        <x:f>IF(E31&gt;H31,C31,IF(E31&lt;H31,F31,"Tie"))</x:f>
        <x:v>Craig</x:v>
      </x:c>
      <x:c r="J31" s="2" t="str">
        <x:f>IF(E31&gt;H31,F31,IF(E31&lt;H31,C31,"Tie"))</x:f>
        <x:v>Troy</x:v>
      </x:c>
      <x:c r="K31" s="2" t="n">
        <x:f>IF(E31=H31,1,0)</x:f>
        <x:v>0</x:v>
      </x:c>
      <x:c r="L31" s="2" t="str">
        <x:v>Craig / Troy</x:v>
      </x:c>
      <x:c r="M31" t="str"/>
      <x:c r="N31" t="str">
        <x:v>Supplied</x:v>
      </x:c>
    </x:row>
    <x:row r="32" ht="22" customHeight="1">
      <x:c r="A32" s="2" t="n">
        <x:v>2</x:v>
      </x:c>
      <x:c r="B32" s="2" t="str">
        <x:v>Regular</x:v>
      </x:c>
      <x:c r="C32" s="2" t="str">
        <x:v>Dave</x:v>
      </x:c>
      <x:c r="D32" s="2" t="str">
        <x:v>dave's Awesome Team</x:v>
      </x:c>
      <x:c r="E32" s="15" t="n">
        <x:v>109</x:v>
      </x:c>
      <x:c r="F32" s="2" t="str">
        <x:v>Chas</x:v>
      </x:c>
      <x:c r="G32" s="2" t="str">
        <x:v>Team chas</x:v>
      </x:c>
      <x:c r="H32" s="15" t="n">
        <x:v>143</x:v>
      </x:c>
      <x:c r="I32" s="2" t="str">
        <x:f>IF(E32&gt;H32,C32,IF(E32&lt;H32,F32,"Tie"))</x:f>
        <x:v>Chas</x:v>
      </x:c>
      <x:c r="J32" s="2" t="str">
        <x:f>IF(E32&gt;H32,F32,IF(E32&lt;H32,C32,"Tie"))</x:f>
        <x:v>Dave</x:v>
      </x:c>
      <x:c r="K32" s="2" t="n">
        <x:f>IF(E32=H32,1,0)</x:f>
        <x:v>0</x:v>
      </x:c>
      <x:c r="L32" s="2" t="str">
        <x:v>Chas / Dave</x:v>
      </x:c>
      <x:c r="M32" t="str"/>
      <x:c r="N32" t="str">
        <x:v>Supplied</x:v>
      </x:c>
    </x:row>
    <x:row r="33" ht="22" customHeight="1">
      <x:c r="A33" s="2" t="n">
        <x:v>2</x:v>
      </x:c>
      <x:c r="B33" s="2" t="str">
        <x:v>Regular</x:v>
      </x:c>
      <x:c r="C33" s="2" t="str">
        <x:v>Ed</x:v>
      </x:c>
      <x:c r="D33" s="2" t="str">
        <x:v>Club Eroticas Finest</x:v>
      </x:c>
      <x:c r="E33" s="15" t="n">
        <x:v>147</x:v>
      </x:c>
      <x:c r="F33" s="2" t="str">
        <x:v>Mike</x:v>
      </x:c>
      <x:c r="G33" s="2" t="str">
        <x:v>The Dead Antz</x:v>
      </x:c>
      <x:c r="H33" s="15" t="n">
        <x:v>97</x:v>
      </x:c>
      <x:c r="I33" s="2" t="str">
        <x:f>IF(E33&gt;H33,C33,IF(E33&lt;H33,F33,"Tie"))</x:f>
        <x:v>Ed</x:v>
      </x:c>
      <x:c r="J33" s="2" t="str">
        <x:f>IF(E33&gt;H33,F33,IF(E33&lt;H33,C33,"Tie"))</x:f>
        <x:v>Mike</x:v>
      </x:c>
      <x:c r="K33" s="2" t="n">
        <x:f>IF(E33=H33,1,0)</x:f>
        <x:v>0</x:v>
      </x:c>
      <x:c r="L33" s="2" t="str">
        <x:v>Ed / Mike</x:v>
      </x:c>
      <x:c r="M33" t="str"/>
      <x:c r="N33" t="str">
        <x:v>Supplied</x:v>
      </x:c>
    </x:row>
    <x:row r="34" ht="22" customHeight="1">
      <x:c r="A34" s="2" t="n">
        <x:v>2</x:v>
      </x:c>
      <x:c r="B34" s="2" t="str">
        <x:v>Regular</x:v>
      </x:c>
      <x:c r="C34" s="2" t="str">
        <x:v>Frank</x:v>
      </x:c>
      <x:c r="D34" s="2" t="str">
        <x:v>Saquon Deez Nutz</x:v>
      </x:c>
      <x:c r="E34" s="15" t="n">
        <x:v>157</x:v>
      </x:c>
      <x:c r="F34" s="2" t="str">
        <x:v>Paul</x:v>
      </x:c>
      <x:c r="G34" s="2" t="str">
        <x:v>Paul's Team</x:v>
      </x:c>
      <x:c r="H34" s="15" t="n">
        <x:v>132</x:v>
      </x:c>
      <x:c r="I34" s="2" t="str">
        <x:f>IF(E34&gt;H34,C34,IF(E34&lt;H34,F34,"Tie"))</x:f>
        <x:v>Frank</x:v>
      </x:c>
      <x:c r="J34" s="2" t="str">
        <x:f>IF(E34&gt;H34,F34,IF(E34&lt;H34,C34,"Tie"))</x:f>
        <x:v>Paul</x:v>
      </x:c>
      <x:c r="K34" s="2" t="n">
        <x:f>IF(E34=H34,1,0)</x:f>
        <x:v>0</x:v>
      </x:c>
      <x:c r="L34" s="2" t="str">
        <x:v>Frank / Paul</x:v>
      </x:c>
      <x:c r="M34" t="str"/>
      <x:c r="N34" t="str">
        <x:v>Supplied</x:v>
      </x:c>
    </x:row>
    <x:row r="35" ht="22" customHeight="1">
      <x:c r="A35" s="2" t="n">
        <x:v>2</x:v>
      </x:c>
      <x:c r="B35" s="2" t="str">
        <x:v>Regular</x:v>
      </x:c>
      <x:c r="C35" s="2" t="str">
        <x:v>Josh</x:v>
      </x:c>
      <x:c r="D35" s="2" t="str">
        <x:v>The Marching Antz</x:v>
      </x:c>
      <x:c r="E35" s="15" t="n">
        <x:v>112</x:v>
      </x:c>
      <x:c r="F35" s="2" t="str">
        <x:v>Ben</x:v>
      </x:c>
      <x:c r="G35" s="2" t="str">
        <x:v>NebGilum</x:v>
      </x:c>
      <x:c r="H35" s="15" t="n">
        <x:v>123</x:v>
      </x:c>
      <x:c r="I35" s="2" t="str">
        <x:f>IF(E35&gt;H35,C35,IF(E35&lt;H35,F35,"Tie"))</x:f>
        <x:v>Ben</x:v>
      </x:c>
      <x:c r="J35" s="2" t="str">
        <x:f>IF(E35&gt;H35,F35,IF(E35&lt;H35,C35,"Tie"))</x:f>
        <x:v>Josh</x:v>
      </x:c>
      <x:c r="K35" s="2" t="n">
        <x:f>IF(E35=H35,1,0)</x:f>
        <x:v>0</x:v>
      </x:c>
      <x:c r="L35" s="2" t="str">
        <x:v>Ben / Josh</x:v>
      </x:c>
      <x:c r="M35" t="str"/>
      <x:c r="N35" t="str">
        <x:v>Supplied</x:v>
      </x:c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122</x:v>
      </x:c>
      <x:c r="F36" s="2" t="str">
        <x:v>Ed</x:v>
      </x:c>
      <x:c r="G36" s="2" t="str">
        <x:v>Club Eroticas Finest</x:v>
      </x:c>
      <x:c r="H36" s="15" t="n">
        <x:v>116</x:v>
      </x:c>
      <x:c r="I36" s="2" t="str">
        <x:f>IF(E36&gt;H36,C36,IF(E36&lt;H36,F36,"Tie"))</x:f>
        <x:v>Bruce</x:v>
      </x:c>
      <x:c r="J36" s="2" t="str">
        <x:f>IF(E36&gt;H36,F36,IF(E36&lt;H36,C36,"Tie"))</x:f>
        <x:v>Ed</x:v>
      </x:c>
      <x:c r="K36" s="2" t="n">
        <x:f>IF(E36=H36,1,0)</x:f>
        <x:v>0</x:v>
      </x:c>
      <x:c r="L36" s="2" t="str">
        <x:v>Bruce / Ed</x:v>
      </x:c>
      <x:c r="M36" t="str"/>
      <x:c r="N36" t="str">
        <x:v>Supplied</x:v>
      </x:c>
    </x:row>
    <x:row r="37" ht="22" customHeight="1">
      <x:c r="A37" s="2" t="n">
        <x:v>3</x:v>
      </x:c>
      <x:c r="B37" s="2" t="str">
        <x:v>Regular</x:v>
      </x:c>
      <x:c r="C37" s="2" t="str">
        <x:v>Craig</x:v>
      </x:c>
      <x:c r="D37" s="2" t="str">
        <x:v>The Ants Marching</x:v>
      </x:c>
      <x:c r="E37" s="15" t="n">
        <x:v>129</x:v>
      </x:c>
      <x:c r="F37" s="2" t="str">
        <x:v>Dave</x:v>
      </x:c>
      <x:c r="G37" s="2" t="str">
        <x:v>dave's Awesome Team</x:v>
      </x:c>
      <x:c r="H37" s="15" t="n">
        <x:v>110</x:v>
      </x:c>
      <x:c r="I37" s="2" t="str">
        <x:f>IF(E37&gt;H37,C37,IF(E37&lt;H37,F37,"Tie"))</x:f>
        <x:v>Craig</x:v>
      </x:c>
      <x:c r="J37" s="2" t="str">
        <x:f>IF(E37&gt;H37,F37,IF(E37&lt;H37,C37,"Tie"))</x:f>
        <x:v>Dave</x:v>
      </x:c>
      <x:c r="K37" s="2" t="n">
        <x:f>IF(E37=H37,1,0)</x:f>
        <x:v>0</x:v>
      </x:c>
      <x:c r="L37" s="2" t="str">
        <x:v>Craig / Dave</x:v>
      </x:c>
      <x:c r="M37" t="str"/>
      <x:c r="N37" t="str">
        <x:v>Supplied</x:v>
      </x:c>
    </x:row>
    <x:row r="38" ht="22" customHeight="1">
      <x:c r="A38" s="2" t="n">
        <x:v>3</x:v>
      </x:c>
      <x:c r="B38" s="2" t="str">
        <x:v>Regular</x:v>
      </x:c>
      <x:c r="C38" s="2" t="str">
        <x:v>Frank</x:v>
      </x:c>
      <x:c r="D38" s="2" t="str">
        <x:v>Saquon Deez Nutz</x:v>
      </x:c>
      <x:c r="E38" s="15" t="n">
        <x:v>122</x:v>
      </x:c>
      <x:c r="F38" s="2" t="str">
        <x:v>Josh</x:v>
      </x:c>
      <x:c r="G38" s="2" t="str">
        <x:v>The Marching Antz</x:v>
      </x:c>
      <x:c r="H38" s="15" t="n">
        <x:v>83</x:v>
      </x:c>
      <x:c r="I38" s="2" t="str">
        <x:f>IF(E38&gt;H38,C38,IF(E38&lt;H38,F38,"Tie"))</x:f>
        <x:v>Frank</x:v>
      </x:c>
      <x:c r="J38" s="2" t="str">
        <x:f>IF(E38&gt;H38,F38,IF(E38&lt;H38,C38,"Tie"))</x:f>
        <x:v>Josh</x:v>
      </x:c>
      <x:c r="K38" s="2" t="n">
        <x:f>IF(E38=H38,1,0)</x:f>
        <x:v>0</x:v>
      </x:c>
      <x:c r="L38" s="2" t="str">
        <x:v>Frank / Josh</x:v>
      </x:c>
      <x:c r="M38" t="str"/>
      <x:c r="N38" t="str">
        <x:v>Supplied</x:v>
      </x:c>
    </x:row>
    <x:row r="39" ht="22" customHeight="1">
      <x:c r="A39" s="2" t="n">
        <x:v>3</x:v>
      </x:c>
      <x:c r="B39" s="2" t="str">
        <x:v>Regular</x:v>
      </x:c>
      <x:c r="C39" s="2" t="str">
        <x:v>Chas</x:v>
      </x:c>
      <x:c r="D39" s="2" t="str">
        <x:v>Team chas</x:v>
      </x:c>
      <x:c r="E39" s="15" t="n">
        <x:v>88</x:v>
      </x:c>
      <x:c r="F39" s="2" t="str">
        <x:v>Ben</x:v>
      </x:c>
      <x:c r="G39" s="2" t="str">
        <x:v>NebGilum</x:v>
      </x:c>
      <x:c r="H39" s="15" t="n">
        <x:v>190</x:v>
      </x:c>
      <x:c r="I39" s="2" t="str">
        <x:f>IF(E39&gt;H39,C39,IF(E39&lt;H39,F39,"Tie"))</x:f>
        <x:v>Ben</x:v>
      </x:c>
      <x:c r="J39" s="2" t="str">
        <x:f>IF(E39&gt;H39,F39,IF(E39&lt;H39,C39,"Tie"))</x:f>
        <x:v>Chas</x:v>
      </x:c>
      <x:c r="K39" s="2" t="n">
        <x:f>IF(E39=H39,1,0)</x:f>
        <x:v>0</x:v>
      </x:c>
      <x:c r="L39" s="2" t="str">
        <x:v>Ben / Chas</x:v>
      </x:c>
      <x:c r="M39" t="str"/>
      <x:c r="N39" t="str">
        <x:v>Supplied</x:v>
      </x:c>
    </x:row>
    <x:row r="40" ht="22" customHeight="1">
      <x:c r="A40" s="2" t="n">
        <x:v>3</x:v>
      </x:c>
      <x:c r="B40" s="2" t="str">
        <x:v>Regular</x:v>
      </x:c>
      <x:c r="C40" s="2" t="str">
        <x:v>Mike</x:v>
      </x:c>
      <x:c r="D40" s="2" t="str">
        <x:v>The Dead Antz</x:v>
      </x:c>
      <x:c r="E40" s="15" t="n">
        <x:v>98</x:v>
      </x:c>
      <x:c r="F40" s="2" t="str">
        <x:v>Paul</x:v>
      </x:c>
      <x:c r="G40" s="2" t="str">
        <x:v>Paul's Team</x:v>
      </x:c>
      <x:c r="H40" s="15" t="n">
        <x:v>122</x:v>
      </x:c>
      <x:c r="I40" s="2" t="str">
        <x:f>IF(E40&gt;H40,C40,IF(E40&lt;H40,F40,"Tie"))</x:f>
        <x:v>Paul</x:v>
      </x:c>
      <x:c r="J40" s="2" t="str">
        <x:f>IF(E40&gt;H40,F40,IF(E40&lt;H40,C40,"Tie"))</x:f>
        <x:v>Mike</x:v>
      </x:c>
      <x:c r="K40" s="2" t="n">
        <x:f>IF(E40=H40,1,0)</x:f>
        <x:v>0</x:v>
      </x:c>
      <x:c r="L40" s="2" t="str">
        <x:v>Mike / Paul</x:v>
      </x:c>
      <x:c r="M40" t="str"/>
      <x:c r="N40" t="str">
        <x:v>Supplied</x:v>
      </x:c>
    </x:row>
    <x:row r="41" ht="22" customHeight="1">
      <x:c r="A41" s="2" t="n">
        <x:v>3</x:v>
      </x:c>
      <x:c r="B41" s="2" t="str">
        <x:v>Regular</x:v>
      </x:c>
      <x:c r="C41" s="2" t="str">
        <x:v>Mark</x:v>
      </x:c>
      <x:c r="D41" s="2" t="str">
        <x:v>wacky waving arms</x:v>
      </x:c>
      <x:c r="E41" s="15" t="n">
        <x:v>112</x:v>
      </x:c>
      <x:c r="F41" s="2" t="str">
        <x:v>Troy</x:v>
      </x:c>
      <x:c r="G41" s="2" t="str">
        <x:v>Troy's Team</x:v>
      </x:c>
      <x:c r="H41" s="15" t="n">
        <x:v>101</x:v>
      </x:c>
      <x:c r="I41" s="2" t="str">
        <x:f>IF(E41&gt;H41,C41,IF(E41&lt;H41,F41,"Tie"))</x:f>
        <x:v>Mark</x:v>
      </x:c>
      <x:c r="J41" s="2" t="str">
        <x:f>IF(E41&gt;H41,F41,IF(E41&lt;H41,C41,"Tie"))</x:f>
        <x:v>Troy</x:v>
      </x:c>
      <x:c r="K41" s="2" t="n">
        <x:f>IF(E41=H41,1,0)</x:f>
        <x:v>0</x:v>
      </x:c>
      <x:c r="L41" s="2" t="str">
        <x:v>Mark / Troy</x:v>
      </x:c>
      <x:c r="M41" t="str"/>
      <x:c r="N41" t="str">
        <x:v>Supplied</x:v>
      </x:c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86</x:v>
      </x:c>
      <x:c r="F42" s="2" t="str">
        <x:v>Frank</x:v>
      </x:c>
      <x:c r="G42" s="2" t="str">
        <x:v>Saquon Deez Nutz</x:v>
      </x:c>
      <x:c r="H42" s="15" t="n">
        <x:v>117</x:v>
      </x:c>
      <x:c r="I42" s="2" t="str">
        <x:f>IF(E42&gt;H42,C42,IF(E42&lt;H42,F42,"Tie"))</x:f>
        <x:v>Frank</x:v>
      </x:c>
      <x:c r="J42" s="2" t="str">
        <x:f>IF(E42&gt;H42,F42,IF(E42&lt;H42,C42,"Tie"))</x:f>
        <x:v>Bruce</x:v>
      </x:c>
      <x:c r="K42" s="2" t="n">
        <x:f>IF(E42=H42,1,0)</x:f>
        <x:v>0</x:v>
      </x:c>
      <x:c r="L42" s="2" t="str">
        <x:v>Bruce / Frank</x:v>
      </x:c>
      <x:c r="M42" t="str"/>
      <x:c r="N42" t="str">
        <x:v>Supplied</x:v>
      </x:c>
    </x:row>
    <x:row r="43" ht="22" customHeight="1">
      <x:c r="A43" s="2" t="n">
        <x:v>4</x:v>
      </x:c>
      <x:c r="B43" s="2" t="str">
        <x:v>Regular</x:v>
      </x:c>
      <x:c r="C43" s="2" t="str">
        <x:v>Craig</x:v>
      </x:c>
      <x:c r="D43" s="2" t="str">
        <x:v>The Ants Marching</x:v>
      </x:c>
      <x:c r="E43" s="15" t="n">
        <x:v>161</x:v>
      </x:c>
      <x:c r="F43" s="2" t="str">
        <x:v>Chas</x:v>
      </x:c>
      <x:c r="G43" s="2" t="str">
        <x:v>Team chas</x:v>
      </x:c>
      <x:c r="H43" s="15" t="n">
        <x:v>129</x:v>
      </x:c>
      <x:c r="I43" s="2" t="str">
        <x:f>IF(E43&gt;H43,C43,IF(E43&lt;H43,F43,"Tie"))</x:f>
        <x:v>Craig</x:v>
      </x:c>
      <x:c r="J43" s="2" t="str">
        <x:f>IF(E43&gt;H43,F43,IF(E43&lt;H43,C43,"Tie"))</x:f>
        <x:v>Chas</x:v>
      </x:c>
      <x:c r="K43" s="2" t="n">
        <x:f>IF(E43=H43,1,0)</x:f>
        <x:v>0</x:v>
      </x:c>
      <x:c r="L43" s="2" t="str">
        <x:v>Chas / Craig</x:v>
      </x:c>
      <x:c r="M43" t="str"/>
      <x:c r="N43" t="str">
        <x:v>Supplied</x:v>
      </x:c>
    </x:row>
    <x:row r="44" ht="22" customHeight="1">
      <x:c r="A44" s="2" t="n">
        <x:v>4</x:v>
      </x:c>
      <x:c r="B44" s="2" t="str">
        <x:v>Regular</x:v>
      </x:c>
      <x:c r="C44" s="2" t="str">
        <x:v>Dave</x:v>
      </x:c>
      <x:c r="D44" s="2" t="str">
        <x:v>dave's Awesome Team</x:v>
      </x:c>
      <x:c r="E44" s="15" t="n">
        <x:v>127</x:v>
      </x:c>
      <x:c r="F44" s="2" t="str">
        <x:v>Ed</x:v>
      </x:c>
      <x:c r="G44" s="2" t="str">
        <x:v>Club Eroticas Finest</x:v>
      </x:c>
      <x:c r="H44" s="15" t="n">
        <x:v>109</x:v>
      </x:c>
      <x:c r="I44" s="2" t="str">
        <x:f>IF(E44&gt;H44,C44,IF(E44&lt;H44,F44,"Tie"))</x:f>
        <x:v>Dave</x:v>
      </x:c>
      <x:c r="J44" s="2" t="str">
        <x:f>IF(E44&gt;H44,F44,IF(E44&lt;H44,C44,"Tie"))</x:f>
        <x:v>Ed</x:v>
      </x:c>
      <x:c r="K44" s="2" t="n">
        <x:f>IF(E44=H44,1,0)</x:f>
        <x:v>0</x:v>
      </x:c>
      <x:c r="L44" s="2" t="str">
        <x:v>Dave / Ed</x:v>
      </x:c>
      <x:c r="M44" t="str"/>
      <x:c r="N44" t="str">
        <x:v>Supplied</x:v>
      </x:c>
    </x:row>
    <x:row r="45" ht="22" customHeight="1">
      <x:c r="A45" s="2" t="n">
        <x:v>4</x:v>
      </x:c>
      <x:c r="B45" s="2" t="str">
        <x:v>Regular</x:v>
      </x:c>
      <x:c r="C45" s="2" t="str">
        <x:v>Mike</x:v>
      </x:c>
      <x:c r="D45" s="2" t="str">
        <x:v>The Dead Antz</x:v>
      </x:c>
      <x:c r="E45" s="15" t="n">
        <x:v>115</x:v>
      </x:c>
      <x:c r="F45" s="2" t="str">
        <x:v>Josh</x:v>
      </x:c>
      <x:c r="G45" s="2" t="str">
        <x:v>The Marching Antz</x:v>
      </x:c>
      <x:c r="H45" s="15" t="n">
        <x:v>101</x:v>
      </x:c>
      <x:c r="I45" s="2" t="str">
        <x:f>IF(E45&gt;H45,C45,IF(E45&lt;H45,F45,"Tie"))</x:f>
        <x:v>Mike</x:v>
      </x:c>
      <x:c r="J45" s="2" t="str">
        <x:f>IF(E45&gt;H45,F45,IF(E45&lt;H45,C45,"Tie"))</x:f>
        <x:v>Josh</x:v>
      </x:c>
      <x:c r="K45" s="2" t="n">
        <x:f>IF(E45=H45,1,0)</x:f>
        <x:v>0</x:v>
      </x:c>
      <x:c r="L45" s="2" t="str">
        <x:v>Josh / Mike</x:v>
      </x:c>
      <x:c r="M45" t="str"/>
      <x:c r="N45" t="str">
        <x:v>Supplied</x:v>
      </x:c>
    </x:row>
    <x:row r="46" ht="22" customHeight="1">
      <x:c r="A46" s="2" t="n">
        <x:v>4</x:v>
      </x:c>
      <x:c r="B46" s="2" t="str">
        <x:v>Regular</x:v>
      </x:c>
      <x:c r="C46" s="2" t="str">
        <x:v>Mark</x:v>
      </x:c>
      <x:c r="D46" s="2" t="str">
        <x:v>wacky waving arms</x:v>
      </x:c>
      <x:c r="E46" s="15" t="n">
        <x:v>122</x:v>
      </x:c>
      <x:c r="F46" s="2" t="str">
        <x:v>Ben</x:v>
      </x:c>
      <x:c r="G46" s="2" t="str">
        <x:v>NebGilum</x:v>
      </x:c>
      <x:c r="H46" s="15" t="n">
        <x:v>170</x:v>
      </x:c>
      <x:c r="I46" s="2" t="str">
        <x:f>IF(E46&gt;H46,C46,IF(E46&lt;H46,F46,"Tie"))</x:f>
        <x:v>Ben</x:v>
      </x:c>
      <x:c r="J46" s="2" t="str">
        <x:f>IF(E46&gt;H46,F46,IF(E46&lt;H46,C46,"Tie"))</x:f>
        <x:v>Mark</x:v>
      </x:c>
      <x:c r="K46" s="2" t="n">
        <x:f>IF(E46=H46,1,0)</x:f>
        <x:v>0</x:v>
      </x:c>
      <x:c r="L46" s="2" t="str">
        <x:v>Ben / Mark</x:v>
      </x:c>
      <x:c r="M46" t="str"/>
      <x:c r="N46" t="str">
        <x:v>Supplied</x:v>
      </x:c>
    </x:row>
    <x:row r="47" ht="22" customHeight="1">
      <x:c r="A47" s="2" t="n">
        <x:v>4</x:v>
      </x:c>
      <x:c r="B47" s="2" t="str">
        <x:v>Regular</x:v>
      </x:c>
      <x:c r="C47" s="2" t="str">
        <x:v>Paul</x:v>
      </x:c>
      <x:c r="D47" s="2" t="str">
        <x:v>Paul's Team</x:v>
      </x:c>
      <x:c r="E47" s="15" t="n">
        <x:v>142</x:v>
      </x:c>
      <x:c r="F47" s="2" t="str">
        <x:v>Troy</x:v>
      </x:c>
      <x:c r="G47" s="2" t="str">
        <x:v>Troy's Team</x:v>
      </x:c>
      <x:c r="H47" s="15" t="n">
        <x:v>117</x:v>
      </x:c>
      <x:c r="I47" s="2" t="str">
        <x:f>IF(E47&gt;H47,C47,IF(E47&lt;H47,F47,"Tie"))</x:f>
        <x:v>Paul</x:v>
      </x:c>
      <x:c r="J47" s="2" t="str">
        <x:f>IF(E47&gt;H47,F47,IF(E47&lt;H47,C47,"Tie"))</x:f>
        <x:v>Troy</x:v>
      </x:c>
      <x:c r="K47" s="2" t="n">
        <x:f>IF(E47=H47,1,0)</x:f>
        <x:v>0</x:v>
      </x:c>
      <x:c r="L47" s="2" t="str">
        <x:v>Paul / Troy</x:v>
      </x:c>
      <x:c r="M47" t="str"/>
      <x:c r="N47" t="str">
        <x:v>Supplied</x:v>
      </x:c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123</x:v>
      </x:c>
      <x:c r="F48" s="2" t="str">
        <x:v>Chas</x:v>
      </x:c>
      <x:c r="G48" s="2" t="str">
        <x:v>Team chas</x:v>
      </x:c>
      <x:c r="H48" s="15" t="n">
        <x:v>96</x:v>
      </x:c>
      <x:c r="I48" s="2" t="str">
        <x:f>IF(E48&gt;H48,C48,IF(E48&lt;H48,F48,"Tie"))</x:f>
        <x:v>Bruce</x:v>
      </x:c>
      <x:c r="J48" s="2" t="str">
        <x:f>IF(E48&gt;H48,F48,IF(E48&lt;H48,C48,"Tie"))</x:f>
        <x:v>Chas</x:v>
      </x:c>
      <x:c r="K48" s="2" t="n">
        <x:f>IF(E48=H48,1,0)</x:f>
        <x:v>0</x:v>
      </x:c>
      <x:c r="L48" s="2" t="str">
        <x:v>Bruce / Chas</x:v>
      </x:c>
      <x:c r="M48" t="str"/>
      <x:c r="N48" t="str">
        <x:v>Supplied</x:v>
      </x:c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161</x:v>
      </x:c>
      <x:c r="F49" s="2" t="str">
        <x:v>Mike</x:v>
      </x:c>
      <x:c r="G49" s="2" t="str">
        <x:v>The Dead Antz</x:v>
      </x:c>
      <x:c r="H49" s="15" t="n">
        <x:v>118</x:v>
      </x:c>
      <x:c r="I49" s="2" t="str">
        <x:f>IF(E49&gt;H49,C49,IF(E49&lt;H49,F49,"Tie"))</x:f>
        <x:v>Craig</x:v>
      </x:c>
      <x:c r="J49" s="2" t="str">
        <x:f>IF(E49&gt;H49,F49,IF(E49&lt;H49,C49,"Tie"))</x:f>
        <x:v>Mike</x:v>
      </x:c>
      <x:c r="K49" s="2" t="n">
        <x:f>IF(E49=H49,1,0)</x:f>
        <x:v>0</x:v>
      </x:c>
      <x:c r="L49" s="2" t="str">
        <x:v>Craig / Mike</x:v>
      </x:c>
      <x:c r="M49" t="str"/>
      <x:c r="N49" t="str">
        <x:v>Supplied</x:v>
      </x:c>
    </x:row>
    <x:row r="50" ht="22" customHeight="1">
      <x:c r="A50" s="2" t="n">
        <x:v>5</x:v>
      </x:c>
      <x:c r="B50" s="2" t="str">
        <x:v>Regular</x:v>
      </x:c>
      <x:c r="C50" s="2" t="str">
        <x:v>Dave</x:v>
      </x:c>
      <x:c r="D50" s="2" t="str">
        <x:v>dave's Awesome Team</x:v>
      </x:c>
      <x:c r="E50" s="15" t="n">
        <x:v>105</x:v>
      </x:c>
      <x:c r="F50" s="2" t="str">
        <x:v>Josh</x:v>
      </x:c>
      <x:c r="G50" s="2" t="str">
        <x:v>The Marching Antz</x:v>
      </x:c>
      <x:c r="H50" s="15" t="n">
        <x:v>95</x:v>
      </x:c>
      <x:c r="I50" s="2" t="str">
        <x:f>IF(E50&gt;H50,C50,IF(E50&lt;H50,F50,"Tie"))</x:f>
        <x:v>Dave</x:v>
      </x:c>
      <x:c r="J50" s="2" t="str">
        <x:f>IF(E50&gt;H50,F50,IF(E50&lt;H50,C50,"Tie"))</x:f>
        <x:v>Josh</x:v>
      </x:c>
      <x:c r="K50" s="2" t="n">
        <x:f>IF(E50=H50,1,0)</x:f>
        <x:v>0</x:v>
      </x:c>
      <x:c r="L50" s="2" t="str">
        <x:v>Dave / Josh</x:v>
      </x:c>
      <x:c r="M50" t="str"/>
      <x:c r="N50" t="str">
        <x:v>Supplied</x:v>
      </x:c>
    </x:row>
    <x:row r="51" ht="22" customHeight="1">
      <x:c r="A51" s="2" t="n">
        <x:v>5</x:v>
      </x:c>
      <x:c r="B51" s="2" t="str">
        <x:v>Regular</x:v>
      </x:c>
      <x:c r="C51" s="2" t="str">
        <x:v>Ed</x:v>
      </x:c>
      <x:c r="D51" s="2" t="str">
        <x:v>Club Eroticas Finest</x:v>
      </x:c>
      <x:c r="E51" s="15" t="n">
        <x:v>100</x:v>
      </x:c>
      <x:c r="F51" s="2" t="str">
        <x:v>Paul</x:v>
      </x:c>
      <x:c r="G51" s="2" t="str">
        <x:v>Paul's Team</x:v>
      </x:c>
      <x:c r="H51" s="15" t="n">
        <x:v>155</x:v>
      </x:c>
      <x:c r="I51" s="2" t="str">
        <x:f>IF(E51&gt;H51,C51,IF(E51&lt;H51,F51,"Tie"))</x:f>
        <x:v>Paul</x:v>
      </x:c>
      <x:c r="J51" s="2" t="str">
        <x:f>IF(E51&gt;H51,F51,IF(E51&lt;H51,C51,"Tie"))</x:f>
        <x:v>Ed</x:v>
      </x:c>
      <x:c r="K51" s="2" t="n">
        <x:f>IF(E51=H51,1,0)</x:f>
        <x:v>0</x:v>
      </x:c>
      <x:c r="L51" s="2" t="str">
        <x:v>Ed / Paul</x:v>
      </x:c>
      <x:c r="M51" t="str"/>
      <x:c r="N51" t="str">
        <x:v>Supplied</x:v>
      </x:c>
    </x:row>
    <x:row r="52" ht="22" customHeight="1">
      <x:c r="A52" s="2" t="n">
        <x:v>5</x:v>
      </x:c>
      <x:c r="B52" s="2" t="str">
        <x:v>Regular</x:v>
      </x:c>
      <x:c r="C52" s="2" t="str">
        <x:v>Frank</x:v>
      </x:c>
      <x:c r="D52" s="2" t="str">
        <x:v>Saquon Deez Nutz</x:v>
      </x:c>
      <x:c r="E52" s="15" t="n">
        <x:v>124</x:v>
      </x:c>
      <x:c r="F52" s="2" t="str">
        <x:v>Mark</x:v>
      </x:c>
      <x:c r="G52" s="2" t="str">
        <x:v>wacky waving arms</x:v>
      </x:c>
      <x:c r="H52" s="15" t="n">
        <x:v>118</x:v>
      </x:c>
      <x:c r="I52" s="2" t="str">
        <x:f>IF(E52&gt;H52,C52,IF(E52&lt;H52,F52,"Tie"))</x:f>
        <x:v>Frank</x:v>
      </x:c>
      <x:c r="J52" s="2" t="str">
        <x:f>IF(E52&gt;H52,F52,IF(E52&lt;H52,C52,"Tie"))</x:f>
        <x:v>Mark</x:v>
      </x:c>
      <x:c r="K52" s="2" t="n">
        <x:f>IF(E52=H52,1,0)</x:f>
        <x:v>0</x:v>
      </x:c>
      <x:c r="L52" s="2" t="str">
        <x:v>Frank / Mark</x:v>
      </x:c>
      <x:c r="M52" t="str"/>
      <x:c r="N52" t="str">
        <x:v>Supplied</x:v>
      </x:c>
    </x:row>
    <x:row r="53" ht="22" customHeight="1">
      <x:c r="A53" s="2" t="n">
        <x:v>5</x:v>
      </x:c>
      <x:c r="B53" s="2" t="str">
        <x:v>Regular</x:v>
      </x:c>
      <x:c r="C53" s="2" t="str">
        <x:v>Ben</x:v>
      </x:c>
      <x:c r="D53" s="2" t="str">
        <x:v>NebGilum</x:v>
      </x:c>
      <x:c r="E53" s="15" t="n">
        <x:v>140</x:v>
      </x:c>
      <x:c r="F53" s="2" t="str">
        <x:v>Troy</x:v>
      </x:c>
      <x:c r="G53" s="2" t="str">
        <x:v>Troy's Team</x:v>
      </x:c>
      <x:c r="H53" s="15" t="n">
        <x:v>131</x:v>
      </x:c>
      <x:c r="I53" s="2" t="str">
        <x:f>IF(E53&gt;H53,C53,IF(E53&lt;H53,F53,"Tie"))</x:f>
        <x:v>Ben</x:v>
      </x:c>
      <x:c r="J53" s="2" t="str">
        <x:f>IF(E53&gt;H53,F53,IF(E53&lt;H53,C53,"Tie"))</x:f>
        <x:v>Troy</x:v>
      </x:c>
      <x:c r="K53" s="2" t="n">
        <x:f>IF(E53=H53,1,0)</x:f>
        <x:v>0</x:v>
      </x:c>
      <x:c r="L53" s="2" t="str">
        <x:v>Ben / Troy</x:v>
      </x:c>
      <x:c r="M53" t="str"/>
      <x:c r="N53" t="str">
        <x:v>Supplied</x:v>
      </x:c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119</x:v>
      </x:c>
      <x:c r="F54" s="2" t="str">
        <x:v>Craig</x:v>
      </x:c>
      <x:c r="G54" s="2" t="str">
        <x:v>The Ants Marching</x:v>
      </x:c>
      <x:c r="H54" s="15" t="n">
        <x:v>135</x:v>
      </x:c>
      <x:c r="I54" s="2" t="str">
        <x:f>IF(E54&gt;H54,C54,IF(E54&lt;H54,F54,"Tie"))</x:f>
        <x:v>Craig</x:v>
      </x:c>
      <x:c r="J54" s="2" t="str">
        <x:f>IF(E54&gt;H54,F54,IF(E54&lt;H54,C54,"Tie"))</x:f>
        <x:v>Bruce</x:v>
      </x:c>
      <x:c r="K54" s="2" t="n">
        <x:f>IF(E54=H54,1,0)</x:f>
        <x:v>0</x:v>
      </x:c>
      <x:c r="L54" s="2" t="str">
        <x:v>Bruce / Craig</x:v>
      </x:c>
      <x:c r="M54" t="str"/>
      <x:c r="N54" t="str">
        <x:v>Supplied</x:v>
      </x:c>
    </x:row>
    <x:row r="55" ht="22" customHeight="1">
      <x:c r="A55" s="2" t="n">
        <x:v>6</x:v>
      </x:c>
      <x:c r="B55" s="2" t="str">
        <x:v>Regular</x:v>
      </x:c>
      <x:c r="C55" s="2" t="str">
        <x:v>Dave</x:v>
      </x:c>
      <x:c r="D55" s="2" t="str">
        <x:v>dave's Awesome Team</x:v>
      </x:c>
      <x:c r="E55" s="15" t="n">
        <x:v>143</x:v>
      </x:c>
      <x:c r="F55" s="2" t="str">
        <x:v>Ben</x:v>
      </x:c>
      <x:c r="G55" s="2" t="str">
        <x:v>NebGilum</x:v>
      </x:c>
      <x:c r="H55" s="15" t="n">
        <x:v>111</x:v>
      </x:c>
      <x:c r="I55" s="2" t="str">
        <x:f>IF(E55&gt;H55,C55,IF(E55&lt;H55,F55,"Tie"))</x:f>
        <x:v>Dave</x:v>
      </x:c>
      <x:c r="J55" s="2" t="str">
        <x:f>IF(E55&gt;H55,F55,IF(E55&lt;H55,C55,"Tie"))</x:f>
        <x:v>Ben</x:v>
      </x:c>
      <x:c r="K55" s="2" t="n">
        <x:f>IF(E55=H55,1,0)</x:f>
        <x:v>0</x:v>
      </x:c>
      <x:c r="L55" s="2" t="str">
        <x:v>Ben / Dave</x:v>
      </x:c>
      <x:c r="M55" t="str"/>
      <x:c r="N55" t="str">
        <x:v>Supplied</x:v>
      </x:c>
    </x:row>
    <x:row r="56" ht="22" customHeight="1">
      <x:c r="A56" s="2" t="n">
        <x:v>6</x:v>
      </x:c>
      <x:c r="B56" s="2" t="str">
        <x:v>Regular</x:v>
      </x:c>
      <x:c r="C56" s="2" t="str">
        <x:v>Ed</x:v>
      </x:c>
      <x:c r="D56" s="2" t="str">
        <x:v>Club Eroticas Finest</x:v>
      </x:c>
      <x:c r="E56" s="15" t="n">
        <x:v>132</x:v>
      </x:c>
      <x:c r="F56" s="2" t="str">
        <x:v>Frank</x:v>
      </x:c>
      <x:c r="G56" s="2" t="str">
        <x:v>Saquon Deez Nutz</x:v>
      </x:c>
      <x:c r="H56" s="15" t="n">
        <x:v>132</x:v>
      </x:c>
      <x:c r="I56" s="2" t="str">
        <x:f>IF(E56&gt;H56,C56,IF(E56&lt;H56,F56,"Tie"))</x:f>
        <x:v>Tie</x:v>
      </x:c>
      <x:c r="J56" s="2" t="str">
        <x:f>IF(E56&gt;H56,F56,IF(E56&lt;H56,C56,"Tie"))</x:f>
        <x:v>Tie</x:v>
      </x:c>
      <x:c r="K56" s="2" t="n">
        <x:f>IF(E56=H56,1,0)</x:f>
        <x:v>1</x:v>
      </x:c>
      <x:c r="L56" s="2" t="str">
        <x:v>Ed / Frank</x:v>
      </x:c>
      <x:c r="M56" t="str"/>
      <x:c r="N56" t="str">
        <x:v>Supplied</x:v>
      </x:c>
    </x:row>
    <x:row r="57" ht="22" customHeight="1">
      <x:c r="A57" s="2" t="n">
        <x:v>6</x:v>
      </x:c>
      <x:c r="B57" s="2" t="str">
        <x:v>Regular</x:v>
      </x:c>
      <x:c r="C57" s="2" t="str">
        <x:v>Chas</x:v>
      </x:c>
      <x:c r="D57" s="2" t="str">
        <x:v>Team chas</x:v>
      </x:c>
      <x:c r="E57" s="15" t="n">
        <x:v>63</x:v>
      </x:c>
      <x:c r="F57" s="2" t="str">
        <x:v>Troy</x:v>
      </x:c>
      <x:c r="G57" s="2" t="str">
        <x:v>Troy's Team</x:v>
      </x:c>
      <x:c r="H57" s="15" t="n">
        <x:v>114</x:v>
      </x:c>
      <x:c r="I57" s="2" t="str">
        <x:f>IF(E57&gt;H57,C57,IF(E57&lt;H57,F57,"Tie"))</x:f>
        <x:v>Troy</x:v>
      </x:c>
      <x:c r="J57" s="2" t="str">
        <x:f>IF(E57&gt;H57,F57,IF(E57&lt;H57,C57,"Tie"))</x:f>
        <x:v>Chas</x:v>
      </x:c>
      <x:c r="K57" s="2" t="n">
        <x:f>IF(E57=H57,1,0)</x:f>
        <x:v>0</x:v>
      </x:c>
      <x:c r="L57" s="2" t="str">
        <x:v>Chas / Troy</x:v>
      </x:c>
      <x:c r="M57" t="str"/>
      <x:c r="N57" t="str">
        <x:v>Supplied</x:v>
      </x:c>
    </x:row>
    <x:row r="58" ht="22" customHeight="1">
      <x:c r="A58" s="2" t="n">
        <x:v>6</x:v>
      </x:c>
      <x:c r="B58" s="2" t="str">
        <x:v>Regular</x:v>
      </x:c>
      <x:c r="C58" s="2" t="str">
        <x:v>Mike</x:v>
      </x:c>
      <x:c r="D58" s="2" t="str">
        <x:v>The Dead Antz</x:v>
      </x:c>
      <x:c r="E58" s="15" t="n">
        <x:v>119</x:v>
      </x:c>
      <x:c r="F58" s="2" t="str">
        <x:v>Mark</x:v>
      </x:c>
      <x:c r="G58" s="2" t="str">
        <x:v>wacky waving arms</x:v>
      </x:c>
      <x:c r="H58" s="15" t="n">
        <x:v>136</x:v>
      </x:c>
      <x:c r="I58" s="2" t="str">
        <x:f>IF(E58&gt;H58,C58,IF(E58&lt;H58,F58,"Tie"))</x:f>
        <x:v>Mark</x:v>
      </x:c>
      <x:c r="J58" s="2" t="str">
        <x:f>IF(E58&gt;H58,F58,IF(E58&lt;H58,C58,"Tie"))</x:f>
        <x:v>Mike</x:v>
      </x:c>
      <x:c r="K58" s="2" t="n">
        <x:f>IF(E58=H58,1,0)</x:f>
        <x:v>0</x:v>
      </x:c>
      <x:c r="L58" s="2" t="str">
        <x:v>Mark / Mike</x:v>
      </x:c>
      <x:c r="M58" t="str"/>
      <x:c r="N58" t="str">
        <x:v>Supplied</x:v>
      </x:c>
    </x:row>
    <x:row r="59" ht="22" customHeight="1">
      <x:c r="A59" s="2" t="n">
        <x:v>6</x:v>
      </x:c>
      <x:c r="B59" s="2" t="str">
        <x:v>Regular</x:v>
      </x:c>
      <x:c r="C59" s="2" t="str">
        <x:v>Josh</x:v>
      </x:c>
      <x:c r="D59" s="2" t="str">
        <x:v>The Marching Antz</x:v>
      </x:c>
      <x:c r="E59" s="15" t="n">
        <x:v>120</x:v>
      </x:c>
      <x:c r="F59" s="2" t="str">
        <x:v>Paul</x:v>
      </x:c>
      <x:c r="G59" s="2" t="str">
        <x:v>Paul's Team</x:v>
      </x:c>
      <x:c r="H59" s="15" t="n">
        <x:v>141</x:v>
      </x:c>
      <x:c r="I59" s="2" t="str">
        <x:f>IF(E59&gt;H59,C59,IF(E59&lt;H59,F59,"Tie"))</x:f>
        <x:v>Paul</x:v>
      </x:c>
      <x:c r="J59" s="2" t="str">
        <x:f>IF(E59&gt;H59,F59,IF(E59&lt;H59,C59,"Tie"))</x:f>
        <x:v>Josh</x:v>
      </x:c>
      <x:c r="K59" s="2" t="n">
        <x:f>IF(E59=H59,1,0)</x:f>
        <x:v>0</x:v>
      </x:c>
      <x:c r="L59" s="2" t="str">
        <x:v>Josh / Paul</x:v>
      </x:c>
      <x:c r="M59" t="str"/>
      <x:c r="N59" t="str">
        <x:v>Supplied</x:v>
      </x:c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68</x:v>
      </x:c>
      <x:c r="F60" s="2" t="str">
        <x:v>Paul</x:v>
      </x:c>
      <x:c r="G60" s="2" t="str">
        <x:v>Paul's Team</x:v>
      </x:c>
      <x:c r="H60" s="15" t="n">
        <x:v>166</x:v>
      </x:c>
      <x:c r="I60" s="2" t="str">
        <x:f>IF(E60&gt;H60,C60,IF(E60&lt;H60,F60,"Tie"))</x:f>
        <x:v>Paul</x:v>
      </x:c>
      <x:c r="J60" s="2" t="str">
        <x:f>IF(E60&gt;H60,F60,IF(E60&lt;H60,C60,"Tie"))</x:f>
        <x:v>Bruce</x:v>
      </x:c>
      <x:c r="K60" s="2" t="n">
        <x:f>IF(E60=H60,1,0)</x:f>
        <x:v>0</x:v>
      </x:c>
      <x:c r="L60" s="2" t="str">
        <x:v>Bruce / Paul</x:v>
      </x:c>
      <x:c r="M60" t="str"/>
      <x:c r="N60" t="str">
        <x:v>Supplied</x:v>
      </x:c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144</x:v>
      </x:c>
      <x:c r="F61" s="2" t="str">
        <x:v>Ben</x:v>
      </x:c>
      <x:c r="G61" s="2" t="str">
        <x:v>NebGilum</x:v>
      </x:c>
      <x:c r="H61" s="15" t="n">
        <x:v>104</x:v>
      </x:c>
      <x:c r="I61" s="2" t="str">
        <x:f>IF(E61&gt;H61,C61,IF(E61&lt;H61,F61,"Tie"))</x:f>
        <x:v>Craig</x:v>
      </x:c>
      <x:c r="J61" s="2" t="str">
        <x:f>IF(E61&gt;H61,F61,IF(E61&lt;H61,C61,"Tie"))</x:f>
        <x:v>Ben</x:v>
      </x:c>
      <x:c r="K61" s="2" t="n">
        <x:f>IF(E61=H61,1,0)</x:f>
        <x:v>0</x:v>
      </x:c>
      <x:c r="L61" s="2" t="str">
        <x:v>Ben / Craig</x:v>
      </x:c>
      <x:c r="M61" t="str"/>
      <x:c r="N61" t="str">
        <x:v>Supplied</x:v>
      </x:c>
    </x:row>
    <x:row r="62" ht="22" customHeight="1">
      <x:c r="A62" s="2" t="n">
        <x:v>7</x:v>
      </x:c>
      <x:c r="B62" s="2" t="str">
        <x:v>Regular</x:v>
      </x:c>
      <x:c r="C62" s="2" t="str">
        <x:v>Dave</x:v>
      </x:c>
      <x:c r="D62" s="2" t="str">
        <x:v>dave's Awesome Team</x:v>
      </x:c>
      <x:c r="E62" s="15" t="n">
        <x:v>129</x:v>
      </x:c>
      <x:c r="F62" s="2" t="str">
        <x:v>Mark</x:v>
      </x:c>
      <x:c r="G62" s="2" t="str">
        <x:v>wacky waving arms</x:v>
      </x:c>
      <x:c r="H62" s="15" t="n">
        <x:v>127</x:v>
      </x:c>
      <x:c r="I62" s="2" t="str">
        <x:f>IF(E62&gt;H62,C62,IF(E62&lt;H62,F62,"Tie"))</x:f>
        <x:v>Dave</x:v>
      </x:c>
      <x:c r="J62" s="2" t="str">
        <x:f>IF(E62&gt;H62,F62,IF(E62&lt;H62,C62,"Tie"))</x:f>
        <x:v>Mark</x:v>
      </x:c>
      <x:c r="K62" s="2" t="n">
        <x:f>IF(E62=H62,1,0)</x:f>
        <x:v>0</x:v>
      </x:c>
      <x:c r="L62" s="2" t="str">
        <x:v>Dave / Mark</x:v>
      </x:c>
      <x:c r="M62" t="str"/>
      <x:c r="N62" t="str">
        <x:v>Supplied</x:v>
      </x:c>
    </x:row>
    <x:row r="63" ht="22" customHeight="1">
      <x:c r="A63" s="2" t="n">
        <x:v>7</x:v>
      </x:c>
      <x:c r="B63" s="2" t="str">
        <x:v>Regular</x:v>
      </x:c>
      <x:c r="C63" s="2" t="str">
        <x:v>Ed</x:v>
      </x:c>
      <x:c r="D63" s="2" t="str">
        <x:v>Club Eroticas Finest</x:v>
      </x:c>
      <x:c r="E63" s="15" t="n">
        <x:v>109</x:v>
      </x:c>
      <x:c r="F63" s="2" t="str">
        <x:v>Troy</x:v>
      </x:c>
      <x:c r="G63" s="2" t="str">
        <x:v>Troy's Team</x:v>
      </x:c>
      <x:c r="H63" s="15" t="n">
        <x:v>97</x:v>
      </x:c>
      <x:c r="I63" s="2" t="str">
        <x:f>IF(E63&gt;H63,C63,IF(E63&lt;H63,F63,"Tie"))</x:f>
        <x:v>Ed</x:v>
      </x:c>
      <x:c r="J63" s="2" t="str">
        <x:f>IF(E63&gt;H63,F63,IF(E63&lt;H63,C63,"Tie"))</x:f>
        <x:v>Troy</x:v>
      </x:c>
      <x:c r="K63" s="2" t="n">
        <x:f>IF(E63=H63,1,0)</x:f>
        <x:v>0</x:v>
      </x:c>
      <x:c r="L63" s="2" t="str">
        <x:v>Ed / Troy</x:v>
      </x:c>
      <x:c r="M63" t="str"/>
      <x:c r="N63" t="str">
        <x:v>Supplied</x:v>
      </x:c>
    </x:row>
    <x:row r="64" ht="22" customHeight="1">
      <x:c r="A64" s="2" t="n">
        <x:v>7</x:v>
      </x:c>
      <x:c r="B64" s="2" t="str">
        <x:v>Regular</x:v>
      </x:c>
      <x:c r="C64" s="2" t="str">
        <x:v>Frank</x:v>
      </x:c>
      <x:c r="D64" s="2" t="str">
        <x:v>Saquon Deez Nutz</x:v>
      </x:c>
      <x:c r="E64" s="15" t="n">
        <x:v>121</x:v>
      </x:c>
      <x:c r="F64" s="2" t="str">
        <x:v>Mike</x:v>
      </x:c>
      <x:c r="G64" s="2" t="str">
        <x:v>The Dead Antz</x:v>
      </x:c>
      <x:c r="H64" s="15" t="n">
        <x:v>98</x:v>
      </x:c>
      <x:c r="I64" s="2" t="str">
        <x:f>IF(E64&gt;H64,C64,IF(E64&lt;H64,F64,"Tie"))</x:f>
        <x:v>Frank</x:v>
      </x:c>
      <x:c r="J64" s="2" t="str">
        <x:f>IF(E64&gt;H64,F64,IF(E64&lt;H64,C64,"Tie"))</x:f>
        <x:v>Mike</x:v>
      </x:c>
      <x:c r="K64" s="2" t="n">
        <x:f>IF(E64=H64,1,0)</x:f>
        <x:v>0</x:v>
      </x:c>
      <x:c r="L64" s="2" t="str">
        <x:v>Frank / Mike</x:v>
      </x:c>
      <x:c r="M64" t="str"/>
      <x:c r="N64" t="str">
        <x:v>Supplied</x:v>
      </x:c>
    </x:row>
    <x:row r="65" ht="22" customHeight="1">
      <x:c r="A65" s="2" t="n">
        <x:v>7</x:v>
      </x:c>
      <x:c r="B65" s="2" t="str">
        <x:v>Regular</x:v>
      </x:c>
      <x:c r="C65" s="2" t="str">
        <x:v>Chas</x:v>
      </x:c>
      <x:c r="D65" s="2" t="str">
        <x:v>Team chas</x:v>
      </x:c>
      <x:c r="E65" s="15" t="n">
        <x:v>63</x:v>
      </x:c>
      <x:c r="F65" s="2" t="str">
        <x:v>Josh</x:v>
      </x:c>
      <x:c r="G65" s="2" t="str">
        <x:v>The Marching Antz</x:v>
      </x:c>
      <x:c r="H65" s="15" t="n">
        <x:v>119</x:v>
      </x:c>
      <x:c r="I65" s="2" t="str">
        <x:f>IF(E65&gt;H65,C65,IF(E65&lt;H65,F65,"Tie"))</x:f>
        <x:v>Josh</x:v>
      </x:c>
      <x:c r="J65" s="2" t="str">
        <x:f>IF(E65&gt;H65,F65,IF(E65&lt;H65,C65,"Tie"))</x:f>
        <x:v>Chas</x:v>
      </x:c>
      <x:c r="K65" s="2" t="n">
        <x:f>IF(E65=H65,1,0)</x:f>
        <x:v>0</x:v>
      </x:c>
      <x:c r="L65" s="2" t="str">
        <x:v>Chas / Josh</x:v>
      </x:c>
      <x:c r="M65" t="str"/>
      <x:c r="N65" t="str">
        <x:v>Supplied</x:v>
      </x:c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139</x:v>
      </x:c>
      <x:c r="F66" s="2" t="str">
        <x:v>Josh</x:v>
      </x:c>
      <x:c r="G66" s="2" t="str">
        <x:v>The Marching Antz</x:v>
      </x:c>
      <x:c r="H66" s="15" t="n">
        <x:v>122</x:v>
      </x:c>
      <x:c r="I66" s="2" t="str">
        <x:f>IF(E66&gt;H66,C66,IF(E66&lt;H66,F66,"Tie"))</x:f>
        <x:v>Bruce</x:v>
      </x:c>
      <x:c r="J66" s="2" t="str">
        <x:f>IF(E66&gt;H66,F66,IF(E66&lt;H66,C66,"Tie"))</x:f>
        <x:v>Josh</x:v>
      </x:c>
      <x:c r="K66" s="2" t="n">
        <x:f>IF(E66=H66,1,0)</x:f>
        <x:v>0</x:v>
      </x:c>
      <x:c r="L66" s="2" t="str">
        <x:v>Bruce / Josh</x:v>
      </x:c>
      <x:c r="M66" t="str"/>
      <x:c r="N66" t="str">
        <x:v>Supplied</x:v>
      </x:c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155</x:v>
      </x:c>
      <x:c r="F67" s="2" t="str">
        <x:v>Mark</x:v>
      </x:c>
      <x:c r="G67" s="2" t="str">
        <x:v>wacky waving arms</x:v>
      </x:c>
      <x:c r="H67" s="15" t="n">
        <x:v>125</x:v>
      </x:c>
      <x:c r="I67" s="2" t="str">
        <x:f>IF(E67&gt;H67,C67,IF(E67&lt;H67,F67,"Tie"))</x:f>
        <x:v>Craig</x:v>
      </x:c>
      <x:c r="J67" s="2" t="str">
        <x:f>IF(E67&gt;H67,F67,IF(E67&lt;H67,C67,"Tie"))</x:f>
        <x:v>Mark</x:v>
      </x:c>
      <x:c r="K67" s="2" t="n">
        <x:f>IF(E67=H67,1,0)</x:f>
        <x:v>0</x:v>
      </x:c>
      <x:c r="L67" s="2" t="str">
        <x:v>Craig / Mark</x:v>
      </x:c>
      <x:c r="M67" t="str"/>
      <x:c r="N67" t="str">
        <x:v>Supplied</x:v>
      </x:c>
    </x:row>
    <x:row r="68" ht="22" customHeight="1">
      <x:c r="A68" s="2" t="n">
        <x:v>8</x:v>
      </x:c>
      <x:c r="B68" s="2" t="str">
        <x:v>Regular</x:v>
      </x:c>
      <x:c r="C68" s="2" t="str">
        <x:v>Dave</x:v>
      </x:c>
      <x:c r="D68" s="2" t="str">
        <x:v>dave's Awesome Team</x:v>
      </x:c>
      <x:c r="E68" s="15" t="n">
        <x:v>137</x:v>
      </x:c>
      <x:c r="F68" s="2" t="str">
        <x:v>Frank</x:v>
      </x:c>
      <x:c r="G68" s="2" t="str">
        <x:v>Saquon Deez Nutz</x:v>
      </x:c>
      <x:c r="H68" s="15" t="n">
        <x:v>127</x:v>
      </x:c>
      <x:c r="I68" s="2" t="str">
        <x:f>IF(E68&gt;H68,C68,IF(E68&lt;H68,F68,"Tie"))</x:f>
        <x:v>Dave</x:v>
      </x:c>
      <x:c r="J68" s="2" t="str">
        <x:f>IF(E68&gt;H68,F68,IF(E68&lt;H68,C68,"Tie"))</x:f>
        <x:v>Frank</x:v>
      </x:c>
      <x:c r="K68" s="2" t="n">
        <x:f>IF(E68=H68,1,0)</x:f>
        <x:v>0</x:v>
      </x:c>
      <x:c r="L68" s="2" t="str">
        <x:v>Dave / Frank</x:v>
      </x:c>
      <x:c r="M68" t="str"/>
      <x:c r="N68" t="str">
        <x:v>Supplied</x:v>
      </x:c>
    </x:row>
    <x:row r="69" ht="22" customHeight="1">
      <x:c r="A69" s="2" t="n">
        <x:v>8</x:v>
      </x:c>
      <x:c r="B69" s="2" t="str">
        <x:v>Regular</x:v>
      </x:c>
      <x:c r="C69" s="2" t="str">
        <x:v>Ed</x:v>
      </x:c>
      <x:c r="D69" s="2" t="str">
        <x:v>Club Eroticas Finest</x:v>
      </x:c>
      <x:c r="E69" s="15" t="n">
        <x:v>106</x:v>
      </x:c>
      <x:c r="F69" s="2" t="str">
        <x:v>Chas</x:v>
      </x:c>
      <x:c r="G69" s="2" t="str">
        <x:v>Team chas</x:v>
      </x:c>
      <x:c r="H69" s="15" t="n">
        <x:v>136</x:v>
      </x:c>
      <x:c r="I69" s="2" t="str">
        <x:f>IF(E69&gt;H69,C69,IF(E69&lt;H69,F69,"Tie"))</x:f>
        <x:v>Chas</x:v>
      </x:c>
      <x:c r="J69" s="2" t="str">
        <x:f>IF(E69&gt;H69,F69,IF(E69&lt;H69,C69,"Tie"))</x:f>
        <x:v>Ed</x:v>
      </x:c>
      <x:c r="K69" s="2" t="n">
        <x:f>IF(E69=H69,1,0)</x:f>
        <x:v>0</x:v>
      </x:c>
      <x:c r="L69" s="2" t="str">
        <x:v>Chas / Ed</x:v>
      </x:c>
      <x:c r="M69" t="str"/>
      <x:c r="N69" t="str">
        <x:v>Supplied</x:v>
      </x:c>
    </x:row>
    <x:row r="70" ht="22" customHeight="1">
      <x:c r="A70" s="2" t="n">
        <x:v>8</x:v>
      </x:c>
      <x:c r="B70" s="2" t="str">
        <x:v>Regular</x:v>
      </x:c>
      <x:c r="C70" s="2" t="str">
        <x:v>Mike</x:v>
      </x:c>
      <x:c r="D70" s="2" t="str">
        <x:v>The Dead Antz</x:v>
      </x:c>
      <x:c r="E70" s="15" t="n">
        <x:v>119</x:v>
      </x:c>
      <x:c r="F70" s="2" t="str">
        <x:v>Troy</x:v>
      </x:c>
      <x:c r="G70" s="2" t="str">
        <x:v>Troy's Team</x:v>
      </x:c>
      <x:c r="H70" s="15" t="n">
        <x:v>116</x:v>
      </x:c>
      <x:c r="I70" s="2" t="str">
        <x:f>IF(E70&gt;H70,C70,IF(E70&lt;H70,F70,"Tie"))</x:f>
        <x:v>Mike</x:v>
      </x:c>
      <x:c r="J70" s="2" t="str">
        <x:f>IF(E70&gt;H70,F70,IF(E70&lt;H70,C70,"Tie"))</x:f>
        <x:v>Troy</x:v>
      </x:c>
      <x:c r="K70" s="2" t="n">
        <x:f>IF(E70=H70,1,0)</x:f>
        <x:v>0</x:v>
      </x:c>
      <x:c r="L70" s="2" t="str">
        <x:v>Mike / Troy</x:v>
      </x:c>
      <x:c r="M70" t="str"/>
      <x:c r="N70" t="str">
        <x:v>Supplied</x:v>
      </x:c>
    </x:row>
    <x:row r="71" ht="22" customHeight="1">
      <x:c r="A71" s="2" t="n">
        <x:v>8</x:v>
      </x:c>
      <x:c r="B71" s="2" t="str">
        <x:v>Regular</x:v>
      </x:c>
      <x:c r="C71" s="2" t="str">
        <x:v>Ben</x:v>
      </x:c>
      <x:c r="D71" s="2" t="str">
        <x:v>NebGilum</x:v>
      </x:c>
      <x:c r="E71" s="15" t="n">
        <x:v>131</x:v>
      </x:c>
      <x:c r="F71" s="2" t="str">
        <x:v>Paul</x:v>
      </x:c>
      <x:c r="G71" s="2" t="str">
        <x:v>Paul's Team</x:v>
      </x:c>
      <x:c r="H71" s="15" t="n">
        <x:v>110</x:v>
      </x:c>
      <x:c r="I71" s="2" t="str">
        <x:f>IF(E71&gt;H71,C71,IF(E71&lt;H71,F71,"Tie"))</x:f>
        <x:v>Ben</x:v>
      </x:c>
      <x:c r="J71" s="2" t="str">
        <x:f>IF(E71&gt;H71,F71,IF(E71&lt;H71,C71,"Tie"))</x:f>
        <x:v>Paul</x:v>
      </x:c>
      <x:c r="K71" s="2" t="n">
        <x:f>IF(E71=H71,1,0)</x:f>
        <x:v>0</x:v>
      </x:c>
      <x:c r="L71" s="2" t="str">
        <x:v>Ben / Paul</x:v>
      </x:c>
      <x:c r="M71" t="str"/>
      <x:c r="N71" t="str">
        <x:v>Supplied</x:v>
      </x:c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128</x:v>
      </x:c>
      <x:c r="F72" s="2" t="str">
        <x:v>Dave</x:v>
      </x:c>
      <x:c r="G72" s="2" t="str">
        <x:v>dave's Awesome Team</x:v>
      </x:c>
      <x:c r="H72" s="15" t="n">
        <x:v>109</x:v>
      </x:c>
      <x:c r="I72" s="2" t="str">
        <x:f>IF(E72&gt;H72,C72,IF(E72&lt;H72,F72,"Tie"))</x:f>
        <x:v>Bruce</x:v>
      </x:c>
      <x:c r="J72" s="2" t="str">
        <x:f>IF(E72&gt;H72,F72,IF(E72&lt;H72,C72,"Tie"))</x:f>
        <x:v>Dave</x:v>
      </x:c>
      <x:c r="K72" s="2" t="n">
        <x:f>IF(E72=H72,1,0)</x:f>
        <x:v>0</x:v>
      </x:c>
      <x:c r="L72" s="2" t="str">
        <x:v>Bruce / Dave</x:v>
      </x:c>
      <x:c r="M72" t="str"/>
      <x:c r="N72" t="str">
        <x:v>Supplied</x:v>
      </x:c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152</x:v>
      </x:c>
      <x:c r="F73" s="2" t="str">
        <x:v>Paul</x:v>
      </x:c>
      <x:c r="G73" s="2" t="str">
        <x:v>Paul's Team</x:v>
      </x:c>
      <x:c r="H73" s="15" t="n">
        <x:v>93</x:v>
      </x:c>
      <x:c r="I73" s="2" t="str">
        <x:f>IF(E73&gt;H73,C73,IF(E73&lt;H73,F73,"Tie"))</x:f>
        <x:v>Craig</x:v>
      </x:c>
      <x:c r="J73" s="2" t="str">
        <x:f>IF(E73&gt;H73,F73,IF(E73&lt;H73,C73,"Tie"))</x:f>
        <x:v>Paul</x:v>
      </x:c>
      <x:c r="K73" s="2" t="n">
        <x:f>IF(E73=H73,1,0)</x:f>
        <x:v>0</x:v>
      </x:c>
      <x:c r="L73" s="2" t="str">
        <x:v>Craig / Paul</x:v>
      </x:c>
      <x:c r="M73" t="str"/>
      <x:c r="N73" t="str">
        <x:v>Supplied</x:v>
      </x:c>
    </x:row>
    <x:row r="74" ht="22" customHeight="1">
      <x:c r="A74" s="2" t="n">
        <x:v>9</x:v>
      </x:c>
      <x:c r="B74" s="2" t="str">
        <x:v>Regular</x:v>
      </x:c>
      <x:c r="C74" s="2" t="str">
        <x:v>Ed</x:v>
      </x:c>
      <x:c r="D74" s="2" t="str">
        <x:v>Club Eroticas Finest</x:v>
      </x:c>
      <x:c r="E74" s="15" t="n">
        <x:v>116</x:v>
      </x:c>
      <x:c r="F74" s="2" t="str">
        <x:v>Mark</x:v>
      </x:c>
      <x:c r="G74" s="2" t="str">
        <x:v>wacky waving arms</x:v>
      </x:c>
      <x:c r="H74" s="15" t="n">
        <x:v>100</x:v>
      </x:c>
      <x:c r="I74" s="2" t="str">
        <x:f>IF(E74&gt;H74,C74,IF(E74&lt;H74,F74,"Tie"))</x:f>
        <x:v>Ed</x:v>
      </x:c>
      <x:c r="J74" s="2" t="str">
        <x:f>IF(E74&gt;H74,F74,IF(E74&lt;H74,C74,"Tie"))</x:f>
        <x:v>Mark</x:v>
      </x:c>
      <x:c r="K74" s="2" t="n">
        <x:f>IF(E74=H74,1,0)</x:f>
        <x:v>0</x:v>
      </x:c>
      <x:c r="L74" s="2" t="str">
        <x:v>Ed / Mark</x:v>
      </x:c>
      <x:c r="M74" t="str"/>
      <x:c r="N74" t="str">
        <x:v>Supplied</x:v>
      </x:c>
    </x:row>
    <x:row r="75" ht="22" customHeight="1">
      <x:c r="A75" s="2" t="n">
        <x:v>9</x:v>
      </x:c>
      <x:c r="B75" s="2" t="str">
        <x:v>Regular</x:v>
      </x:c>
      <x:c r="C75" s="2" t="str">
        <x:v>Frank</x:v>
      </x:c>
      <x:c r="D75" s="2" t="str">
        <x:v>Saquon Deez Nutz</x:v>
      </x:c>
      <x:c r="E75" s="15" t="n">
        <x:v>164</x:v>
      </x:c>
      <x:c r="F75" s="2" t="str">
        <x:v>Chas</x:v>
      </x:c>
      <x:c r="G75" s="2" t="str">
        <x:v>Team chas</x:v>
      </x:c>
      <x:c r="H75" s="15" t="n">
        <x:v>77</x:v>
      </x:c>
      <x:c r="I75" s="2" t="str">
        <x:f>IF(E75&gt;H75,C75,IF(E75&lt;H75,F75,"Tie"))</x:f>
        <x:v>Frank</x:v>
      </x:c>
      <x:c r="J75" s="2" t="str">
        <x:f>IF(E75&gt;H75,F75,IF(E75&lt;H75,C75,"Tie"))</x:f>
        <x:v>Chas</x:v>
      </x:c>
      <x:c r="K75" s="2" t="n">
        <x:f>IF(E75=H75,1,0)</x:f>
        <x:v>0</x:v>
      </x:c>
      <x:c r="L75" s="2" t="str">
        <x:v>Chas / Frank</x:v>
      </x:c>
      <x:c r="M75" t="str"/>
      <x:c r="N75" t="str">
        <x:v>Supplied</x:v>
      </x:c>
    </x:row>
    <x:row r="76" ht="22" customHeight="1">
      <x:c r="A76" s="2" t="n">
        <x:v>9</x:v>
      </x:c>
      <x:c r="B76" s="2" t="str">
        <x:v>Regular</x:v>
      </x:c>
      <x:c r="C76" s="2" t="str">
        <x:v>Mike</x:v>
      </x:c>
      <x:c r="D76" s="2" t="str">
        <x:v>The Dead Antz</x:v>
      </x:c>
      <x:c r="E76" s="15" t="n">
        <x:v>81</x:v>
      </x:c>
      <x:c r="F76" s="2" t="str">
        <x:v>Ben</x:v>
      </x:c>
      <x:c r="G76" s="2" t="str">
        <x:v>NebGilum</x:v>
      </x:c>
      <x:c r="H76" s="15" t="n">
        <x:v>149</x:v>
      </x:c>
      <x:c r="I76" s="2" t="str">
        <x:f>IF(E76&gt;H76,C76,IF(E76&lt;H76,F76,"Tie"))</x:f>
        <x:v>Ben</x:v>
      </x:c>
      <x:c r="J76" s="2" t="str">
        <x:f>IF(E76&gt;H76,F76,IF(E76&lt;H76,C76,"Tie"))</x:f>
        <x:v>Mike</x:v>
      </x:c>
      <x:c r="K76" s="2" t="n">
        <x:f>IF(E76=H76,1,0)</x:f>
        <x:v>0</x:v>
      </x:c>
      <x:c r="L76" s="2" t="str">
        <x:v>Ben / Mike</x:v>
      </x:c>
      <x:c r="M76" t="str"/>
      <x:c r="N76" t="str">
        <x:v>Supplied</x:v>
      </x:c>
    </x:row>
    <x:row r="77" ht="22" customHeight="1">
      <x:c r="A77" s="2" t="n">
        <x:v>9</x:v>
      </x:c>
      <x:c r="B77" s="2" t="str">
        <x:v>Regular</x:v>
      </x:c>
      <x:c r="C77" s="2" t="str">
        <x:v>Josh</x:v>
      </x:c>
      <x:c r="D77" s="2" t="str">
        <x:v>The Marching Antz</x:v>
      </x:c>
      <x:c r="E77" s="15" t="n">
        <x:v>130</x:v>
      </x:c>
      <x:c r="F77" s="2" t="str">
        <x:v>Troy</x:v>
      </x:c>
      <x:c r="G77" s="2" t="str">
        <x:v>Troy's Team</x:v>
      </x:c>
      <x:c r="H77" s="15" t="n">
        <x:v>69</x:v>
      </x:c>
      <x:c r="I77" s="2" t="str">
        <x:f>IF(E77&gt;H77,C77,IF(E77&lt;H77,F77,"Tie"))</x:f>
        <x:v>Josh</x:v>
      </x:c>
      <x:c r="J77" s="2" t="str">
        <x:f>IF(E77&gt;H77,F77,IF(E77&lt;H77,C77,"Tie"))</x:f>
        <x:v>Troy</x:v>
      </x:c>
      <x:c r="K77" s="2" t="n">
        <x:f>IF(E77=H77,1,0)</x:f>
        <x:v>0</x:v>
      </x:c>
      <x:c r="L77" s="2" t="str">
        <x:v>Josh / Troy</x:v>
      </x:c>
      <x:c r="M77" t="str"/>
      <x:c r="N77" t="str">
        <x:v>Supplied</x:v>
      </x:c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121</x:v>
      </x:c>
      <x:c r="F78" s="2" t="str">
        <x:v>Mike</x:v>
      </x:c>
      <x:c r="G78" s="2" t="str">
        <x:v>The Dead Antz</x:v>
      </x:c>
      <x:c r="H78" s="15" t="n">
        <x:v>95</x:v>
      </x:c>
      <x:c r="I78" s="2" t="str">
        <x:f>IF(E78&gt;H78,C78,IF(E78&lt;H78,F78,"Tie"))</x:f>
        <x:v>Bruce</x:v>
      </x:c>
      <x:c r="J78" s="2" t="str">
        <x:f>IF(E78&gt;H78,F78,IF(E78&lt;H78,C78,"Tie"))</x:f>
        <x:v>Mike</x:v>
      </x:c>
      <x:c r="K78" s="2" t="n">
        <x:f>IF(E78=H78,1,0)</x:f>
        <x:v>0</x:v>
      </x:c>
      <x:c r="L78" s="2" t="str">
        <x:v>Bruce / Mike</x:v>
      </x:c>
      <x:c r="M78" t="str"/>
      <x:c r="N78" t="str">
        <x:v>Supplied</x:v>
      </x:c>
    </x:row>
    <x:row r="79" ht="22" customHeight="1">
      <x:c r="A79" s="2" t="n">
        <x:v>10</x:v>
      </x:c>
      <x:c r="B79" s="2" t="str">
        <x:v>Regular</x:v>
      </x:c>
      <x:c r="C79" s="2" t="str">
        <x:v>Craig</x:v>
      </x:c>
      <x:c r="D79" s="2" t="str">
        <x:v>The Ants Marching</x:v>
      </x:c>
      <x:c r="E79" s="15" t="n">
        <x:v>154</x:v>
      </x:c>
      <x:c r="F79" s="2" t="str">
        <x:v>Josh</x:v>
      </x:c>
      <x:c r="G79" s="2" t="str">
        <x:v>The Marching Antz</x:v>
      </x:c>
      <x:c r="H79" s="15" t="n">
        <x:v>148</x:v>
      </x:c>
      <x:c r="I79" s="2" t="str">
        <x:f>IF(E79&gt;H79,C79,IF(E79&lt;H79,F79,"Tie"))</x:f>
        <x:v>Craig</x:v>
      </x:c>
      <x:c r="J79" s="2" t="str">
        <x:f>IF(E79&gt;H79,F79,IF(E79&lt;H79,C79,"Tie"))</x:f>
        <x:v>Josh</x:v>
      </x:c>
      <x:c r="K79" s="2" t="n">
        <x:f>IF(E79=H79,1,0)</x:f>
        <x:v>0</x:v>
      </x:c>
      <x:c r="L79" s="2" t="str">
        <x:v>Craig / Josh</x:v>
      </x:c>
      <x:c r="M79" t="str"/>
      <x:c r="N79" t="str">
        <x:v>Supplied</x:v>
      </x:c>
    </x:row>
    <x:row r="80" ht="22" customHeight="1">
      <x:c r="A80" s="2" t="n">
        <x:v>10</x:v>
      </x:c>
      <x:c r="B80" s="2" t="str">
        <x:v>Regular</x:v>
      </x:c>
      <x:c r="C80" s="2" t="str">
        <x:v>Dave</x:v>
      </x:c>
      <x:c r="D80" s="2" t="str">
        <x:v>dave's Awesome Team</x:v>
      </x:c>
      <x:c r="E80" s="15" t="n">
        <x:v>95</x:v>
      </x:c>
      <x:c r="F80" s="2" t="str">
        <x:v>Paul</x:v>
      </x:c>
      <x:c r="G80" s="2" t="str">
        <x:v>Paul's Team</x:v>
      </x:c>
      <x:c r="H80" s="15" t="n">
        <x:v>127</x:v>
      </x:c>
      <x:c r="I80" s="2" t="str">
        <x:f>IF(E80&gt;H80,C80,IF(E80&lt;H80,F80,"Tie"))</x:f>
        <x:v>Paul</x:v>
      </x:c>
      <x:c r="J80" s="2" t="str">
        <x:f>IF(E80&gt;H80,F80,IF(E80&lt;H80,C80,"Tie"))</x:f>
        <x:v>Dave</x:v>
      </x:c>
      <x:c r="K80" s="2" t="n">
        <x:f>IF(E80=H80,1,0)</x:f>
        <x:v>0</x:v>
      </x:c>
      <x:c r="L80" s="2" t="str">
        <x:v>Dave / Paul</x:v>
      </x:c>
      <x:c r="M80" t="str"/>
      <x:c r="N80" t="str">
        <x:v>Supplied</x:v>
      </x:c>
    </x:row>
    <x:row r="81" ht="22" customHeight="1">
      <x:c r="A81" s="2" t="n">
        <x:v>10</x:v>
      </x:c>
      <x:c r="B81" s="2" t="str">
        <x:v>Regular</x:v>
      </x:c>
      <x:c r="C81" s="2" t="str">
        <x:v>Ed</x:v>
      </x:c>
      <x:c r="D81" s="2" t="str">
        <x:v>Club Eroticas Finest</x:v>
      </x:c>
      <x:c r="E81" s="15" t="n">
        <x:v>170</x:v>
      </x:c>
      <x:c r="F81" s="2" t="str">
        <x:v>Ben</x:v>
      </x:c>
      <x:c r="G81" s="2" t="str">
        <x:v>NebGilum</x:v>
      </x:c>
      <x:c r="H81" s="15" t="n">
        <x:v>135</x:v>
      </x:c>
      <x:c r="I81" s="2" t="str">
        <x:f>IF(E81&gt;H81,C81,IF(E81&lt;H81,F81,"Tie"))</x:f>
        <x:v>Ed</x:v>
      </x:c>
      <x:c r="J81" s="2" t="str">
        <x:f>IF(E81&gt;H81,F81,IF(E81&lt;H81,C81,"Tie"))</x:f>
        <x:v>Ben</x:v>
      </x:c>
      <x:c r="K81" s="2" t="n">
        <x:f>IF(E81=H81,1,0)</x:f>
        <x:v>0</x:v>
      </x:c>
      <x:c r="L81" s="2" t="str">
        <x:v>Ben / Ed</x:v>
      </x:c>
      <x:c r="M81" t="str"/>
      <x:c r="N81" t="str">
        <x:v>Supplied</x:v>
      </x:c>
    </x:row>
    <x:row r="82" ht="22" customHeight="1">
      <x:c r="A82" s="2" t="n">
        <x:v>10</x:v>
      </x:c>
      <x:c r="B82" s="2" t="str">
        <x:v>Regular</x:v>
      </x:c>
      <x:c r="C82" s="2" t="str">
        <x:v>Frank</x:v>
      </x:c>
      <x:c r="D82" s="2" t="str">
        <x:v>Saquon Deez Nutz</x:v>
      </x:c>
      <x:c r="E82" s="15" t="n">
        <x:v>133</x:v>
      </x:c>
      <x:c r="F82" s="2" t="str">
        <x:v>Troy</x:v>
      </x:c>
      <x:c r="G82" s="2" t="str">
        <x:v>Troy's Team</x:v>
      </x:c>
      <x:c r="H82" s="15" t="n">
        <x:v>133</x:v>
      </x:c>
      <x:c r="I82" s="2" t="str">
        <x:f>IF(E82&gt;H82,C82,IF(E82&lt;H82,F82,"Tie"))</x:f>
        <x:v>Tie</x:v>
      </x:c>
      <x:c r="J82" s="2" t="str">
        <x:f>IF(E82&gt;H82,F82,IF(E82&lt;H82,C82,"Tie"))</x:f>
        <x:v>Tie</x:v>
      </x:c>
      <x:c r="K82" s="2" t="n">
        <x:f>IF(E82=H82,1,0)</x:f>
        <x:v>1</x:v>
      </x:c>
      <x:c r="L82" s="2" t="str">
        <x:v>Frank / Troy</x:v>
      </x:c>
      <x:c r="M82" t="str"/>
      <x:c r="N82" t="str">
        <x:v>Supplied</x:v>
      </x:c>
    </x:row>
    <x:row r="83" ht="22" customHeight="1">
      <x:c r="A83" s="2" t="n">
        <x:v>10</x:v>
      </x:c>
      <x:c r="B83" s="2" t="str">
        <x:v>Regular</x:v>
      </x:c>
      <x:c r="C83" s="2" t="str">
        <x:v>Chas</x:v>
      </x:c>
      <x:c r="D83" s="2" t="str">
        <x:v>Team chas</x:v>
      </x:c>
      <x:c r="E83" s="15" t="n">
        <x:v>33</x:v>
      </x:c>
      <x:c r="F83" s="2" t="str">
        <x:v>Mark</x:v>
      </x:c>
      <x:c r="G83" s="2" t="str">
        <x:v>wacky waving arms</x:v>
      </x:c>
      <x:c r="H83" s="15" t="n">
        <x:v>113</x:v>
      </x:c>
      <x:c r="I83" s="2" t="str">
        <x:f>IF(E83&gt;H83,C83,IF(E83&lt;H83,F83,"Tie"))</x:f>
        <x:v>Mark</x:v>
      </x:c>
      <x:c r="J83" s="2" t="str">
        <x:f>IF(E83&gt;H83,F83,IF(E83&lt;H83,C83,"Tie"))</x:f>
        <x:v>Chas</x:v>
      </x:c>
      <x:c r="K83" s="2" t="n">
        <x:f>IF(E83=H83,1,0)</x:f>
        <x:v>0</x:v>
      </x:c>
      <x:c r="L83" s="2" t="str">
        <x:v>Chas / Mark</x:v>
      </x:c>
      <x:c r="M83" t="str"/>
      <x:c r="N83" t="str">
        <x:v>Supplied</x:v>
      </x:c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135</x:v>
      </x:c>
      <x:c r="F84" s="2" t="str">
        <x:v>Ben</x:v>
      </x:c>
      <x:c r="G84" s="2" t="str">
        <x:v>NebGilum</x:v>
      </x:c>
      <x:c r="H84" s="15" t="n">
        <x:v>155</x:v>
      </x:c>
      <x:c r="I84" s="2" t="str">
        <x:f>IF(E84&gt;H84,C84,IF(E84&lt;H84,F84,"Tie"))</x:f>
        <x:v>Ben</x:v>
      </x:c>
      <x:c r="J84" s="2" t="str">
        <x:f>IF(E84&gt;H84,F84,IF(E84&lt;H84,C84,"Tie"))</x:f>
        <x:v>Bruce</x:v>
      </x:c>
      <x:c r="K84" s="2" t="n">
        <x:f>IF(E84=H84,1,0)</x:f>
        <x:v>0</x:v>
      </x:c>
      <x:c r="L84" s="2" t="str">
        <x:v>Ben / Bruce</x:v>
      </x:c>
      <x:c r="M84" t="str"/>
      <x:c r="N84" t="str">
        <x:v>Supplied</x:v>
      </x:c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139</x:v>
      </x:c>
      <x:c r="F85" s="2" t="str">
        <x:v>Frank</x:v>
      </x:c>
      <x:c r="G85" s="2" t="str">
        <x:v>Saquon Deez Nutz</x:v>
      </x:c>
      <x:c r="H85" s="15" t="n">
        <x:v>109</x:v>
      </x:c>
      <x:c r="I85" s="2" t="str">
        <x:f>IF(E85&gt;H85,C85,IF(E85&lt;H85,F85,"Tie"))</x:f>
        <x:v>Craig</x:v>
      </x:c>
      <x:c r="J85" s="2" t="str">
        <x:f>IF(E85&gt;H85,F85,IF(E85&lt;H85,C85,"Tie"))</x:f>
        <x:v>Frank</x:v>
      </x:c>
      <x:c r="K85" s="2" t="n">
        <x:f>IF(E85=H85,1,0)</x:f>
        <x:v>0</x:v>
      </x:c>
      <x:c r="L85" s="2" t="str">
        <x:v>Craig / Frank</x:v>
      </x:c>
      <x:c r="M85" t="str"/>
      <x:c r="N85" t="str">
        <x:v>Supplied</x:v>
      </x:c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dave's Awesome Team</x:v>
      </x:c>
      <x:c r="E86" s="15" t="n">
        <x:v>127</x:v>
      </x:c>
      <x:c r="F86" s="2" t="str">
        <x:v>Troy</x:v>
      </x:c>
      <x:c r="G86" s="2" t="str">
        <x:v>Troy's Team</x:v>
      </x:c>
      <x:c r="H86" s="15" t="n">
        <x:v>108</x:v>
      </x:c>
      <x:c r="I86" s="2" t="str">
        <x:f>IF(E86&gt;H86,C86,IF(E86&lt;H86,F86,"Tie"))</x:f>
        <x:v>Dave</x:v>
      </x:c>
      <x:c r="J86" s="2" t="str">
        <x:f>IF(E86&gt;H86,F86,IF(E86&lt;H86,C86,"Tie"))</x:f>
        <x:v>Troy</x:v>
      </x:c>
      <x:c r="K86" s="2" t="n">
        <x:f>IF(E86=H86,1,0)</x:f>
        <x:v>0</x:v>
      </x:c>
      <x:c r="L86" s="2" t="str">
        <x:v>Dave / Troy</x:v>
      </x:c>
      <x:c r="M86" t="str"/>
      <x:c r="N86" t="str">
        <x:v>Supplied</x:v>
      </x:c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Club Eroticas Finest</x:v>
      </x:c>
      <x:c r="E87" s="15" t="n">
        <x:v>131</x:v>
      </x:c>
      <x:c r="F87" s="2" t="str">
        <x:v>Josh</x:v>
      </x:c>
      <x:c r="G87" s="2" t="str">
        <x:v>The Marching Antz</x:v>
      </x:c>
      <x:c r="H87" s="15" t="n">
        <x:v>145</x:v>
      </x:c>
      <x:c r="I87" s="2" t="str">
        <x:f>IF(E87&gt;H87,C87,IF(E87&lt;H87,F87,"Tie"))</x:f>
        <x:v>Josh</x:v>
      </x:c>
      <x:c r="J87" s="2" t="str">
        <x:f>IF(E87&gt;H87,F87,IF(E87&lt;H87,C87,"Tie"))</x:f>
        <x:v>Ed</x:v>
      </x:c>
      <x:c r="K87" s="2" t="n">
        <x:f>IF(E87=H87,1,0)</x:f>
        <x:v>0</x:v>
      </x:c>
      <x:c r="L87" s="2" t="str">
        <x:v>Ed / Josh</x:v>
      </x:c>
      <x:c r="M87" t="str"/>
      <x:c r="N87" t="str">
        <x:v>Supplied</x:v>
      </x:c>
    </x:row>
    <x:row r="88" ht="22" customHeight="1">
      <x:c r="A88" s="2" t="n">
        <x:v>11</x:v>
      </x:c>
      <x:c r="B88" s="2" t="str">
        <x:v>Regular</x:v>
      </x:c>
      <x:c r="C88" s="2" t="str">
        <x:v>Chas</x:v>
      </x:c>
      <x:c r="D88" s="2" t="str">
        <x:v>Team chas</x:v>
      </x:c>
      <x:c r="E88" s="15" t="n">
        <x:v>74</x:v>
      </x:c>
      <x:c r="F88" s="2" t="str">
        <x:v>Mike</x:v>
      </x:c>
      <x:c r="G88" s="2" t="str">
        <x:v>The Dead Antz</x:v>
      </x:c>
      <x:c r="H88" s="15" t="n">
        <x:v>58</x:v>
      </x:c>
      <x:c r="I88" s="2" t="str">
        <x:f>IF(E88&gt;H88,C88,IF(E88&lt;H88,F88,"Tie"))</x:f>
        <x:v>Chas</x:v>
      </x:c>
      <x:c r="J88" s="2" t="str">
        <x:f>IF(E88&gt;H88,F88,IF(E88&lt;H88,C88,"Tie"))</x:f>
        <x:v>Mike</x:v>
      </x:c>
      <x:c r="K88" s="2" t="n">
        <x:f>IF(E88=H88,1,0)</x:f>
        <x:v>0</x:v>
      </x:c>
      <x:c r="L88" s="2" t="str">
        <x:v>Chas / Mike</x:v>
      </x:c>
      <x:c r="M88" t="str"/>
      <x:c r="N88" t="str">
        <x:v>Supplied</x:v>
      </x:c>
    </x:row>
    <x:row r="89" ht="22" customHeight="1">
      <x:c r="A89" s="2" t="n">
        <x:v>11</x:v>
      </x:c>
      <x:c r="B89" s="2" t="str">
        <x:v>Regular</x:v>
      </x:c>
      <x:c r="C89" s="2" t="str">
        <x:v>Mark</x:v>
      </x:c>
      <x:c r="D89" s="2" t="str">
        <x:v>wacky waving arms</x:v>
      </x:c>
      <x:c r="E89" s="15" t="n">
        <x:v>118</x:v>
      </x:c>
      <x:c r="F89" s="2" t="str">
        <x:v>Paul</x:v>
      </x:c>
      <x:c r="G89" s="2" t="str">
        <x:v>Paul's Team</x:v>
      </x:c>
      <x:c r="H89" s="15" t="n">
        <x:v>142</x:v>
      </x:c>
      <x:c r="I89" s="2" t="str">
        <x:f>IF(E89&gt;H89,C89,IF(E89&lt;H89,F89,"Tie"))</x:f>
        <x:v>Paul</x:v>
      </x:c>
      <x:c r="J89" s="2" t="str">
        <x:f>IF(E89&gt;H89,F89,IF(E89&lt;H89,C89,"Tie"))</x:f>
        <x:v>Mark</x:v>
      </x:c>
      <x:c r="K89" s="2" t="n">
        <x:f>IF(E89=H89,1,0)</x:f>
        <x:v>0</x:v>
      </x:c>
      <x:c r="L89" s="2" t="str">
        <x:v>Mark / Paul</x:v>
      </x:c>
      <x:c r="M89" t="str"/>
      <x:c r="N89" t="str">
        <x:v>Supplied</x:v>
      </x:c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108</x:v>
      </x:c>
      <x:c r="F90" s="2" t="str">
        <x:v>Troy</x:v>
      </x:c>
      <x:c r="G90" s="2" t="str">
        <x:v>Troy's Team</x:v>
      </x:c>
      <x:c r="H90" s="15" t="n">
        <x:v>126</x:v>
      </x:c>
      <x:c r="I90" s="2" t="str">
        <x:f>IF(E90&gt;H90,C90,IF(E90&lt;H90,F90,"Tie"))</x:f>
        <x:v>Troy</x:v>
      </x:c>
      <x:c r="J90" s="2" t="str">
        <x:f>IF(E90&gt;H90,F90,IF(E90&lt;H90,C90,"Tie"))</x:f>
        <x:v>Bruce</x:v>
      </x:c>
      <x:c r="K90" s="2" t="n">
        <x:f>IF(E90=H90,1,0)</x:f>
        <x:v>0</x:v>
      </x:c>
      <x:c r="L90" s="2" t="str">
        <x:v>Bruce / Troy</x:v>
      </x:c>
      <x:c r="M90" t="str"/>
      <x:c r="N90" t="str">
        <x:v>Supplied</x:v>
      </x:c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174</x:v>
      </x:c>
      <x:c r="F91" s="2" t="str">
        <x:v>Ed</x:v>
      </x:c>
      <x:c r="G91" s="2" t="str">
        <x:v>Club Eroticas Finest</x:v>
      </x:c>
      <x:c r="H91" s="15" t="n">
        <x:v>131</x:v>
      </x:c>
      <x:c r="I91" s="2" t="str">
        <x:f>IF(E91&gt;H91,C91,IF(E91&lt;H91,F91,"Tie"))</x:f>
        <x:v>Craig</x:v>
      </x:c>
      <x:c r="J91" s="2" t="str">
        <x:f>IF(E91&gt;H91,F91,IF(E91&lt;H91,C91,"Tie"))</x:f>
        <x:v>Ed</x:v>
      </x:c>
      <x:c r="K91" s="2" t="n">
        <x:f>IF(E91=H91,1,0)</x:f>
        <x:v>0</x:v>
      </x:c>
      <x:c r="L91" s="2" t="str">
        <x:v>Craig / Ed</x:v>
      </x:c>
      <x:c r="M91" t="str"/>
      <x:c r="N91" t="str">
        <x:v>Supplied</x:v>
      </x:c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dave's Awesome Team</x:v>
      </x:c>
      <x:c r="E92" s="15" t="n">
        <x:v>103</x:v>
      </x:c>
      <x:c r="F92" s="2" t="str">
        <x:v>Mike</x:v>
      </x:c>
      <x:c r="G92" s="2" t="str">
        <x:v>The Dead Antz</x:v>
      </x:c>
      <x:c r="H92" s="15" t="n">
        <x:v>117</x:v>
      </x:c>
      <x:c r="I92" s="2" t="str">
        <x:f>IF(E92&gt;H92,C92,IF(E92&lt;H92,F92,"Tie"))</x:f>
        <x:v>Mike</x:v>
      </x:c>
      <x:c r="J92" s="2" t="str">
        <x:f>IF(E92&gt;H92,F92,IF(E92&lt;H92,C92,"Tie"))</x:f>
        <x:v>Dave</x:v>
      </x:c>
      <x:c r="K92" s="2" t="n">
        <x:f>IF(E92=H92,1,0)</x:f>
        <x:v>0</x:v>
      </x:c>
      <x:c r="L92" s="2" t="str">
        <x:v>Dave / Mike</x:v>
      </x:c>
      <x:c r="M92" t="str"/>
      <x:c r="N92" t="str">
        <x:v>Supplied</x:v>
      </x:c>
    </x:row>
    <x:row r="93" ht="22" customHeight="1">
      <x:c r="A93" s="2" t="n">
        <x:v>12</x:v>
      </x:c>
      <x:c r="B93" s="2" t="str">
        <x:v>Regular</x:v>
      </x:c>
      <x:c r="C93" s="2" t="str">
        <x:v>Frank</x:v>
      </x:c>
      <x:c r="D93" s="2" t="str">
        <x:v>Saquon Deez Nutz</x:v>
      </x:c>
      <x:c r="E93" s="15" t="n">
        <x:v>132</x:v>
      </x:c>
      <x:c r="F93" s="2" t="str">
        <x:v>Ben</x:v>
      </x:c>
      <x:c r="G93" s="2" t="str">
        <x:v>NebGilum</x:v>
      </x:c>
      <x:c r="H93" s="15" t="n">
        <x:v>134</x:v>
      </x:c>
      <x:c r="I93" s="2" t="str">
        <x:f>IF(E93&gt;H93,C93,IF(E93&lt;H93,F93,"Tie"))</x:f>
        <x:v>Ben</x:v>
      </x:c>
      <x:c r="J93" s="2" t="str">
        <x:f>IF(E93&gt;H93,F93,IF(E93&lt;H93,C93,"Tie"))</x:f>
        <x:v>Frank</x:v>
      </x:c>
      <x:c r="K93" s="2" t="n">
        <x:f>IF(E93=H93,1,0)</x:f>
        <x:v>0</x:v>
      </x:c>
      <x:c r="L93" s="2" t="str">
        <x:v>Ben / Frank</x:v>
      </x:c>
      <x:c r="M93" t="str"/>
      <x:c r="N93" t="str">
        <x:v>Supplied</x:v>
      </x:c>
    </x:row>
    <x:row r="94" ht="22" customHeight="1">
      <x:c r="A94" s="2" t="n">
        <x:v>12</x:v>
      </x:c>
      <x:c r="B94" s="2" t="str">
        <x:v>Regular</x:v>
      </x:c>
      <x:c r="C94" s="2" t="str">
        <x:v>Chas</x:v>
      </x:c>
      <x:c r="D94" s="2" t="str">
        <x:v>Team chas</x:v>
      </x:c>
      <x:c r="E94" s="15" t="n">
        <x:v>106</x:v>
      </x:c>
      <x:c r="F94" s="2" t="str">
        <x:v>Paul</x:v>
      </x:c>
      <x:c r="G94" s="2" t="str">
        <x:v>Paul's Team</x:v>
      </x:c>
      <x:c r="H94" s="15" t="n">
        <x:v>153</x:v>
      </x:c>
      <x:c r="I94" s="2" t="str">
        <x:f>IF(E94&gt;H94,C94,IF(E94&lt;H94,F94,"Tie"))</x:f>
        <x:v>Paul</x:v>
      </x:c>
      <x:c r="J94" s="2" t="str">
        <x:f>IF(E94&gt;H94,F94,IF(E94&lt;H94,C94,"Tie"))</x:f>
        <x:v>Chas</x:v>
      </x:c>
      <x:c r="K94" s="2" t="n">
        <x:f>IF(E94=H94,1,0)</x:f>
        <x:v>0</x:v>
      </x:c>
      <x:c r="L94" s="2" t="str">
        <x:v>Chas / Paul</x:v>
      </x:c>
      <x:c r="M94" t="str"/>
      <x:c r="N94" t="str">
        <x:v>Supplied</x:v>
      </x:c>
    </x:row>
    <x:row r="95" ht="22" customHeight="1">
      <x:c r="A95" s="2" t="n">
        <x:v>12</x:v>
      </x:c>
      <x:c r="B95" s="2" t="str">
        <x:v>Regular</x:v>
      </x:c>
      <x:c r="C95" s="2" t="str">
        <x:v>Josh</x:v>
      </x:c>
      <x:c r="D95" s="2" t="str">
        <x:v>The Marching Antz</x:v>
      </x:c>
      <x:c r="E95" s="15" t="n">
        <x:v>99</x:v>
      </x:c>
      <x:c r="F95" s="2" t="str">
        <x:v>Mark</x:v>
      </x:c>
      <x:c r="G95" s="2" t="str">
        <x:v>wacky waving arms</x:v>
      </x:c>
      <x:c r="H95" s="15" t="n">
        <x:v>118</x:v>
      </x:c>
      <x:c r="I95" s="2" t="str">
        <x:f>IF(E95&gt;H95,C95,IF(E95&lt;H95,F95,"Tie"))</x:f>
        <x:v>Mark</x:v>
      </x:c>
      <x:c r="J95" s="2" t="str">
        <x:f>IF(E95&gt;H95,F95,IF(E95&lt;H95,C95,"Tie"))</x:f>
        <x:v>Josh</x:v>
      </x:c>
      <x:c r="K95" s="2" t="n">
        <x:f>IF(E95=H95,1,0)</x:f>
        <x:v>0</x:v>
      </x:c>
      <x:c r="L95" s="2" t="str">
        <x:v>Josh / Mark</x:v>
      </x:c>
      <x:c r="M95" t="str"/>
      <x:c r="N95" t="str">
        <x:v>Supplied</x:v>
      </x:c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92</x:v>
      </x:c>
      <x:c r="F96" s="2" t="str">
        <x:v>Mark</x:v>
      </x:c>
      <x:c r="G96" s="2" t="str">
        <x:v>wacky waving arms</x:v>
      </x:c>
      <x:c r="H96" s="15" t="n">
        <x:v>98</x:v>
      </x:c>
      <x:c r="I96" s="2" t="str">
        <x:f>IF(E96&gt;H96,C96,IF(E96&lt;H96,F96,"Tie"))</x:f>
        <x:v>Mark</x:v>
      </x:c>
      <x:c r="J96" s="2" t="str">
        <x:f>IF(E96&gt;H96,F96,IF(E96&lt;H96,C96,"Tie"))</x:f>
        <x:v>Bruce</x:v>
      </x:c>
      <x:c r="K96" s="2" t="n">
        <x:f>IF(E96=H96,1,0)</x:f>
        <x:v>0</x:v>
      </x:c>
      <x:c r="L96" s="2" t="str">
        <x:v>Bruce / Mark</x:v>
      </x:c>
      <x:c r="M96" t="str"/>
      <x:c r="N96" t="str">
        <x:v>Supplied</x:v>
      </x:c>
    </x:row>
    <x:row r="97" ht="22" customHeight="1">
      <x:c r="A97" s="2" t="n">
        <x:v>13</x:v>
      </x:c>
      <x:c r="B97" s="2" t="str">
        <x:v>Regular</x:v>
      </x:c>
      <x:c r="C97" s="2" t="str">
        <x:v>Craig</x:v>
      </x:c>
      <x:c r="D97" s="2" t="str">
        <x:v>The Ants Marching</x:v>
      </x:c>
      <x:c r="E97" s="15" t="n">
        <x:v>134</x:v>
      </x:c>
      <x:c r="F97" s="2" t="str">
        <x:v>Troy</x:v>
      </x:c>
      <x:c r="G97" s="2" t="str">
        <x:v>Troy's Team</x:v>
      </x:c>
      <x:c r="H97" s="15" t="n">
        <x:v>114</x:v>
      </x:c>
      <x:c r="I97" s="2" t="str">
        <x:f>IF(E97&gt;H97,C97,IF(E97&lt;H97,F97,"Tie"))</x:f>
        <x:v>Craig</x:v>
      </x:c>
      <x:c r="J97" s="2" t="str">
        <x:f>IF(E97&gt;H97,F97,IF(E97&lt;H97,C97,"Tie"))</x:f>
        <x:v>Troy</x:v>
      </x:c>
      <x:c r="K97" s="2" t="n">
        <x:f>IF(E97=H97,1,0)</x:f>
        <x:v>0</x:v>
      </x:c>
      <x:c r="L97" s="2" t="str">
        <x:v>Craig / Troy</x:v>
      </x:c>
      <x:c r="M97" t="str"/>
      <x:c r="N97" t="str">
        <x:v>Supplied</x:v>
      </x:c>
    </x:row>
    <x:row r="98" ht="22" customHeight="1">
      <x:c r="A98" s="2" t="n">
        <x:v>13</x:v>
      </x:c>
      <x:c r="B98" s="2" t="str">
        <x:v>Regular</x:v>
      </x:c>
      <x:c r="C98" s="2" t="str">
        <x:v>Dave</x:v>
      </x:c>
      <x:c r="D98" s="2" t="str">
        <x:v>dave's Awesome Team</x:v>
      </x:c>
      <x:c r="E98" s="15" t="n">
        <x:v>122</x:v>
      </x:c>
      <x:c r="F98" s="2" t="str">
        <x:v>Chas</x:v>
      </x:c>
      <x:c r="G98" s="2" t="str">
        <x:v>Team chas</x:v>
      </x:c>
      <x:c r="H98" s="15" t="n">
        <x:v>62</x:v>
      </x:c>
      <x:c r="I98" s="2" t="str">
        <x:f>IF(E98&gt;H98,C98,IF(E98&lt;H98,F98,"Tie"))</x:f>
        <x:v>Dave</x:v>
      </x:c>
      <x:c r="J98" s="2" t="str">
        <x:f>IF(E98&gt;H98,F98,IF(E98&lt;H98,C98,"Tie"))</x:f>
        <x:v>Chas</x:v>
      </x:c>
      <x:c r="K98" s="2" t="n">
        <x:f>IF(E98=H98,1,0)</x:f>
        <x:v>0</x:v>
      </x:c>
      <x:c r="L98" s="2" t="str">
        <x:v>Chas / Dave</x:v>
      </x:c>
      <x:c r="M98" t="str"/>
      <x:c r="N98" t="str">
        <x:v>Supplied</x:v>
      </x:c>
    </x:row>
    <x:row r="99" ht="22" customHeight="1">
      <x:c r="A99" s="2" t="n">
        <x:v>13</x:v>
      </x:c>
      <x:c r="B99" s="2" t="str">
        <x:v>Regular</x:v>
      </x:c>
      <x:c r="C99" s="2" t="str">
        <x:v>Ed</x:v>
      </x:c>
      <x:c r="D99" s="2" t="str">
        <x:v>Club Eroticas Finest</x:v>
      </x:c>
      <x:c r="E99" s="15" t="n">
        <x:v>105</x:v>
      </x:c>
      <x:c r="F99" s="2" t="str">
        <x:v>Mike</x:v>
      </x:c>
      <x:c r="G99" s="2" t="str">
        <x:v>The Dead Antz</x:v>
      </x:c>
      <x:c r="H99" s="15" t="n">
        <x:v>83</x:v>
      </x:c>
      <x:c r="I99" s="2" t="str">
        <x:f>IF(E99&gt;H99,C99,IF(E99&lt;H99,F99,"Tie"))</x:f>
        <x:v>Ed</x:v>
      </x:c>
      <x:c r="J99" s="2" t="str">
        <x:f>IF(E99&gt;H99,F99,IF(E99&lt;H99,C99,"Tie"))</x:f>
        <x:v>Mike</x:v>
      </x:c>
      <x:c r="K99" s="2" t="n">
        <x:f>IF(E99=H99,1,0)</x:f>
        <x:v>0</x:v>
      </x:c>
      <x:c r="L99" s="2" t="str">
        <x:v>Ed / Mike</x:v>
      </x:c>
      <x:c r="M99" t="str"/>
      <x:c r="N99" t="str">
        <x:v>Supplied</x:v>
      </x:c>
    </x:row>
    <x:row r="100" ht="22" customHeight="1">
      <x:c r="A100" s="2" t="n">
        <x:v>13</x:v>
      </x:c>
      <x:c r="B100" s="2" t="str">
        <x:v>Regular</x:v>
      </x:c>
      <x:c r="C100" s="2" t="str">
        <x:v>Frank</x:v>
      </x:c>
      <x:c r="D100" s="2" t="str">
        <x:v>Saquon Deez Nutz</x:v>
      </x:c>
      <x:c r="E100" s="15" t="n">
        <x:v>149</x:v>
      </x:c>
      <x:c r="F100" s="2" t="str">
        <x:v>Paul</x:v>
      </x:c>
      <x:c r="G100" s="2" t="str">
        <x:v>Paul's Team</x:v>
      </x:c>
      <x:c r="H100" s="15" t="n">
        <x:v>147</x:v>
      </x:c>
      <x:c r="I100" s="2" t="str">
        <x:f>IF(E100&gt;H100,C100,IF(E100&lt;H100,F100,"Tie"))</x:f>
        <x:v>Frank</x:v>
      </x:c>
      <x:c r="J100" s="2" t="str">
        <x:f>IF(E100&gt;H100,F100,IF(E100&lt;H100,C100,"Tie"))</x:f>
        <x:v>Paul</x:v>
      </x:c>
      <x:c r="K100" s="2" t="n">
        <x:f>IF(E100=H100,1,0)</x:f>
        <x:v>0</x:v>
      </x:c>
      <x:c r="L100" s="2" t="str">
        <x:v>Frank / Paul</x:v>
      </x:c>
      <x:c r="M100" t="str"/>
      <x:c r="N100" t="str">
        <x:v>Supplied</x:v>
      </x:c>
    </x:row>
    <x:row r="101" ht="22" customHeight="1">
      <x:c r="A101" s="2" t="n">
        <x:v>13</x:v>
      </x:c>
      <x:c r="B101" s="2" t="str">
        <x:v>Regular</x:v>
      </x:c>
      <x:c r="C101" s="2" t="str">
        <x:v>Josh</x:v>
      </x:c>
      <x:c r="D101" s="2" t="str">
        <x:v>The Marching Antz</x:v>
      </x:c>
      <x:c r="E101" s="15" t="n">
        <x:v>117</x:v>
      </x:c>
      <x:c r="F101" s="2" t="str">
        <x:v>Ben</x:v>
      </x:c>
      <x:c r="G101" s="2" t="str">
        <x:v>NebGilum</x:v>
      </x:c>
      <x:c r="H101" s="15" t="n">
        <x:v>119</x:v>
      </x:c>
      <x:c r="I101" s="2" t="str">
        <x:f>IF(E101&gt;H101,C101,IF(E101&lt;H101,F101,"Tie"))</x:f>
        <x:v>Ben</x:v>
      </x:c>
      <x:c r="J101" s="2" t="str">
        <x:f>IF(E101&gt;H101,F101,IF(E101&lt;H101,C101,"Tie"))</x:f>
        <x:v>Josh</x:v>
      </x:c>
      <x:c r="K101" s="2" t="n">
        <x:f>IF(E101=H101,1,0)</x:f>
        <x:v>0</x:v>
      </x:c>
      <x:c r="L101" s="2" t="str">
        <x:v>Ben / Josh</x:v>
      </x:c>
      <x:c r="M101" t="str"/>
      <x:c r="N101" t="str">
        <x:v>Supplied</x:v>
      </x:c>
    </x:row>
    <x:row r="102" ht="22" customHeight="1">
      <x:c r="A102" s="2" t="n">
        <x:v>14</x:v>
      </x:c>
      <x:c r="B102" s="2" t="str">
        <x:v>Playoffs</x:v>
      </x:c>
      <x:c r="C102" s="2" t="str">
        <x:v>Frank</x:v>
      </x:c>
      <x:c r="D102" s="2" t="str">
        <x:v>Saquon Deez Nutz</x:v>
      </x:c>
      <x:c r="E102" s="15" t="n">
        <x:v>148</x:v>
      </x:c>
      <x:c r="F102" s="2" t="str">
        <x:v>Dave</x:v>
      </x:c>
      <x:c r="G102" s="2" t="str">
        <x:v>dave's Awesome Team</x:v>
      </x:c>
      <x:c r="H102" s="15" t="n">
        <x:v>101</x:v>
      </x:c>
      <x:c r="I102" s="2" t="str">
        <x:f>IF(E102&gt;H102,C102,IF(E102&lt;H102,F102,"Tie"))</x:f>
        <x:v>Frank</x:v>
      </x:c>
      <x:c r="J102" s="2" t="str">
        <x:f>IF(E102&gt;H102,F102,IF(E102&lt;H102,C102,"Tie"))</x:f>
        <x:v>Dave</x:v>
      </x:c>
      <x:c r="K102" s="2" t="n">
        <x:f>IF(E102=H102,1,0)</x:f>
        <x:v>0</x:v>
      </x:c>
      <x:c r="L102" s="2" t="str">
        <x:v>Dave / Frank</x:v>
      </x:c>
      <x:c r="M102" t="str">
        <x:v>Quarterfinal</x:v>
      </x:c>
      <x:c r="N102" t="str">
        <x:v>Supplied</x:v>
      </x:c>
    </x:row>
    <x:row r="103" ht="22" customHeight="1">
      <x:c r="A103" s="2" t="n">
        <x:v>14</x:v>
      </x:c>
      <x:c r="B103" s="2" t="str">
        <x:v>Playoffs</x:v>
      </x:c>
      <x:c r="C103" s="2" t="str">
        <x:v>Mark</x:v>
      </x:c>
      <x:c r="D103" s="2" t="str">
        <x:v>wacky waving arms</x:v>
      </x:c>
      <x:c r="E103" s="15" t="n">
        <x:v>86</x:v>
      </x:c>
      <x:c r="F103" s="2" t="str">
        <x:v>Paul</x:v>
      </x:c>
      <x:c r="G103" s="2" t="str">
        <x:v>Paul's Team</x:v>
      </x:c>
      <x:c r="H103" s="15" t="n">
        <x:v>117</x:v>
      </x:c>
      <x:c r="I103" s="2" t="str">
        <x:f>IF(E103&gt;H103,C103,IF(E103&lt;H103,F103,"Tie"))</x:f>
        <x:v>Paul</x:v>
      </x:c>
      <x:c r="J103" s="2" t="str">
        <x:f>IF(E103&gt;H103,F103,IF(E103&lt;H103,C103,"Tie"))</x:f>
        <x:v>Mark</x:v>
      </x:c>
      <x:c r="K103" s="2" t="n">
        <x:f>IF(E103=H103,1,0)</x:f>
        <x:v>0</x:v>
      </x:c>
      <x:c r="L103" s="2" t="str">
        <x:v>Mark / Paul</x:v>
      </x:c>
      <x:c r="M103" t="str">
        <x:v>Quarterfinal</x:v>
      </x:c>
      <x:c r="N103" t="str">
        <x:v>Supplied</x:v>
      </x:c>
    </x:row>
    <x:row r="104" ht="22" customHeight="1">
      <x:c r="A104" s="2" t="n">
        <x:v>15</x:v>
      </x:c>
      <x:c r="B104" s="2" t="str">
        <x:v>Playoffs</x:v>
      </x:c>
      <x:c r="C104" s="2" t="str">
        <x:v>Craig</x:v>
      </x:c>
      <x:c r="D104" s="2" t="str">
        <x:v>The Ants Marching</x:v>
      </x:c>
      <x:c r="E104" s="15" t="n">
        <x:v>87</x:v>
      </x:c>
      <x:c r="F104" s="2" t="str">
        <x:v>Frank</x:v>
      </x:c>
      <x:c r="G104" s="2" t="str">
        <x:v>Saquon Deez Nutz</x:v>
      </x:c>
      <x:c r="H104" s="15" t="n">
        <x:v>103</x:v>
      </x:c>
      <x:c r="I104" s="2" t="str">
        <x:f>IF(E104&gt;H104,C104,IF(E104&lt;H104,F104,"Tie"))</x:f>
        <x:v>Frank</x:v>
      </x:c>
      <x:c r="J104" s="2" t="str">
        <x:f>IF(E104&gt;H104,F104,IF(E104&lt;H104,C104,"Tie"))</x:f>
        <x:v>Craig</x:v>
      </x:c>
      <x:c r="K104" s="2" t="n">
        <x:f>IF(E104=H104,1,0)</x:f>
        <x:v>0</x:v>
      </x:c>
      <x:c r="L104" s="2" t="str">
        <x:v>Craig / Frank</x:v>
      </x:c>
      <x:c r="M104" t="str">
        <x:v>Semifinal</x:v>
      </x:c>
      <x:c r="N104" t="str">
        <x:v>Supplied</x:v>
      </x:c>
    </x:row>
    <x:row r="105" ht="22" customHeight="1">
      <x:c r="A105" s="2" t="n">
        <x:v>15</x:v>
      </x:c>
      <x:c r="B105" s="2" t="str">
        <x:v>Playoffs</x:v>
      </x:c>
      <x:c r="C105" s="2" t="str">
        <x:v>Ben</x:v>
      </x:c>
      <x:c r="D105" s="2" t="str">
        <x:v>NebGilum</x:v>
      </x:c>
      <x:c r="E105" s="15" t="n">
        <x:v>150</x:v>
      </x:c>
      <x:c r="F105" s="2" t="str">
        <x:v>Paul</x:v>
      </x:c>
      <x:c r="G105" s="2" t="str">
        <x:v>Paul's Team</x:v>
      </x:c>
      <x:c r="H105" s="15" t="n">
        <x:v>87</x:v>
      </x:c>
      <x:c r="I105" s="2" t="str">
        <x:f>IF(E105&gt;H105,C105,IF(E105&lt;H105,F105,"Tie"))</x:f>
        <x:v>Ben</x:v>
      </x:c>
      <x:c r="J105" s="2" t="str">
        <x:f>IF(E105&gt;H105,F105,IF(E105&lt;H105,C105,"Tie"))</x:f>
        <x:v>Paul</x:v>
      </x:c>
      <x:c r="K105" s="2" t="n">
        <x:f>IF(E105=H105,1,0)</x:f>
        <x:v>0</x:v>
      </x:c>
      <x:c r="L105" s="2" t="str">
        <x:v>Ben / Paul</x:v>
      </x:c>
      <x:c r="M105" t="str">
        <x:v>Semifinal</x:v>
      </x:c>
      <x:c r="N105" t="str">
        <x:v>Supplied</x:v>
      </x:c>
    </x:row>
    <x:row r="106" ht="22" customHeight="1">
      <x:c r="A106" s="2" t="n">
        <x:v>16</x:v>
      </x:c>
      <x:c r="B106" s="2" t="str">
        <x:v>Playoffs</x:v>
      </x:c>
      <x:c r="C106" s="2" t="str">
        <x:v>Ben</x:v>
      </x:c>
      <x:c r="D106" s="2" t="str">
        <x:v>NebGilum</x:v>
      </x:c>
      <x:c r="E106" s="15" t="n">
        <x:v>166</x:v>
      </x:c>
      <x:c r="F106" s="2" t="str">
        <x:v>Frank</x:v>
      </x:c>
      <x:c r="G106" s="2" t="str">
        <x:v>Saquon Deez Nutz</x:v>
      </x:c>
      <x:c r="H106" s="15" t="n">
        <x:v>136</x:v>
      </x:c>
      <x:c r="I106" s="2" t="str">
        <x:f>IF(E106&gt;H106,C106,IF(E106&lt;H106,F106,"Tie"))</x:f>
        <x:v>Ben</x:v>
      </x:c>
      <x:c r="J106" s="2" t="str">
        <x:f>IF(E106&gt;H106,F106,IF(E106&lt;H106,C106,"Tie"))</x:f>
        <x:v>Frank</x:v>
      </x:c>
      <x:c r="K106" s="2" t="n">
        <x:f>IF(E106=H106,1,0)</x:f>
        <x:v>0</x:v>
      </x:c>
      <x:c r="L106" s="2" t="str">
        <x:v>Ben / Frank</x:v>
      </x:c>
      <x:c r="M106" t="str">
        <x:v>Final</x:v>
      </x:c>
      <x:c r="N106" t="str">
        <x:v>Supplied</x:v>
      </x:c>
    </x:row>
  </x:sheetData>
  <x:pageMargins left="0.7" right="0.7" top="0.75" bottom="0.75" header="0.3" footer="0.3"/>
  <x:tableParts count="1">
    <x:tablePart xmlns:r="http://schemas.openxmlformats.org/officeDocument/2006/relationships" r:id="Rdf470077ac374d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2019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Craig</x:v>
      </x:c>
      <x:c r="C4" s="2"/>
      <x:c r="D4" s="2" t="str">
        <x:v>Runner-up</x:v>
      </x:c>
      <x:c r="E4" s="2" t="str">
        <x:v>Paul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6" t="str">
        <x:v>Manager</x:v>
      </x:c>
      <x:c r="B6" s="6" t="str">
        <x:v>Team</x:v>
      </x:c>
      <x:c r="C6" s="6" t="str">
        <x:v>W</x:v>
      </x:c>
      <x:c r="D6" s="6" t="str">
        <x:v>L</x:v>
      </x:c>
      <x:c r="E6" s="6" t="str">
        <x:v>T</x:v>
      </x:c>
      <x:c r="F6" s="6" t="str">
        <x:v>Games</x:v>
      </x:c>
      <x:c r="G6" s="6" t="str">
        <x:v>Win %</x:v>
      </x:c>
      <x:c r="H6" s="6" t="str">
        <x:v>PF</x:v>
      </x:c>
      <x:c r="I6" s="6" t="str">
        <x:v>PA</x:v>
      </x:c>
      <x:c r="J6" s="6" t="str">
        <x:v>Moves</x:v>
      </x:c>
      <x:c r="K6" s="6" t="str">
        <x:v>Trades</x:v>
      </x:c>
      <x:c r="L6" s="6" t="str">
        <x:v>Waiver</x:v>
      </x:c>
    </x:row>
    <x:row r="7" ht="22" customHeight="1">
      <x:c r="A7" s="2" t="str">
        <x:v>Ben</x:v>
      </x:c>
      <x:c r="B7" s="2" t="str">
        <x:v>NebGilum</x:v>
      </x:c>
      <x:c r="C7" s="2" t="n">
        <x:f>COUNTIFS('2019'!$I$24:$I$106,A7,'2019'!$B$24:$B$106,"&lt;&gt;Playoffs")</x:f>
        <x:v>4</x:v>
      </x:c>
      <x:c r="D7" s="2" t="n">
        <x:f>COUNTIFS('2019'!$J$24:$J$106,A7,'2019'!$B$24:$B$106,"&lt;&gt;Playoffs")</x:f>
        <x:v>9</x:v>
      </x:c>
      <x:c r="E7" s="2" t="n">
        <x:f>COUNTIFS('2019'!$C$24:$C$106,A7,'2019'!$K$24:$K$106,1,'2019'!$B$24:$B$106,"&lt;&gt;Playoffs")+COUNTIFS('2019'!$F$24:$F$106,A7,'2019'!$K$24:$K$106,1,'2019'!$B$24:$B$106,"&lt;&gt;Playoffs")</x:f>
        <x:v>0</x:v>
      </x:c>
      <x:c r="F7" s="2" t="n">
        <x:f>SUM(C7:E7)</x:f>
        <x:v>13</x:v>
      </x:c>
      <x:c r="G7" s="11" t="n">
        <x:f>IF(F7=0,0,(C7+0.5*E7)/F7)</x:f>
        <x:v>0.3076923076923077</x:v>
      </x:c>
      <x:c r="H7" s="13" t="n">
        <x:f>SUMIFS('2019'!$E$24:$E$106,'2019'!$C$24:$C$106,A7,'2019'!$B$24:$B$106,"&lt;&gt;Playoffs")+SUMIFS('2019'!$H$24:$H$106,'2019'!$F$24:$F$106,A7,'2019'!$B$24:$B$106,"&lt;&gt;Playoffs")</x:f>
        <x:v>1448</x:v>
      </x:c>
      <x:c r="I7" s="13" t="n">
        <x:f>SUMIFS('2019'!$H$24:$H$106,'2019'!$C$24:$C$106,A7,'2019'!$B$24:$B$106,"&lt;&gt;Playoffs")+SUMIFS('2019'!$E$24:$E$106,'2019'!$F$24:$F$106,A7,'2019'!$B$24:$B$106,"&lt;&gt;Playoffs")</x:f>
        <x:v>1610</x:v>
      </x:c>
      <x:c r="J7" s="2" t="n">
        <x:v>11</x:v>
      </x:c>
      <x:c r="K7" s="2" t="n">
        <x:v>7</x:v>
      </x:c>
      <x:c r="L7" s="2" t="n">
        <x:v>2</x:v>
      </x:c>
    </x:row>
    <x:row r="8" ht="22" customHeight="1">
      <x:c r="A8" s="10" t="str">
        <x:v>Bruce</x:v>
      </x:c>
      <x:c r="B8" s="10" t="str">
        <x:v>The Storm</x:v>
      </x:c>
      <x:c r="C8" s="10" t="n">
        <x:f>COUNTIFS('2019'!$I$24:$I$106,A8,'2019'!$B$24:$B$106,"&lt;&gt;Playoffs")</x:f>
        <x:v>7</x:v>
      </x:c>
      <x:c r="D8" s="10" t="n">
        <x:f>COUNTIFS('2019'!$J$24:$J$106,A8,'2019'!$B$24:$B$106,"&lt;&gt;Playoffs")</x:f>
        <x:v>6</x:v>
      </x:c>
      <x:c r="E8" s="10" t="n">
        <x:f>COUNTIFS('2019'!$C$24:$C$106,A8,'2019'!$K$24:$K$106,1,'2019'!$B$24:$B$106,"&lt;&gt;Playoffs")+COUNTIFS('2019'!$F$24:$F$106,A8,'2019'!$K$24:$K$106,1,'2019'!$B$24:$B$106,"&lt;&gt;Playoffs")</x:f>
        <x:v>0</x:v>
      </x:c>
      <x:c r="F8" s="10" t="n">
        <x:f>SUM(C8:E8)</x:f>
        <x:v>13</x:v>
      </x:c>
      <x:c r="G8" s="12" t="n">
        <x:f>IF(F8=0,0,(C8+0.5*E8)/F8)</x:f>
        <x:v>0.5384615384615384</x:v>
      </x:c>
      <x:c r="H8" s="14" t="n">
        <x:f>SUMIFS('2019'!$E$24:$E$106,'2019'!$C$24:$C$106,A8,'2019'!$B$24:$B$106,"&lt;&gt;Playoffs")+SUMIFS('2019'!$H$24:$H$106,'2019'!$F$24:$F$106,A8,'2019'!$B$24:$B$106,"&lt;&gt;Playoffs")</x:f>
        <x:v>1589</x:v>
      </x:c>
      <x:c r="I8" s="14" t="n">
        <x:f>SUMIFS('2019'!$H$24:$H$106,'2019'!$C$24:$C$106,A8,'2019'!$B$24:$B$106,"&lt;&gt;Playoffs")+SUMIFS('2019'!$E$24:$E$106,'2019'!$F$24:$F$106,A8,'2019'!$B$24:$B$106,"&lt;&gt;Playoffs")</x:f>
        <x:v>1538</x:v>
      </x:c>
      <x:c r="J8" s="10" t="n">
        <x:v>9</x:v>
      </x:c>
      <x:c r="K8" s="10" t="n">
        <x:v>0</x:v>
      </x:c>
      <x:c r="L8" s="10" t="n">
        <x:v>8</x:v>
      </x:c>
    </x:row>
    <x:row r="9" ht="22" customHeight="1">
      <x:c r="A9" s="2" t="str">
        <x:v>Craig</x:v>
      </x:c>
      <x:c r="B9" s="2" t="str">
        <x:v>The Ants Marching</x:v>
      </x:c>
      <x:c r="C9" s="2" t="n">
        <x:f>COUNTIFS('2019'!$I$24:$I$106,A9,'2019'!$B$24:$B$106,"&lt;&gt;Playoffs")</x:f>
        <x:v>10</x:v>
      </x:c>
      <x:c r="D9" s="2" t="n">
        <x:f>COUNTIFS('2019'!$J$24:$J$106,A9,'2019'!$B$24:$B$106,"&lt;&gt;Playoffs")</x:f>
        <x:v>3</x:v>
      </x:c>
      <x:c r="E9" s="2" t="n">
        <x:f>COUNTIFS('2019'!$C$24:$C$106,A9,'2019'!$K$24:$K$106,1,'2019'!$B$24:$B$106,"&lt;&gt;Playoffs")+COUNTIFS('2019'!$F$24:$F$106,A9,'2019'!$K$24:$K$106,1,'2019'!$B$24:$B$106,"&lt;&gt;Playoffs")</x:f>
        <x:v>0</x:v>
      </x:c>
      <x:c r="F9" s="2" t="n">
        <x:f>SUM(C9:E9)</x:f>
        <x:v>13</x:v>
      </x:c>
      <x:c r="G9" s="11" t="n">
        <x:f>IF(F9=0,0,(C9+0.5*E9)/F9)</x:f>
        <x:v>0.7692307692307693</x:v>
      </x:c>
      <x:c r="H9" s="13" t="n">
        <x:f>SUMIFS('2019'!$E$24:$E$106,'2019'!$C$24:$C$106,A9,'2019'!$B$24:$B$106,"&lt;&gt;Playoffs")+SUMIFS('2019'!$H$24:$H$106,'2019'!$F$24:$F$106,A9,'2019'!$B$24:$B$106,"&lt;&gt;Playoffs")</x:f>
        <x:v>1723</x:v>
      </x:c>
      <x:c r="I9" s="13" t="n">
        <x:f>SUMIFS('2019'!$H$24:$H$106,'2019'!$C$24:$C$106,A9,'2019'!$B$24:$B$106,"&lt;&gt;Playoffs")+SUMIFS('2019'!$E$24:$E$106,'2019'!$F$24:$F$106,A9,'2019'!$B$24:$B$106,"&lt;&gt;Playoffs")</x:f>
        <x:v>1551</x:v>
      </x:c>
      <x:c r="J9" s="2" t="n">
        <x:v>8</x:v>
      </x:c>
      <x:c r="K9" s="2" t="n">
        <x:v>2</x:v>
      </x:c>
      <x:c r="L9" s="2" t="n">
        <x:v>10</x:v>
      </x:c>
    </x:row>
    <x:row r="10" ht="22" customHeight="1">
      <x:c r="A10" s="10" t="str">
        <x:v>Dave</x:v>
      </x:c>
      <x:c r="B10" s="10" t="str">
        <x:v>dave's Awesome Team</x:v>
      </x:c>
      <x:c r="C10" s="10" t="n">
        <x:f>COUNTIFS('2019'!$I$24:$I$106,A10,'2019'!$B$24:$B$106,"&lt;&gt;Playoffs")</x:f>
        <x:v>4</x:v>
      </x:c>
      <x:c r="D10" s="10" t="n">
        <x:f>COUNTIFS('2019'!$J$24:$J$106,A10,'2019'!$B$24:$B$106,"&lt;&gt;Playoffs")</x:f>
        <x:v>9</x:v>
      </x:c>
      <x:c r="E10" s="10" t="n">
        <x:f>COUNTIFS('2019'!$C$24:$C$106,A10,'2019'!$K$24:$K$106,1,'2019'!$B$24:$B$106,"&lt;&gt;Playoffs")+COUNTIFS('2019'!$F$24:$F$106,A10,'2019'!$K$24:$K$106,1,'2019'!$B$24:$B$106,"&lt;&gt;Playoffs")</x:f>
        <x:v>0</x:v>
      </x:c>
      <x:c r="F10" s="10" t="n">
        <x:f>SUM(C10:E10)</x:f>
        <x:v>13</x:v>
      </x:c>
      <x:c r="G10" s="12" t="n">
        <x:f>IF(F10=0,0,(C10+0.5*E10)/F10)</x:f>
        <x:v>0.3076923076923077</x:v>
      </x:c>
      <x:c r="H10" s="14" t="n">
        <x:f>SUMIFS('2019'!$E$24:$E$106,'2019'!$C$24:$C$106,A10,'2019'!$B$24:$B$106,"&lt;&gt;Playoffs")+SUMIFS('2019'!$H$24:$H$106,'2019'!$F$24:$F$106,A10,'2019'!$B$24:$B$106,"&lt;&gt;Playoffs")</x:f>
        <x:v>1287</x:v>
      </x:c>
      <x:c r="I10" s="14" t="n">
        <x:f>SUMIFS('2019'!$H$24:$H$106,'2019'!$C$24:$C$106,A10,'2019'!$B$24:$B$106,"&lt;&gt;Playoffs")+SUMIFS('2019'!$E$24:$E$106,'2019'!$F$24:$F$106,A10,'2019'!$B$24:$B$106,"&lt;&gt;Playoffs")</x:f>
        <x:v>1475</x:v>
      </x:c>
      <x:c r="J10" s="10" t="n">
        <x:v>14</x:v>
      </x:c>
      <x:c r="K10" s="10" t="n">
        <x:v>3</x:v>
      </x:c>
      <x:c r="L10" s="10" t="n">
        <x:v>1</x:v>
      </x:c>
    </x:row>
    <x:row r="11" ht="22" customHeight="1">
      <x:c r="A11" s="2" t="str">
        <x:v>Ed</x:v>
      </x:c>
      <x:c r="B11" s="2" t="str">
        <x:v>Club Eroticas Finest</x:v>
      </x:c>
      <x:c r="C11" s="2" t="n">
        <x:f>COUNTIFS('2019'!$I$24:$I$106,A11,'2019'!$B$24:$B$106,"&lt;&gt;Playoffs")</x:f>
        <x:v>6</x:v>
      </x:c>
      <x:c r="D11" s="2" t="n">
        <x:f>COUNTIFS('2019'!$J$24:$J$106,A11,'2019'!$B$24:$B$106,"&lt;&gt;Playoffs")</x:f>
        <x:v>7</x:v>
      </x:c>
      <x:c r="E11" s="2" t="n">
        <x:f>COUNTIFS('2019'!$C$24:$C$106,A11,'2019'!$K$24:$K$106,1,'2019'!$B$24:$B$106,"&lt;&gt;Playoffs")+COUNTIFS('2019'!$F$24:$F$106,A11,'2019'!$K$24:$K$106,1,'2019'!$B$24:$B$106,"&lt;&gt;Playoffs")</x:f>
        <x:v>0</x:v>
      </x:c>
      <x:c r="F11" s="2" t="n">
        <x:f>SUM(C11:E11)</x:f>
        <x:v>13</x:v>
      </x:c>
      <x:c r="G11" s="11" t="n">
        <x:f>IF(F11=0,0,(C11+0.5*E11)/F11)</x:f>
        <x:v>0.46153846153846156</x:v>
      </x:c>
      <x:c r="H11" s="13" t="n">
        <x:f>SUMIFS('2019'!$E$24:$E$106,'2019'!$C$24:$C$106,A11,'2019'!$B$24:$B$106,"&lt;&gt;Playoffs")+SUMIFS('2019'!$H$24:$H$106,'2019'!$F$24:$F$106,A11,'2019'!$B$24:$B$106,"&lt;&gt;Playoffs")</x:f>
        <x:v>1458</x:v>
      </x:c>
      <x:c r="I11" s="13" t="n">
        <x:f>SUMIFS('2019'!$H$24:$H$106,'2019'!$C$24:$C$106,A11,'2019'!$B$24:$B$106,"&lt;&gt;Playoffs")+SUMIFS('2019'!$E$24:$E$106,'2019'!$F$24:$F$106,A11,'2019'!$B$24:$B$106,"&lt;&gt;Playoffs")</x:f>
        <x:v>1554</x:v>
      </x:c>
      <x:c r="J11" s="2" t="n">
        <x:v>8</x:v>
      </x:c>
      <x:c r="K11" s="2" t="n">
        <x:v>2</x:v>
      </x:c>
      <x:c r="L11" s="2" t="n">
        <x:v>4</x:v>
      </x:c>
    </x:row>
    <x:row r="12" ht="22" customHeight="1">
      <x:c r="A12" s="10" t="str">
        <x:v>Frank</x:v>
      </x:c>
      <x:c r="B12" s="10" t="str">
        <x:v>Saquon Deez Nutz</x:v>
      </x:c>
      <x:c r="C12" s="10" t="n">
        <x:f>COUNTIFS('2019'!$I$24:$I$106,A12,'2019'!$B$24:$B$106,"&lt;&gt;Playoffs")</x:f>
        <x:v>6</x:v>
      </x:c>
      <x:c r="D12" s="10" t="n">
        <x:f>COUNTIFS('2019'!$J$24:$J$106,A12,'2019'!$B$24:$B$106,"&lt;&gt;Playoffs")</x:f>
        <x:v>7</x:v>
      </x:c>
      <x:c r="E12" s="10" t="n">
        <x:f>COUNTIFS('2019'!$C$24:$C$106,A12,'2019'!$K$24:$K$106,1,'2019'!$B$24:$B$106,"&lt;&gt;Playoffs")+COUNTIFS('2019'!$F$24:$F$106,A12,'2019'!$K$24:$K$106,1,'2019'!$B$24:$B$106,"&lt;&gt;Playoffs")</x:f>
        <x:v>0</x:v>
      </x:c>
      <x:c r="F12" s="10" t="n">
        <x:f>SUM(C12:E12)</x:f>
        <x:v>13</x:v>
      </x:c>
      <x:c r="G12" s="12" t="n">
        <x:f>IF(F12=0,0,(C12+0.5*E12)/F12)</x:f>
        <x:v>0.46153846153846156</x:v>
      </x:c>
      <x:c r="H12" s="14" t="n">
        <x:f>SUMIFS('2019'!$E$24:$E$106,'2019'!$C$24:$C$106,A12,'2019'!$B$24:$B$106,"&lt;&gt;Playoffs")+SUMIFS('2019'!$H$24:$H$106,'2019'!$F$24:$F$106,A12,'2019'!$B$24:$B$106,"&lt;&gt;Playoffs")</x:f>
        <x:v>1501</x:v>
      </x:c>
      <x:c r="I12" s="14" t="n">
        <x:f>SUMIFS('2019'!$H$24:$H$106,'2019'!$C$24:$C$106,A12,'2019'!$B$24:$B$106,"&lt;&gt;Playoffs")+SUMIFS('2019'!$E$24:$E$106,'2019'!$F$24:$F$106,A12,'2019'!$B$24:$B$106,"&lt;&gt;Playoffs")</x:f>
        <x:v>1520</x:v>
      </x:c>
      <x:c r="J12" s="10" t="n">
        <x:v>13</x:v>
      </x:c>
      <x:c r="K12" s="10" t="n">
        <x:v>1</x:v>
      </x:c>
      <x:c r="L12" s="10" t="n">
        <x:v>5</x:v>
      </x:c>
    </x:row>
    <x:row r="13" ht="22" customHeight="1">
      <x:c r="A13" s="2" t="str">
        <x:v>Josh</x:v>
      </x:c>
      <x:c r="B13" s="2" t="str">
        <x:v>The Marching Antz</x:v>
      </x:c>
      <x:c r="C13" s="2" t="n">
        <x:f>COUNTIFS('2019'!$I$24:$I$106,A13,'2019'!$B$24:$B$106,"&lt;&gt;Playoffs")</x:f>
        <x:v>7</x:v>
      </x:c>
      <x:c r="D13" s="2" t="n">
        <x:f>COUNTIFS('2019'!$J$24:$J$106,A13,'2019'!$B$24:$B$106,"&lt;&gt;Playoffs")</x:f>
        <x:v>6</x:v>
      </x:c>
      <x:c r="E13" s="2" t="n">
        <x:f>COUNTIFS('2019'!$C$24:$C$106,A13,'2019'!$K$24:$K$106,1,'2019'!$B$24:$B$106,"&lt;&gt;Playoffs")+COUNTIFS('2019'!$F$24:$F$106,A13,'2019'!$K$24:$K$106,1,'2019'!$B$24:$B$106,"&lt;&gt;Playoffs")</x:f>
        <x:v>0</x:v>
      </x:c>
      <x:c r="F13" s="2" t="n">
        <x:f>SUM(C13:E13)</x:f>
        <x:v>13</x:v>
      </x:c>
      <x:c r="G13" s="11" t="n">
        <x:f>IF(F13=0,0,(C13+0.5*E13)/F13)</x:f>
        <x:v>0.5384615384615384</x:v>
      </x:c>
      <x:c r="H13" s="13" t="n">
        <x:f>SUMIFS('2019'!$E$24:$E$106,'2019'!$C$24:$C$106,A13,'2019'!$B$24:$B$106,"&lt;&gt;Playoffs")+SUMIFS('2019'!$H$24:$H$106,'2019'!$F$24:$F$106,A13,'2019'!$B$24:$B$106,"&lt;&gt;Playoffs")</x:f>
        <x:v>1534</x:v>
      </x:c>
      <x:c r="I13" s="13" t="n">
        <x:f>SUMIFS('2019'!$H$24:$H$106,'2019'!$C$24:$C$106,A13,'2019'!$B$24:$B$106,"&lt;&gt;Playoffs")+SUMIFS('2019'!$E$24:$E$106,'2019'!$F$24:$F$106,A13,'2019'!$B$24:$B$106,"&lt;&gt;Playoffs")</x:f>
        <x:v>1524</x:v>
      </x:c>
      <x:c r="J13" s="2" t="n">
        <x:v>21</x:v>
      </x:c>
      <x:c r="K13" s="2" t="n">
        <x:v>4</x:v>
      </x:c>
      <x:c r="L13" s="2" t="n">
        <x:v>7</x:v>
      </x:c>
    </x:row>
    <x:row r="14" ht="22" customHeight="1">
      <x:c r="A14" s="10" t="str">
        <x:v>Mark</x:v>
      </x:c>
      <x:c r="B14" s="10" t="str">
        <x:v>wacky waving arms</x:v>
      </x:c>
      <x:c r="C14" s="10" t="n">
        <x:f>COUNTIFS('2019'!$I$24:$I$106,A14,'2019'!$B$24:$B$106,"&lt;&gt;Playoffs")</x:f>
        <x:v>7</x:v>
      </x:c>
      <x:c r="D14" s="10" t="n">
        <x:f>COUNTIFS('2019'!$J$24:$J$106,A14,'2019'!$B$24:$B$106,"&lt;&gt;Playoffs")</x:f>
        <x:v>6</x:v>
      </x:c>
      <x:c r="E14" s="10" t="n">
        <x:f>COUNTIFS('2019'!$C$24:$C$106,A14,'2019'!$K$24:$K$106,1,'2019'!$B$24:$B$106,"&lt;&gt;Playoffs")+COUNTIFS('2019'!$F$24:$F$106,A14,'2019'!$K$24:$K$106,1,'2019'!$B$24:$B$106,"&lt;&gt;Playoffs")</x:f>
        <x:v>0</x:v>
      </x:c>
      <x:c r="F14" s="10" t="n">
        <x:f>SUM(C14:E14)</x:f>
        <x:v>13</x:v>
      </x:c>
      <x:c r="G14" s="12" t="n">
        <x:f>IF(F14=0,0,(C14+0.5*E14)/F14)</x:f>
        <x:v>0.5384615384615384</x:v>
      </x:c>
      <x:c r="H14" s="14" t="n">
        <x:f>SUMIFS('2019'!$E$24:$E$106,'2019'!$C$24:$C$106,A14,'2019'!$B$24:$B$106,"&lt;&gt;Playoffs")+SUMIFS('2019'!$H$24:$H$106,'2019'!$F$24:$F$106,A14,'2019'!$B$24:$B$106,"&lt;&gt;Playoffs")</x:f>
        <x:v>1461</x:v>
      </x:c>
      <x:c r="I14" s="14" t="n">
        <x:f>SUMIFS('2019'!$H$24:$H$106,'2019'!$C$24:$C$106,A14,'2019'!$B$24:$B$106,"&lt;&gt;Playoffs")+SUMIFS('2019'!$E$24:$E$106,'2019'!$F$24:$F$106,A14,'2019'!$B$24:$B$106,"&lt;&gt;Playoffs")</x:f>
        <x:v>1366</x:v>
      </x:c>
      <x:c r="J14" s="10" t="n">
        <x:v>10</x:v>
      </x:c>
      <x:c r="K14" s="10" t="n">
        <x:v>1</x:v>
      </x:c>
      <x:c r="L14" s="10" t="n">
        <x:v>11</x:v>
      </x:c>
    </x:row>
    <x:row r="15" ht="22" customHeight="1">
      <x:c r="A15" s="2" t="str">
        <x:v>Matt</x:v>
      </x:c>
      <x:c r="B15" s="2" t="str">
        <x:v>Mr.Montana</x:v>
      </x:c>
      <x:c r="C15" s="2" t="n">
        <x:f>COUNTIFS('2019'!$I$24:$I$106,A15,'2019'!$B$24:$B$106,"&lt;&gt;Playoffs")</x:f>
        <x:v>6</x:v>
      </x:c>
      <x:c r="D15" s="2" t="n">
        <x:f>COUNTIFS('2019'!$J$24:$J$106,A15,'2019'!$B$24:$B$106,"&lt;&gt;Playoffs")</x:f>
        <x:v>6</x:v>
      </x:c>
      <x:c r="E15" s="2" t="n">
        <x:f>COUNTIFS('2019'!$C$24:$C$106,A15,'2019'!$K$24:$K$106,1,'2019'!$B$24:$B$106,"&lt;&gt;Playoffs")+COUNTIFS('2019'!$F$24:$F$106,A15,'2019'!$K$24:$K$106,1,'2019'!$B$24:$B$106,"&lt;&gt;Playoffs")</x:f>
        <x:v>1</x:v>
      </x:c>
      <x:c r="F15" s="2" t="n">
        <x:f>SUM(C15:E15)</x:f>
        <x:v>13</x:v>
      </x:c>
      <x:c r="G15" s="11" t="n">
        <x:f>IF(F15=0,0,(C15+0.5*E15)/F15)</x:f>
        <x:v>0.5</x:v>
      </x:c>
      <x:c r="H15" s="13" t="n">
        <x:f>SUMIFS('2019'!$E$24:$E$106,'2019'!$C$24:$C$106,A15,'2019'!$B$24:$B$106,"&lt;&gt;Playoffs")+SUMIFS('2019'!$H$24:$H$106,'2019'!$F$24:$F$106,A15,'2019'!$B$24:$B$106,"&lt;&gt;Playoffs")</x:f>
        <x:v>1453</x:v>
      </x:c>
      <x:c r="I15" s="13" t="n">
        <x:f>SUMIFS('2019'!$H$24:$H$106,'2019'!$C$24:$C$106,A15,'2019'!$B$24:$B$106,"&lt;&gt;Playoffs")+SUMIFS('2019'!$E$24:$E$106,'2019'!$F$24:$F$106,A15,'2019'!$B$24:$B$106,"&lt;&gt;Playoffs")</x:f>
        <x:v>1532</x:v>
      </x:c>
      <x:c r="J15" s="2" t="n">
        <x:v>19</x:v>
      </x:c>
      <x:c r="K15" s="2" t="n">
        <x:v>2</x:v>
      </x:c>
      <x:c r="L15" s="2" t="n">
        <x:v>12</x:v>
      </x:c>
    </x:row>
    <x:row r="16" ht="22" customHeight="1">
      <x:c r="A16" s="10" t="str">
        <x:v>Mike</x:v>
      </x:c>
      <x:c r="B16" s="10" t="str">
        <x:v>Daniel’s Discount</x:v>
      </x:c>
      <x:c r="C16" s="10" t="n">
        <x:f>COUNTIFS('2019'!$I$24:$I$106,A16,'2019'!$B$24:$B$106,"&lt;&gt;Playoffs")</x:f>
        <x:v>6</x:v>
      </x:c>
      <x:c r="D16" s="10" t="n">
        <x:f>COUNTIFS('2019'!$J$24:$J$106,A16,'2019'!$B$24:$B$106,"&lt;&gt;Playoffs")</x:f>
        <x:v>6</x:v>
      </x:c>
      <x:c r="E16" s="10" t="n">
        <x:f>COUNTIFS('2019'!$C$24:$C$106,A16,'2019'!$K$24:$K$106,1,'2019'!$B$24:$B$106,"&lt;&gt;Playoffs")+COUNTIFS('2019'!$F$24:$F$106,A16,'2019'!$K$24:$K$106,1,'2019'!$B$24:$B$106,"&lt;&gt;Playoffs")</x:f>
        <x:v>1</x:v>
      </x:c>
      <x:c r="F16" s="10" t="n">
        <x:f>SUM(C16:E16)</x:f>
        <x:v>13</x:v>
      </x:c>
      <x:c r="G16" s="12" t="n">
        <x:f>IF(F16=0,0,(C16+0.5*E16)/F16)</x:f>
        <x:v>0.5</x:v>
      </x:c>
      <x:c r="H16" s="14" t="n">
        <x:f>SUMIFS('2019'!$E$24:$E$106,'2019'!$C$24:$C$106,A16,'2019'!$B$24:$B$106,"&lt;&gt;Playoffs")+SUMIFS('2019'!$H$24:$H$106,'2019'!$F$24:$F$106,A16,'2019'!$B$24:$B$106,"&lt;&gt;Playoffs")</x:f>
        <x:v>1491</x:v>
      </x:c>
      <x:c r="I16" s="14" t="n">
        <x:f>SUMIFS('2019'!$H$24:$H$106,'2019'!$C$24:$C$106,A16,'2019'!$B$24:$B$106,"&lt;&gt;Playoffs")+SUMIFS('2019'!$E$24:$E$106,'2019'!$F$24:$F$106,A16,'2019'!$B$24:$B$106,"&lt;&gt;Playoffs")</x:f>
        <x:v>1500</x:v>
      </x:c>
      <x:c r="J16" s="10" t="n">
        <x:v>15</x:v>
      </x:c>
      <x:c r="K16" s="10" t="n">
        <x:v>3</x:v>
      </x:c>
      <x:c r="L16" s="10" t="n">
        <x:v>6</x:v>
      </x:c>
    </x:row>
    <x:row r="17" ht="22" customHeight="1">
      <x:c r="A17" s="2" t="str">
        <x:v>Paul</x:v>
      </x:c>
      <x:c r="B17" s="2" t="str">
        <x:v>Paul's Team</x:v>
      </x:c>
      <x:c r="C17" s="2" t="n">
        <x:f>COUNTIFS('2019'!$I$24:$I$106,A17,'2019'!$B$24:$B$106,"&lt;&gt;Playoffs")</x:f>
        <x:v>9</x:v>
      </x:c>
      <x:c r="D17" s="2" t="n">
        <x:f>COUNTIFS('2019'!$J$24:$J$106,A17,'2019'!$B$24:$B$106,"&lt;&gt;Playoffs")</x:f>
        <x:v>4</x:v>
      </x:c>
      <x:c r="E17" s="2" t="n">
        <x:f>COUNTIFS('2019'!$C$24:$C$106,A17,'2019'!$K$24:$K$106,1,'2019'!$B$24:$B$106,"&lt;&gt;Playoffs")+COUNTIFS('2019'!$F$24:$F$106,A17,'2019'!$K$24:$K$106,1,'2019'!$B$24:$B$106,"&lt;&gt;Playoffs")</x:f>
        <x:v>0</x:v>
      </x:c>
      <x:c r="F17" s="2" t="n">
        <x:f>SUM(C17:E17)</x:f>
        <x:v>13</x:v>
      </x:c>
      <x:c r="G17" s="11" t="n">
        <x:f>IF(F17=0,0,(C17+0.5*E17)/F17)</x:f>
        <x:v>0.6923076923076923</x:v>
      </x:c>
      <x:c r="H17" s="13" t="n">
        <x:f>SUMIFS('2019'!$E$24:$E$106,'2019'!$C$24:$C$106,A17,'2019'!$B$24:$B$106,"&lt;&gt;Playoffs")+SUMIFS('2019'!$H$24:$H$106,'2019'!$F$24:$F$106,A17,'2019'!$B$24:$B$106,"&lt;&gt;Playoffs")</x:f>
        <x:v>1620</x:v>
      </x:c>
      <x:c r="I17" s="13" t="n">
        <x:f>SUMIFS('2019'!$H$24:$H$106,'2019'!$C$24:$C$106,A17,'2019'!$B$24:$B$106,"&lt;&gt;Playoffs")+SUMIFS('2019'!$E$24:$E$106,'2019'!$F$24:$F$106,A17,'2019'!$B$24:$B$106,"&lt;&gt;Playoffs")</x:f>
        <x:v>1397</x:v>
      </x:c>
      <x:c r="J17" s="2" t="n">
        <x:v>14</x:v>
      </x:c>
      <x:c r="K17" s="2" t="n">
        <x:v>1</x:v>
      </x:c>
      <x:c r="L17" s="2" t="n">
        <x:v>9</x:v>
      </x:c>
    </x:row>
    <x:row r="18" ht="22" customHeight="1">
      <x:c r="A18" s="10" t="str">
        <x:v>Poker Dude</x:v>
      </x:c>
      <x:c r="B18" s="10" t="str">
        <x:v>james's Team</x:v>
      </x:c>
      <x:c r="C18" s="10" t="n">
        <x:f>COUNTIFS('2019'!$I$24:$I$106,A18,'2019'!$B$24:$B$106,"&lt;&gt;Playoffs")</x:f>
        <x:v>5</x:v>
      </x:c>
      <x:c r="D18" s="10" t="n">
        <x:f>COUNTIFS('2019'!$J$24:$J$106,A18,'2019'!$B$24:$B$106,"&lt;&gt;Playoffs")</x:f>
        <x:v>8</x:v>
      </x:c>
      <x:c r="E18" s="10" t="n">
        <x:f>COUNTIFS('2019'!$C$24:$C$106,A18,'2019'!$K$24:$K$106,1,'2019'!$B$24:$B$106,"&lt;&gt;Playoffs")+COUNTIFS('2019'!$F$24:$F$106,A18,'2019'!$K$24:$K$106,1,'2019'!$B$24:$B$106,"&lt;&gt;Playoffs")</x:f>
        <x:v>0</x:v>
      </x:c>
      <x:c r="F18" s="10" t="n">
        <x:f>SUM(C18:E18)</x:f>
        <x:v>13</x:v>
      </x:c>
      <x:c r="G18" s="12" t="n">
        <x:f>IF(F18=0,0,(C18+0.5*E18)/F18)</x:f>
        <x:v>0.38461538461538464</x:v>
      </x:c>
      <x:c r="H18" s="14" t="n">
        <x:f>SUMIFS('2019'!$E$24:$E$106,'2019'!$C$24:$C$106,A18,'2019'!$B$24:$B$106,"&lt;&gt;Playoffs")+SUMIFS('2019'!$H$24:$H$106,'2019'!$F$24:$F$106,A18,'2019'!$B$24:$B$106,"&lt;&gt;Playoffs")</x:f>
        <x:v>1382</x:v>
      </x:c>
      <x:c r="I18" s="14" t="n">
        <x:f>SUMIFS('2019'!$H$24:$H$106,'2019'!$C$24:$C$106,A18,'2019'!$B$24:$B$106,"&lt;&gt;Playoffs")+SUMIFS('2019'!$E$24:$E$106,'2019'!$F$24:$F$106,A18,'2019'!$B$24:$B$106,"&lt;&gt;Playoffs")</x:f>
        <x:v>1380</x:v>
      </x:c>
      <x:c r="J18" s="10" t="n">
        <x:v>39</x:v>
      </x:c>
      <x:c r="K18" s="10" t="n">
        <x:v>2</x:v>
      </x:c>
      <x:c r="L18" s="10" t="n">
        <x:v>3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6" t="str">
        <x:v>Week</x:v>
      </x:c>
      <x:c r="B23" s="6" t="str">
        <x:v>Phase</x:v>
      </x:c>
      <x:c r="C23" s="6" t="str">
        <x:v>Manager A</x:v>
      </x:c>
      <x:c r="D23" s="6" t="str">
        <x:v>Team A</x:v>
      </x:c>
      <x:c r="E23" s="6" t="str">
        <x:v>Score A</x:v>
      </x:c>
      <x:c r="F23" s="6" t="str">
        <x:v>Manager B</x:v>
      </x:c>
      <x:c r="G23" s="6" t="str">
        <x:v>Team B</x:v>
      </x:c>
      <x:c r="H23" s="6" t="str">
        <x:v>Score B</x:v>
      </x:c>
      <x:c r="I23" s="6" t="str">
        <x:v>Winner</x:v>
      </x:c>
      <x:c r="J23" s="6" t="str">
        <x:v>Loser</x:v>
      </x:c>
      <x:c r="K23" s="6" t="str">
        <x:v>Tie</x:v>
      </x:c>
      <x:c r="L23" s="6" t="str">
        <x:v>Pair</x:v>
      </x:c>
      <x:c r="M23" s="9" t="str">
        <x:v>Round</x:v>
      </x:c>
      <x:c r="N23" s="9" t="str">
        <x:v>Week source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141</x:v>
      </x:c>
      <x:c r="F24" s="2" t="str">
        <x:v>Mark</x:v>
      </x:c>
      <x:c r="G24" s="2" t="str">
        <x:v>wacky waving arms</x:v>
      </x:c>
      <x:c r="H24" s="15" t="n">
        <x:v>116</x:v>
      </x:c>
      <x:c r="I24" s="2" t="str">
        <x:f>IF(E24&gt;H24,C24,IF(E24&lt;H24,F24,"Tie"))</x:f>
        <x:v>Bruce</x:v>
      </x:c>
      <x:c r="J24" s="2" t="str">
        <x:f>IF(E24&gt;H24,F24,IF(E24&lt;H24,C24,"Tie"))</x:f>
        <x:v>Mark</x:v>
      </x:c>
      <x:c r="K24" s="2" t="n">
        <x:f>IF(E24=H24,1,0)</x:f>
        <x:v>0</x:v>
      </x:c>
      <x:c r="L24" s="2" t="str">
        <x:v>Bruce / Mark</x:v>
      </x:c>
      <x:c r="M24" t="str"/>
      <x:c r="N24" t="str">
        <x:v>Supplied</x:v>
      </x:c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147</x:v>
      </x:c>
      <x:c r="F25" s="2" t="str">
        <x:v>Ed</x:v>
      </x:c>
      <x:c r="G25" s="2" t="str">
        <x:v>Club Eroticas Finest</x:v>
      </x:c>
      <x:c r="H25" s="15" t="n">
        <x:v>112</x:v>
      </x:c>
      <x:c r="I25" s="2" t="str">
        <x:f>IF(E25&gt;H25,C25,IF(E25&lt;H25,F25,"Tie"))</x:f>
        <x:v>Craig</x:v>
      </x:c>
      <x:c r="J25" s="2" t="str">
        <x:f>IF(E25&gt;H25,F25,IF(E25&lt;H25,C25,"Tie"))</x:f>
        <x:v>Ed</x:v>
      </x:c>
      <x:c r="K25" s="2" t="n">
        <x:f>IF(E25=H25,1,0)</x:f>
        <x:v>0</x:v>
      </x:c>
      <x:c r="L25" s="2" t="str">
        <x:v>Craig / Ed</x:v>
      </x:c>
      <x:c r="M25" t="str"/>
      <x:c r="N25" t="str">
        <x:v>Supplied</x:v>
      </x:c>
    </x:row>
    <x:row r="26" ht="22" customHeight="1">
      <x:c r="A26" s="2" t="n">
        <x:v>1</x:v>
      </x:c>
      <x:c r="B26" s="2" t="str">
        <x:v>Regular</x:v>
      </x:c>
      <x:c r="C26" s="2" t="str">
        <x:v>Dave</x:v>
      </x:c>
      <x:c r="D26" s="2" t="str">
        <x:v>dave's Awesome Team</x:v>
      </x:c>
      <x:c r="E26" s="15" t="n">
        <x:v>91</x:v>
      </x:c>
      <x:c r="F26" s="2" t="str">
        <x:v>Poker Dude</x:v>
      </x:c>
      <x:c r="G26" s="2" t="str">
        <x:v>james's Team</x:v>
      </x:c>
      <x:c r="H26" s="15" t="n">
        <x:v>84</x:v>
      </x:c>
      <x:c r="I26" s="2" t="str">
        <x:f>IF(E26&gt;H26,C26,IF(E26&lt;H26,F26,"Tie"))</x:f>
        <x:v>Dave</x:v>
      </x:c>
      <x:c r="J26" s="2" t="str">
        <x:f>IF(E26&gt;H26,F26,IF(E26&lt;H26,C26,"Tie"))</x:f>
        <x:v>Poker Dude</x:v>
      </x:c>
      <x:c r="K26" s="2" t="n">
        <x:f>IF(E26=H26,1,0)</x:f>
        <x:v>0</x:v>
      </x:c>
      <x:c r="L26" s="2" t="str">
        <x:v>Dave / Poker Dude</x:v>
      </x:c>
      <x:c r="M26" t="str"/>
      <x:c r="N26" t="str">
        <x:v>Supplied</x:v>
      </x:c>
    </x:row>
    <x:row r="27" ht="22" customHeight="1">
      <x:c r="A27" s="2" t="n">
        <x:v>1</x:v>
      </x:c>
      <x:c r="B27" s="2" t="str">
        <x:v>Regular</x:v>
      </x:c>
      <x:c r="C27" s="2" t="str">
        <x:v>Frank</x:v>
      </x:c>
      <x:c r="D27" s="2" t="str">
        <x:v>Saquon Deez Nutz</x:v>
      </x:c>
      <x:c r="E27" s="15" t="n">
        <x:v>133</x:v>
      </x:c>
      <x:c r="F27" s="2" t="str">
        <x:v>Paul</x:v>
      </x:c>
      <x:c r="G27" s="2" t="str">
        <x:v>Paul's Team</x:v>
      </x:c>
      <x:c r="H27" s="15" t="n">
        <x:v>125</x:v>
      </x:c>
      <x:c r="I27" s="2" t="str">
        <x:f>IF(E27&gt;H27,C27,IF(E27&lt;H27,F27,"Tie"))</x:f>
        <x:v>Frank</x:v>
      </x:c>
      <x:c r="J27" s="2" t="str">
        <x:f>IF(E27&gt;H27,F27,IF(E27&lt;H27,C27,"Tie"))</x:f>
        <x:v>Paul</x:v>
      </x:c>
      <x:c r="K27" s="2" t="n">
        <x:f>IF(E27=H27,1,0)</x:f>
        <x:v>0</x:v>
      </x:c>
      <x:c r="L27" s="2" t="str">
        <x:v>Frank / Paul</x:v>
      </x:c>
      <x:c r="M27" t="str"/>
      <x:c r="N27" t="str">
        <x:v>Supplied</x:v>
      </x:c>
    </x:row>
    <x:row r="28" ht="22" customHeight="1">
      <x:c r="A28" s="2" t="n">
        <x:v>1</x:v>
      </x:c>
      <x:c r="B28" s="2" t="str">
        <x:v>Regular</x:v>
      </x:c>
      <x:c r="C28" s="2" t="str">
        <x:v>Mike</x:v>
      </x:c>
      <x:c r="D28" s="2" t="str">
        <x:v>Daniel’s Discount</x:v>
      </x:c>
      <x:c r="E28" s="15" t="n">
        <x:v>136</x:v>
      </x:c>
      <x:c r="F28" s="2" t="str">
        <x:v>Josh</x:v>
      </x:c>
      <x:c r="G28" s="2" t="str">
        <x:v>The Marching Antz</x:v>
      </x:c>
      <x:c r="H28" s="15" t="n">
        <x:v>108</x:v>
      </x:c>
      <x:c r="I28" s="2" t="str">
        <x:f>IF(E28&gt;H28,C28,IF(E28&lt;H28,F28,"Tie"))</x:f>
        <x:v>Mike</x:v>
      </x:c>
      <x:c r="J28" s="2" t="str">
        <x:f>IF(E28&gt;H28,F28,IF(E28&lt;H28,C28,"Tie"))</x:f>
        <x:v>Josh</x:v>
      </x:c>
      <x:c r="K28" s="2" t="n">
        <x:f>IF(E28=H28,1,0)</x:f>
        <x:v>0</x:v>
      </x:c>
      <x:c r="L28" s="2" t="str">
        <x:v>Josh / Mike</x:v>
      </x:c>
      <x:c r="M28" t="str"/>
      <x:c r="N28" t="str">
        <x:v>Supplied</x:v>
      </x:c>
    </x:row>
    <x:row r="29" ht="22" customHeight="1">
      <x:c r="A29" s="2" t="n">
        <x:v>1</x:v>
      </x:c>
      <x:c r="B29" s="2" t="str">
        <x:v>Regular</x:v>
      </x:c>
      <x:c r="C29" s="2" t="str">
        <x:v>Ben</x:v>
      </x:c>
      <x:c r="D29" s="2" t="str">
        <x:v>NebGilum</x:v>
      </x:c>
      <x:c r="E29" s="15" t="n">
        <x:v>128</x:v>
      </x:c>
      <x:c r="F29" s="2" t="str">
        <x:v>Matt</x:v>
      </x:c>
      <x:c r="G29" s="2" t="str">
        <x:v>Mr.Montana</x:v>
      </x:c>
      <x:c r="H29" s="15" t="n">
        <x:v>106</x:v>
      </x:c>
      <x:c r="I29" s="2" t="str">
        <x:f>IF(E29&gt;H29,C29,IF(E29&lt;H29,F29,"Tie"))</x:f>
        <x:v>Ben</x:v>
      </x:c>
      <x:c r="J29" s="2" t="str">
        <x:f>IF(E29&gt;H29,F29,IF(E29&lt;H29,C29,"Tie"))</x:f>
        <x:v>Matt</x:v>
      </x:c>
      <x:c r="K29" s="2" t="n">
        <x:f>IF(E29=H29,1,0)</x:f>
        <x:v>0</x:v>
      </x:c>
      <x:c r="L29" s="2" t="str">
        <x:v>Ben / Matt</x:v>
      </x:c>
      <x:c r="M29" t="str"/>
      <x:c r="N29" t="str">
        <x:v>Supplied</x:v>
      </x:c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153</x:v>
      </x:c>
      <x:c r="F30" s="2" t="str">
        <x:v>Craig</x:v>
      </x:c>
      <x:c r="G30" s="2" t="str">
        <x:v>The Ants Marching</x:v>
      </x:c>
      <x:c r="H30" s="15" t="n">
        <x:v>136</x:v>
      </x:c>
      <x:c r="I30" s="2" t="str">
        <x:f>IF(E30&gt;H30,C30,IF(E30&lt;H30,F30,"Tie"))</x:f>
        <x:v>Bruce</x:v>
      </x:c>
      <x:c r="J30" s="2" t="str">
        <x:f>IF(E30&gt;H30,F30,IF(E30&lt;H30,C30,"Tie"))</x:f>
        <x:v>Craig</x:v>
      </x:c>
      <x:c r="K30" s="2" t="n">
        <x:f>IF(E30=H30,1,0)</x:f>
        <x:v>0</x:v>
      </x:c>
      <x:c r="L30" s="2" t="str">
        <x:v>Bruce / Craig</x:v>
      </x:c>
      <x:c r="M30" t="str"/>
      <x:c r="N30" t="str">
        <x:v>Supplied</x:v>
      </x:c>
    </x:row>
    <x:row r="31" ht="22" customHeight="1">
      <x:c r="A31" s="2" t="n">
        <x:v>2</x:v>
      </x:c>
      <x:c r="B31" s="2" t="str">
        <x:v>Regular</x:v>
      </x:c>
      <x:c r="C31" s="2" t="str">
        <x:v>Dave</x:v>
      </x:c>
      <x:c r="D31" s="2" t="str">
        <x:v>dave's Awesome Team</x:v>
      </x:c>
      <x:c r="E31" s="15" t="n">
        <x:v>98</x:v>
      </x:c>
      <x:c r="F31" s="2" t="str">
        <x:v>Mark</x:v>
      </x:c>
      <x:c r="G31" s="2" t="str">
        <x:v>wacky waving arms</x:v>
      </x:c>
      <x:c r="H31" s="15" t="n">
        <x:v>107</x:v>
      </x:c>
      <x:c r="I31" s="2" t="str">
        <x:f>IF(E31&gt;H31,C31,IF(E31&lt;H31,F31,"Tie"))</x:f>
        <x:v>Mark</x:v>
      </x:c>
      <x:c r="J31" s="2" t="str">
        <x:f>IF(E31&gt;H31,F31,IF(E31&lt;H31,C31,"Tie"))</x:f>
        <x:v>Dave</x:v>
      </x:c>
      <x:c r="K31" s="2" t="n">
        <x:f>IF(E31=H31,1,0)</x:f>
        <x:v>0</x:v>
      </x:c>
      <x:c r="L31" s="2" t="str">
        <x:v>Dave / Mark</x:v>
      </x:c>
      <x:c r="M31" t="str"/>
      <x:c r="N31" t="str">
        <x:v>Supplied</x:v>
      </x:c>
    </x:row>
    <x:row r="32" ht="22" customHeight="1">
      <x:c r="A32" s="2" t="n">
        <x:v>2</x:v>
      </x:c>
      <x:c r="B32" s="2" t="str">
        <x:v>Regular</x:v>
      </x:c>
      <x:c r="C32" s="2" t="str">
        <x:v>Ed</x:v>
      </x:c>
      <x:c r="D32" s="2" t="str">
        <x:v>Club Eroticas Finest</x:v>
      </x:c>
      <x:c r="E32" s="15" t="n">
        <x:v>109</x:v>
      </x:c>
      <x:c r="F32" s="2" t="str">
        <x:v>Matt</x:v>
      </x:c>
      <x:c r="G32" s="2" t="str">
        <x:v>Mr.Montana</x:v>
      </x:c>
      <x:c r="H32" s="15" t="n">
        <x:v>68</x:v>
      </x:c>
      <x:c r="I32" s="2" t="str">
        <x:f>IF(E32&gt;H32,C32,IF(E32&lt;H32,F32,"Tie"))</x:f>
        <x:v>Ed</x:v>
      </x:c>
      <x:c r="J32" s="2" t="str">
        <x:f>IF(E32&gt;H32,F32,IF(E32&lt;H32,C32,"Tie"))</x:f>
        <x:v>Matt</x:v>
      </x:c>
      <x:c r="K32" s="2" t="n">
        <x:f>IF(E32=H32,1,0)</x:f>
        <x:v>0</x:v>
      </x:c>
      <x:c r="L32" s="2" t="str">
        <x:v>Ed / Matt</x:v>
      </x:c>
      <x:c r="M32" t="str"/>
      <x:c r="N32" t="str">
        <x:v>Supplied</x:v>
      </x:c>
    </x:row>
    <x:row r="33" ht="22" customHeight="1">
      <x:c r="A33" s="2" t="n">
        <x:v>2</x:v>
      </x:c>
      <x:c r="B33" s="2" t="str">
        <x:v>Regular</x:v>
      </x:c>
      <x:c r="C33" s="2" t="str">
        <x:v>Frank</x:v>
      </x:c>
      <x:c r="D33" s="2" t="str">
        <x:v>Saquon Deez Nutz</x:v>
      </x:c>
      <x:c r="E33" s="15" t="n">
        <x:v>119</x:v>
      </x:c>
      <x:c r="F33" s="2" t="str">
        <x:v>Mike</x:v>
      </x:c>
      <x:c r="G33" s="2" t="str">
        <x:v>Daniel’s Discount</x:v>
      </x:c>
      <x:c r="H33" s="15" t="n">
        <x:v>108</x:v>
      </x:c>
      <x:c r="I33" s="2" t="str">
        <x:f>IF(E33&gt;H33,C33,IF(E33&lt;H33,F33,"Tie"))</x:f>
        <x:v>Frank</x:v>
      </x:c>
      <x:c r="J33" s="2" t="str">
        <x:f>IF(E33&gt;H33,F33,IF(E33&lt;H33,C33,"Tie"))</x:f>
        <x:v>Mike</x:v>
      </x:c>
      <x:c r="K33" s="2" t="n">
        <x:f>IF(E33=H33,1,0)</x:f>
        <x:v>0</x:v>
      </x:c>
      <x:c r="L33" s="2" t="str">
        <x:v>Frank / Mike</x:v>
      </x:c>
      <x:c r="M33" t="str"/>
      <x:c r="N33" t="str">
        <x:v>Supplied</x:v>
      </x:c>
    </x:row>
    <x:row r="34" ht="22" customHeight="1">
      <x:c r="A34" s="2" t="n">
        <x:v>2</x:v>
      </x:c>
      <x:c r="B34" s="2" t="str">
        <x:v>Regular</x:v>
      </x:c>
      <x:c r="C34" s="2" t="str">
        <x:v>Josh</x:v>
      </x:c>
      <x:c r="D34" s="2" t="str">
        <x:v>The Marching Antz</x:v>
      </x:c>
      <x:c r="E34" s="15" t="n">
        <x:v>109</x:v>
      </x:c>
      <x:c r="F34" s="2" t="str">
        <x:v>Ben</x:v>
      </x:c>
      <x:c r="G34" s="2" t="str">
        <x:v>NebGilum</x:v>
      </x:c>
      <x:c r="H34" s="15" t="n">
        <x:v>106</x:v>
      </x:c>
      <x:c r="I34" s="2" t="str">
        <x:f>IF(E34&gt;H34,C34,IF(E34&lt;H34,F34,"Tie"))</x:f>
        <x:v>Josh</x:v>
      </x:c>
      <x:c r="J34" s="2" t="str">
        <x:f>IF(E34&gt;H34,F34,IF(E34&lt;H34,C34,"Tie"))</x:f>
        <x:v>Ben</x:v>
      </x:c>
      <x:c r="K34" s="2" t="n">
        <x:f>IF(E34=H34,1,0)</x:f>
        <x:v>0</x:v>
      </x:c>
      <x:c r="L34" s="2" t="str">
        <x:v>Ben / Josh</x:v>
      </x:c>
      <x:c r="M34" t="str"/>
      <x:c r="N34" t="str">
        <x:v>Supplied</x:v>
      </x:c>
    </x:row>
    <x:row r="35" ht="22" customHeight="1">
      <x:c r="A35" s="2" t="n">
        <x:v>2</x:v>
      </x:c>
      <x:c r="B35" s="2" t="str">
        <x:v>Regular</x:v>
      </x:c>
      <x:c r="C35" s="2" t="str">
        <x:v>Poker Dude</x:v>
      </x:c>
      <x:c r="D35" s="2" t="str">
        <x:v>james's Team</x:v>
      </x:c>
      <x:c r="E35" s="15" t="n">
        <x:v>118</x:v>
      </x:c>
      <x:c r="F35" s="2" t="str">
        <x:v>Paul</x:v>
      </x:c>
      <x:c r="G35" s="2" t="str">
        <x:v>Paul's Team</x:v>
      </x:c>
      <x:c r="H35" s="15" t="n">
        <x:v>106</x:v>
      </x:c>
      <x:c r="I35" s="2" t="str">
        <x:f>IF(E35&gt;H35,C35,IF(E35&lt;H35,F35,"Tie"))</x:f>
        <x:v>Poker Dude</x:v>
      </x:c>
      <x:c r="J35" s="2" t="str">
        <x:f>IF(E35&gt;H35,F35,IF(E35&lt;H35,C35,"Tie"))</x:f>
        <x:v>Paul</x:v>
      </x:c>
      <x:c r="K35" s="2" t="n">
        <x:f>IF(E35=H35,1,0)</x:f>
        <x:v>0</x:v>
      </x:c>
      <x:c r="L35" s="2" t="str">
        <x:v>Paul / Poker Dude</x:v>
      </x:c>
      <x:c r="M35" t="str"/>
      <x:c r="N35" t="str">
        <x:v>Supplied</x:v>
      </x:c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111</x:v>
      </x:c>
      <x:c r="F36" s="2" t="str">
        <x:v>Poker Dude</x:v>
      </x:c>
      <x:c r="G36" s="2" t="str">
        <x:v>james's Team</x:v>
      </x:c>
      <x:c r="H36" s="15" t="n">
        <x:v>96</x:v>
      </x:c>
      <x:c r="I36" s="2" t="str">
        <x:f>IF(E36&gt;H36,C36,IF(E36&lt;H36,F36,"Tie"))</x:f>
        <x:v>Bruce</x:v>
      </x:c>
      <x:c r="J36" s="2" t="str">
        <x:f>IF(E36&gt;H36,F36,IF(E36&lt;H36,C36,"Tie"))</x:f>
        <x:v>Poker Dude</x:v>
      </x:c>
      <x:c r="K36" s="2" t="n">
        <x:f>IF(E36=H36,1,0)</x:f>
        <x:v>0</x:v>
      </x:c>
      <x:c r="L36" s="2" t="str">
        <x:v>Bruce / Poker Dude</x:v>
      </x:c>
      <x:c r="M36" t="str"/>
      <x:c r="N36" t="str">
        <x:v>Supplied</x:v>
      </x:c>
    </x:row>
    <x:row r="37" ht="22" customHeight="1">
      <x:c r="A37" s="2" t="n">
        <x:v>3</x:v>
      </x:c>
      <x:c r="B37" s="2" t="str">
        <x:v>Regular</x:v>
      </x:c>
      <x:c r="C37" s="2" t="str">
        <x:v>Craig</x:v>
      </x:c>
      <x:c r="D37" s="2" t="str">
        <x:v>The Ants Marching</x:v>
      </x:c>
      <x:c r="E37" s="15" t="n">
        <x:v>161</x:v>
      </x:c>
      <x:c r="F37" s="2" t="str">
        <x:v>Mark</x:v>
      </x:c>
      <x:c r="G37" s="2" t="str">
        <x:v>wacky waving arms</x:v>
      </x:c>
      <x:c r="H37" s="15" t="n">
        <x:v>134</x:v>
      </x:c>
      <x:c r="I37" s="2" t="str">
        <x:f>IF(E37&gt;H37,C37,IF(E37&lt;H37,F37,"Tie"))</x:f>
        <x:v>Craig</x:v>
      </x:c>
      <x:c r="J37" s="2" t="str">
        <x:f>IF(E37&gt;H37,F37,IF(E37&lt;H37,C37,"Tie"))</x:f>
        <x:v>Mark</x:v>
      </x:c>
      <x:c r="K37" s="2" t="n">
        <x:f>IF(E37=H37,1,0)</x:f>
        <x:v>0</x:v>
      </x:c>
      <x:c r="L37" s="2" t="str">
        <x:v>Craig / Mark</x:v>
      </x:c>
      <x:c r="M37" t="str"/>
      <x:c r="N37" t="str">
        <x:v>Supplied</x:v>
      </x:c>
    </x:row>
    <x:row r="38" ht="22" customHeight="1">
      <x:c r="A38" s="2" t="n">
        <x:v>3</x:v>
      </x:c>
      <x:c r="B38" s="2" t="str">
        <x:v>Regular</x:v>
      </x:c>
      <x:c r="C38" s="2" t="str">
        <x:v>Dave</x:v>
      </x:c>
      <x:c r="D38" s="2" t="str">
        <x:v>dave's Awesome Team</x:v>
      </x:c>
      <x:c r="E38" s="15" t="n">
        <x:v>85</x:v>
      </x:c>
      <x:c r="F38" s="2" t="str">
        <x:v>Frank</x:v>
      </x:c>
      <x:c r="G38" s="2" t="str">
        <x:v>Saquon Deez Nutz</x:v>
      </x:c>
      <x:c r="H38" s="15" t="n">
        <x:v>141</x:v>
      </x:c>
      <x:c r="I38" s="2" t="str">
        <x:f>IF(E38&gt;H38,C38,IF(E38&lt;H38,F38,"Tie"))</x:f>
        <x:v>Frank</x:v>
      </x:c>
      <x:c r="J38" s="2" t="str">
        <x:f>IF(E38&gt;H38,F38,IF(E38&lt;H38,C38,"Tie"))</x:f>
        <x:v>Dave</x:v>
      </x:c>
      <x:c r="K38" s="2" t="n">
        <x:f>IF(E38=H38,1,0)</x:f>
        <x:v>0</x:v>
      </x:c>
      <x:c r="L38" s="2" t="str">
        <x:v>Dave / Frank</x:v>
      </x:c>
      <x:c r="M38" t="str"/>
      <x:c r="N38" t="str">
        <x:v>Supplied</x:v>
      </x:c>
    </x:row>
    <x:row r="39" ht="22" customHeight="1">
      <x:c r="A39" s="2" t="n">
        <x:v>3</x:v>
      </x:c>
      <x:c r="B39" s="2" t="str">
        <x:v>Regular</x:v>
      </x:c>
      <x:c r="C39" s="2" t="str">
        <x:v>Ed</x:v>
      </x:c>
      <x:c r="D39" s="2" t="str">
        <x:v>Club Eroticas Finest</x:v>
      </x:c>
      <x:c r="E39" s="15" t="n">
        <x:v>132</x:v>
      </x:c>
      <x:c r="F39" s="2" t="str">
        <x:v>Ben</x:v>
      </x:c>
      <x:c r="G39" s="2" t="str">
        <x:v>NebGilum</x:v>
      </x:c>
      <x:c r="H39" s="15" t="n">
        <x:v>130</x:v>
      </x:c>
      <x:c r="I39" s="2" t="str">
        <x:f>IF(E39&gt;H39,C39,IF(E39&lt;H39,F39,"Tie"))</x:f>
        <x:v>Ed</x:v>
      </x:c>
      <x:c r="J39" s="2" t="str">
        <x:f>IF(E39&gt;H39,F39,IF(E39&lt;H39,C39,"Tie"))</x:f>
        <x:v>Ben</x:v>
      </x:c>
      <x:c r="K39" s="2" t="n">
        <x:f>IF(E39=H39,1,0)</x:f>
        <x:v>0</x:v>
      </x:c>
      <x:c r="L39" s="2" t="str">
        <x:v>Ben / Ed</x:v>
      </x:c>
      <x:c r="M39" t="str"/>
      <x:c r="N39" t="str">
        <x:v>Supplied</x:v>
      </x:c>
    </x:row>
    <x:row r="40" ht="22" customHeight="1">
      <x:c r="A40" s="2" t="n">
        <x:v>3</x:v>
      </x:c>
      <x:c r="B40" s="2" t="str">
        <x:v>Regular</x:v>
      </x:c>
      <x:c r="C40" s="2" t="str">
        <x:v>Mike</x:v>
      </x:c>
      <x:c r="D40" s="2" t="str">
        <x:v>Daniel’s Discount</x:v>
      </x:c>
      <x:c r="E40" s="15" t="n">
        <x:v>124</x:v>
      </x:c>
      <x:c r="F40" s="2" t="str">
        <x:v>Matt</x:v>
      </x:c>
      <x:c r="G40" s="2" t="str">
        <x:v>Mr.Montana</x:v>
      </x:c>
      <x:c r="H40" s="15" t="n">
        <x:v>124</x:v>
      </x:c>
      <x:c r="I40" s="2" t="str">
        <x:f>IF(E40&gt;H40,C40,IF(E40&lt;H40,F40,"Tie"))</x:f>
        <x:v>Tie</x:v>
      </x:c>
      <x:c r="J40" s="2" t="str">
        <x:f>IF(E40&gt;H40,F40,IF(E40&lt;H40,C40,"Tie"))</x:f>
        <x:v>Tie</x:v>
      </x:c>
      <x:c r="K40" s="2" t="n">
        <x:f>IF(E40=H40,1,0)</x:f>
        <x:v>1</x:v>
      </x:c>
      <x:c r="L40" s="2" t="str">
        <x:v>Matt / Mike</x:v>
      </x:c>
      <x:c r="M40" t="str"/>
      <x:c r="N40" t="str">
        <x:v>Supplied</x:v>
      </x:c>
    </x:row>
    <x:row r="41" ht="22" customHeight="1">
      <x:c r="A41" s="2" t="n">
        <x:v>3</x:v>
      </x:c>
      <x:c r="B41" s="2" t="str">
        <x:v>Regular</x:v>
      </x:c>
      <x:c r="C41" s="2" t="str">
        <x:v>Josh</x:v>
      </x:c>
      <x:c r="D41" s="2" t="str">
        <x:v>The Marching Antz</x:v>
      </x:c>
      <x:c r="E41" s="15" t="n">
        <x:v>90</x:v>
      </x:c>
      <x:c r="F41" s="2" t="str">
        <x:v>Paul</x:v>
      </x:c>
      <x:c r="G41" s="2" t="str">
        <x:v>Paul's Team</x:v>
      </x:c>
      <x:c r="H41" s="15" t="n">
        <x:v>97</x:v>
      </x:c>
      <x:c r="I41" s="2" t="str">
        <x:f>IF(E41&gt;H41,C41,IF(E41&lt;H41,F41,"Tie"))</x:f>
        <x:v>Paul</x:v>
      </x:c>
      <x:c r="J41" s="2" t="str">
        <x:f>IF(E41&gt;H41,F41,IF(E41&lt;H41,C41,"Tie"))</x:f>
        <x:v>Josh</x:v>
      </x:c>
      <x:c r="K41" s="2" t="n">
        <x:f>IF(E41=H41,1,0)</x:f>
        <x:v>0</x:v>
      </x:c>
      <x:c r="L41" s="2" t="str">
        <x:v>Josh / Paul</x:v>
      </x:c>
      <x:c r="M41" t="str"/>
      <x:c r="N41" t="str">
        <x:v>Supplied</x:v>
      </x:c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124</x:v>
      </x:c>
      <x:c r="F42" s="2" t="str">
        <x:v>Ed</x:v>
      </x:c>
      <x:c r="G42" s="2" t="str">
        <x:v>Club Eroticas Finest</x:v>
      </x:c>
      <x:c r="H42" s="15" t="n">
        <x:v>95</x:v>
      </x:c>
      <x:c r="I42" s="2" t="str">
        <x:f>IF(E42&gt;H42,C42,IF(E42&lt;H42,F42,"Tie"))</x:f>
        <x:v>Bruce</x:v>
      </x:c>
      <x:c r="J42" s="2" t="str">
        <x:f>IF(E42&gt;H42,F42,IF(E42&lt;H42,C42,"Tie"))</x:f>
        <x:v>Ed</x:v>
      </x:c>
      <x:c r="K42" s="2" t="n">
        <x:f>IF(E42=H42,1,0)</x:f>
        <x:v>0</x:v>
      </x:c>
      <x:c r="L42" s="2" t="str">
        <x:v>Bruce / Ed</x:v>
      </x:c>
      <x:c r="M42" t="str"/>
      <x:c r="N42" t="str">
        <x:v>Supplied</x:v>
      </x:c>
    </x:row>
    <x:row r="43" ht="22" customHeight="1">
      <x:c r="A43" s="2" t="n">
        <x:v>4</x:v>
      </x:c>
      <x:c r="B43" s="2" t="str">
        <x:v>Regular</x:v>
      </x:c>
      <x:c r="C43" s="2" t="str">
        <x:v>Craig</x:v>
      </x:c>
      <x:c r="D43" s="2" t="str">
        <x:v>The Ants Marching</x:v>
      </x:c>
      <x:c r="E43" s="15" t="n">
        <x:v>139</x:v>
      </x:c>
      <x:c r="F43" s="2" t="str">
        <x:v>Frank</x:v>
      </x:c>
      <x:c r="G43" s="2" t="str">
        <x:v>Saquon Deez Nutz</x:v>
      </x:c>
      <x:c r="H43" s="15" t="n">
        <x:v>99</x:v>
      </x:c>
      <x:c r="I43" s="2" t="str">
        <x:f>IF(E43&gt;H43,C43,IF(E43&lt;H43,F43,"Tie"))</x:f>
        <x:v>Craig</x:v>
      </x:c>
      <x:c r="J43" s="2" t="str">
        <x:f>IF(E43&gt;H43,F43,IF(E43&lt;H43,C43,"Tie"))</x:f>
        <x:v>Frank</x:v>
      </x:c>
      <x:c r="K43" s="2" t="n">
        <x:f>IF(E43=H43,1,0)</x:f>
        <x:v>0</x:v>
      </x:c>
      <x:c r="L43" s="2" t="str">
        <x:v>Craig / Frank</x:v>
      </x:c>
      <x:c r="M43" t="str"/>
      <x:c r="N43" t="str">
        <x:v>Supplied</x:v>
      </x:c>
    </x:row>
    <x:row r="44" ht="22" customHeight="1">
      <x:c r="A44" s="2" t="n">
        <x:v>4</x:v>
      </x:c>
      <x:c r="B44" s="2" t="str">
        <x:v>Regular</x:v>
      </x:c>
      <x:c r="C44" s="2" t="str">
        <x:v>Dave</x:v>
      </x:c>
      <x:c r="D44" s="2" t="str">
        <x:v>dave's Awesome Team</x:v>
      </x:c>
      <x:c r="E44" s="15" t="n">
        <x:v>111</x:v>
      </x:c>
      <x:c r="F44" s="2" t="str">
        <x:v>Ben</x:v>
      </x:c>
      <x:c r="G44" s="2" t="str">
        <x:v>NebGilum</x:v>
      </x:c>
      <x:c r="H44" s="15" t="n">
        <x:v>104</x:v>
      </x:c>
      <x:c r="I44" s="2" t="str">
        <x:f>IF(E44&gt;H44,C44,IF(E44&lt;H44,F44,"Tie"))</x:f>
        <x:v>Dave</x:v>
      </x:c>
      <x:c r="J44" s="2" t="str">
        <x:f>IF(E44&gt;H44,F44,IF(E44&lt;H44,C44,"Tie"))</x:f>
        <x:v>Ben</x:v>
      </x:c>
      <x:c r="K44" s="2" t="n">
        <x:f>IF(E44=H44,1,0)</x:f>
        <x:v>0</x:v>
      </x:c>
      <x:c r="L44" s="2" t="str">
        <x:v>Ben / Dave</x:v>
      </x:c>
      <x:c r="M44" t="str"/>
      <x:c r="N44" t="str">
        <x:v>Supplied</x:v>
      </x:c>
    </x:row>
    <x:row r="45" ht="22" customHeight="1">
      <x:c r="A45" s="2" t="n">
        <x:v>4</x:v>
      </x:c>
      <x:c r="B45" s="2" t="str">
        <x:v>Regular</x:v>
      </x:c>
      <x:c r="C45" s="2" t="str">
        <x:v>Mike</x:v>
      </x:c>
      <x:c r="D45" s="2" t="str">
        <x:v>Daniel’s Discount</x:v>
      </x:c>
      <x:c r="E45" s="15" t="n">
        <x:v>113</x:v>
      </x:c>
      <x:c r="F45" s="2" t="str">
        <x:v>Paul</x:v>
      </x:c>
      <x:c r="G45" s="2" t="str">
        <x:v>Paul's Team</x:v>
      </x:c>
      <x:c r="H45" s="15" t="n">
        <x:v>143</x:v>
      </x:c>
      <x:c r="I45" s="2" t="str">
        <x:f>IF(E45&gt;H45,C45,IF(E45&lt;H45,F45,"Tie"))</x:f>
        <x:v>Paul</x:v>
      </x:c>
      <x:c r="J45" s="2" t="str">
        <x:f>IF(E45&gt;H45,F45,IF(E45&lt;H45,C45,"Tie"))</x:f>
        <x:v>Mike</x:v>
      </x:c>
      <x:c r="K45" s="2" t="n">
        <x:f>IF(E45=H45,1,0)</x:f>
        <x:v>0</x:v>
      </x:c>
      <x:c r="L45" s="2" t="str">
        <x:v>Mike / Paul</x:v>
      </x:c>
      <x:c r="M45" t="str"/>
      <x:c r="N45" t="str">
        <x:v>Supplied</x:v>
      </x:c>
    </x:row>
    <x:row r="46" ht="22" customHeight="1">
      <x:c r="A46" s="2" t="n">
        <x:v>4</x:v>
      </x:c>
      <x:c r="B46" s="2" t="str">
        <x:v>Regular</x:v>
      </x:c>
      <x:c r="C46" s="2" t="str">
        <x:v>Josh</x:v>
      </x:c>
      <x:c r="D46" s="2" t="str">
        <x:v>The Marching Antz</x:v>
      </x:c>
      <x:c r="E46" s="15" t="n">
        <x:v>158</x:v>
      </x:c>
      <x:c r="F46" s="2" t="str">
        <x:v>Poker Dude</x:v>
      </x:c>
      <x:c r="G46" s="2" t="str">
        <x:v>james's Team</x:v>
      </x:c>
      <x:c r="H46" s="15" t="n">
        <x:v>132</x:v>
      </x:c>
      <x:c r="I46" s="2" t="str">
        <x:f>IF(E46&gt;H46,C46,IF(E46&lt;H46,F46,"Tie"))</x:f>
        <x:v>Josh</x:v>
      </x:c>
      <x:c r="J46" s="2" t="str">
        <x:f>IF(E46&gt;H46,F46,IF(E46&lt;H46,C46,"Tie"))</x:f>
        <x:v>Poker Dude</x:v>
      </x:c>
      <x:c r="K46" s="2" t="n">
        <x:f>IF(E46=H46,1,0)</x:f>
        <x:v>0</x:v>
      </x:c>
      <x:c r="L46" s="2" t="str">
        <x:v>Josh / Poker Dude</x:v>
      </x:c>
      <x:c r="M46" t="str"/>
      <x:c r="N46" t="str">
        <x:v>Supplied</x:v>
      </x:c>
    </x:row>
    <x:row r="47" ht="22" customHeight="1">
      <x:c r="A47" s="2" t="n">
        <x:v>4</x:v>
      </x:c>
      <x:c r="B47" s="2" t="str">
        <x:v>Regular</x:v>
      </x:c>
      <x:c r="C47" s="2" t="str">
        <x:v>Mark</x:v>
      </x:c>
      <x:c r="D47" s="2" t="str">
        <x:v>wacky waving arms</x:v>
      </x:c>
      <x:c r="E47" s="15" t="n">
        <x:v>108</x:v>
      </x:c>
      <x:c r="F47" s="2" t="str">
        <x:v>Matt</x:v>
      </x:c>
      <x:c r="G47" s="2" t="str">
        <x:v>Mr.Montana</x:v>
      </x:c>
      <x:c r="H47" s="15" t="n">
        <x:v>82</x:v>
      </x:c>
      <x:c r="I47" s="2" t="str">
        <x:f>IF(E47&gt;H47,C47,IF(E47&lt;H47,F47,"Tie"))</x:f>
        <x:v>Mark</x:v>
      </x:c>
      <x:c r="J47" s="2" t="str">
        <x:f>IF(E47&gt;H47,F47,IF(E47&lt;H47,C47,"Tie"))</x:f>
        <x:v>Matt</x:v>
      </x:c>
      <x:c r="K47" s="2" t="n">
        <x:f>IF(E47=H47,1,0)</x:f>
        <x:v>0</x:v>
      </x:c>
      <x:c r="L47" s="2" t="str">
        <x:v>Mark / Matt</x:v>
      </x:c>
      <x:c r="M47" t="str"/>
      <x:c r="N47" t="str">
        <x:v>Supplied</x:v>
      </x:c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196</x:v>
      </x:c>
      <x:c r="F48" s="2" t="str">
        <x:v>Ben</x:v>
      </x:c>
      <x:c r="G48" s="2" t="str">
        <x:v>NebGilum</x:v>
      </x:c>
      <x:c r="H48" s="15" t="n">
        <x:v>110</x:v>
      </x:c>
      <x:c r="I48" s="2" t="str">
        <x:f>IF(E48&gt;H48,C48,IF(E48&lt;H48,F48,"Tie"))</x:f>
        <x:v>Bruce</x:v>
      </x:c>
      <x:c r="J48" s="2" t="str">
        <x:f>IF(E48&gt;H48,F48,IF(E48&lt;H48,C48,"Tie"))</x:f>
        <x:v>Ben</x:v>
      </x:c>
      <x:c r="K48" s="2" t="n">
        <x:f>IF(E48=H48,1,0)</x:f>
        <x:v>0</x:v>
      </x:c>
      <x:c r="L48" s="2" t="str">
        <x:v>Ben / Bruce</x:v>
      </x:c>
      <x:c r="M48" t="str"/>
      <x:c r="N48" t="str">
        <x:v>Supplied</x:v>
      </x:c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124</x:v>
      </x:c>
      <x:c r="F49" s="2" t="str">
        <x:v>Paul</x:v>
      </x:c>
      <x:c r="G49" s="2" t="str">
        <x:v>Paul's Team</x:v>
      </x:c>
      <x:c r="H49" s="15" t="n">
        <x:v>176</x:v>
      </x:c>
      <x:c r="I49" s="2" t="str">
        <x:f>IF(E49&gt;H49,C49,IF(E49&lt;H49,F49,"Tie"))</x:f>
        <x:v>Paul</x:v>
      </x:c>
      <x:c r="J49" s="2" t="str">
        <x:f>IF(E49&gt;H49,F49,IF(E49&lt;H49,C49,"Tie"))</x:f>
        <x:v>Craig</x:v>
      </x:c>
      <x:c r="K49" s="2" t="n">
        <x:f>IF(E49=H49,1,0)</x:f>
        <x:v>0</x:v>
      </x:c>
      <x:c r="L49" s="2" t="str">
        <x:v>Craig / Paul</x:v>
      </x:c>
      <x:c r="M49" t="str"/>
      <x:c r="N49" t="str">
        <x:v>Supplied</x:v>
      </x:c>
    </x:row>
    <x:row r="50" ht="22" customHeight="1">
      <x:c r="A50" s="2" t="n">
        <x:v>5</x:v>
      </x:c>
      <x:c r="B50" s="2" t="str">
        <x:v>Regular</x:v>
      </x:c>
      <x:c r="C50" s="2" t="str">
        <x:v>Dave</x:v>
      </x:c>
      <x:c r="D50" s="2" t="str">
        <x:v>dave's Awesome Team</x:v>
      </x:c>
      <x:c r="E50" s="15" t="n">
        <x:v>102</x:v>
      </x:c>
      <x:c r="F50" s="2" t="str">
        <x:v>Mike</x:v>
      </x:c>
      <x:c r="G50" s="2" t="str">
        <x:v>Daniel’s Discount</x:v>
      </x:c>
      <x:c r="H50" s="15" t="n">
        <x:v>67</x:v>
      </x:c>
      <x:c r="I50" s="2" t="str">
        <x:f>IF(E50&gt;H50,C50,IF(E50&lt;H50,F50,"Tie"))</x:f>
        <x:v>Dave</x:v>
      </x:c>
      <x:c r="J50" s="2" t="str">
        <x:f>IF(E50&gt;H50,F50,IF(E50&lt;H50,C50,"Tie"))</x:f>
        <x:v>Mike</x:v>
      </x:c>
      <x:c r="K50" s="2" t="n">
        <x:f>IF(E50=H50,1,0)</x:f>
        <x:v>0</x:v>
      </x:c>
      <x:c r="L50" s="2" t="str">
        <x:v>Dave / Mike</x:v>
      </x:c>
      <x:c r="M50" t="str"/>
      <x:c r="N50" t="str">
        <x:v>Supplied</x:v>
      </x:c>
    </x:row>
    <x:row r="51" ht="22" customHeight="1">
      <x:c r="A51" s="2" t="n">
        <x:v>5</x:v>
      </x:c>
      <x:c r="B51" s="2" t="str">
        <x:v>Regular</x:v>
      </x:c>
      <x:c r="C51" s="2" t="str">
        <x:v>Ed</x:v>
      </x:c>
      <x:c r="D51" s="2" t="str">
        <x:v>Club Eroticas Finest</x:v>
      </x:c>
      <x:c r="E51" s="15" t="n">
        <x:v>106</x:v>
      </x:c>
      <x:c r="F51" s="2" t="str">
        <x:v>Mark</x:v>
      </x:c>
      <x:c r="G51" s="2" t="str">
        <x:v>wacky waving arms</x:v>
      </x:c>
      <x:c r="H51" s="15" t="n">
        <x:v>185</x:v>
      </x:c>
      <x:c r="I51" s="2" t="str">
        <x:f>IF(E51&gt;H51,C51,IF(E51&lt;H51,F51,"Tie"))</x:f>
        <x:v>Mark</x:v>
      </x:c>
      <x:c r="J51" s="2" t="str">
        <x:f>IF(E51&gt;H51,F51,IF(E51&lt;H51,C51,"Tie"))</x:f>
        <x:v>Ed</x:v>
      </x:c>
      <x:c r="K51" s="2" t="n">
        <x:f>IF(E51=H51,1,0)</x:f>
        <x:v>0</x:v>
      </x:c>
      <x:c r="L51" s="2" t="str">
        <x:v>Ed / Mark</x:v>
      </x:c>
      <x:c r="M51" t="str"/>
      <x:c r="N51" t="str">
        <x:v>Supplied</x:v>
      </x:c>
    </x:row>
    <x:row r="52" ht="22" customHeight="1">
      <x:c r="A52" s="2" t="n">
        <x:v>5</x:v>
      </x:c>
      <x:c r="B52" s="2" t="str">
        <x:v>Regular</x:v>
      </x:c>
      <x:c r="C52" s="2" t="str">
        <x:v>Frank</x:v>
      </x:c>
      <x:c r="D52" s="2" t="str">
        <x:v>Saquon Deez Nutz</x:v>
      </x:c>
      <x:c r="E52" s="15" t="n">
        <x:v>121</x:v>
      </x:c>
      <x:c r="F52" s="2" t="str">
        <x:v>Josh</x:v>
      </x:c>
      <x:c r="G52" s="2" t="str">
        <x:v>The Marching Antz</x:v>
      </x:c>
      <x:c r="H52" s="15" t="n">
        <x:v>146</x:v>
      </x:c>
      <x:c r="I52" s="2" t="str">
        <x:f>IF(E52&gt;H52,C52,IF(E52&lt;H52,F52,"Tie"))</x:f>
        <x:v>Josh</x:v>
      </x:c>
      <x:c r="J52" s="2" t="str">
        <x:f>IF(E52&gt;H52,F52,IF(E52&lt;H52,C52,"Tie"))</x:f>
        <x:v>Frank</x:v>
      </x:c>
      <x:c r="K52" s="2" t="n">
        <x:f>IF(E52=H52,1,0)</x:f>
        <x:v>0</x:v>
      </x:c>
      <x:c r="L52" s="2" t="str">
        <x:v>Frank / Josh</x:v>
      </x:c>
      <x:c r="M52" t="str"/>
      <x:c r="N52" t="str">
        <x:v>Supplied</x:v>
      </x:c>
    </x:row>
    <x:row r="53" ht="22" customHeight="1">
      <x:c r="A53" s="2" t="n">
        <x:v>5</x:v>
      </x:c>
      <x:c r="B53" s="2" t="str">
        <x:v>Regular</x:v>
      </x:c>
      <x:c r="C53" s="2" t="str">
        <x:v>Poker Dude</x:v>
      </x:c>
      <x:c r="D53" s="2" t="str">
        <x:v>james's Team</x:v>
      </x:c>
      <x:c r="E53" s="15" t="n">
        <x:v>99</x:v>
      </x:c>
      <x:c r="F53" s="2" t="str">
        <x:v>Matt</x:v>
      </x:c>
      <x:c r="G53" s="2" t="str">
        <x:v>Mr.Montana</x:v>
      </x:c>
      <x:c r="H53" s="15" t="n">
        <x:v>109</x:v>
      </x:c>
      <x:c r="I53" s="2" t="str">
        <x:f>IF(E53&gt;H53,C53,IF(E53&lt;H53,F53,"Tie"))</x:f>
        <x:v>Matt</x:v>
      </x:c>
      <x:c r="J53" s="2" t="str">
        <x:f>IF(E53&gt;H53,F53,IF(E53&lt;H53,C53,"Tie"))</x:f>
        <x:v>Poker Dude</x:v>
      </x:c>
      <x:c r="K53" s="2" t="n">
        <x:f>IF(E53=H53,1,0)</x:f>
        <x:v>0</x:v>
      </x:c>
      <x:c r="L53" s="2" t="str">
        <x:v>Matt / Poker Dude</x:v>
      </x:c>
      <x:c r="M53" t="str"/>
      <x:c r="N53" t="str">
        <x:v>Supplied</x:v>
      </x:c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80</x:v>
      </x:c>
      <x:c r="F54" s="2" t="str">
        <x:v>Paul</x:v>
      </x:c>
      <x:c r="G54" s="2" t="str">
        <x:v>Paul's Team</x:v>
      </x:c>
      <x:c r="H54" s="15" t="n">
        <x:v>156</x:v>
      </x:c>
      <x:c r="I54" s="2" t="str">
        <x:f>IF(E54&gt;H54,C54,IF(E54&lt;H54,F54,"Tie"))</x:f>
        <x:v>Paul</x:v>
      </x:c>
      <x:c r="J54" s="2" t="str">
        <x:f>IF(E54&gt;H54,F54,IF(E54&lt;H54,C54,"Tie"))</x:f>
        <x:v>Bruce</x:v>
      </x:c>
      <x:c r="K54" s="2" t="n">
        <x:f>IF(E54=H54,1,0)</x:f>
        <x:v>0</x:v>
      </x:c>
      <x:c r="L54" s="2" t="str">
        <x:v>Bruce / Paul</x:v>
      </x:c>
      <x:c r="M54" t="str"/>
      <x:c r="N54" t="str">
        <x:v>Supplied</x:v>
      </x:c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139</x:v>
      </x:c>
      <x:c r="F55" s="2" t="str">
        <x:v>Dave</x:v>
      </x:c>
      <x:c r="G55" s="2" t="str">
        <x:v>dave's Awesome Team</x:v>
      </x:c>
      <x:c r="H55" s="15" t="n">
        <x:v>131</x:v>
      </x:c>
      <x:c r="I55" s="2" t="str">
        <x:f>IF(E55&gt;H55,C55,IF(E55&lt;H55,F55,"Tie"))</x:f>
        <x:v>Craig</x:v>
      </x:c>
      <x:c r="J55" s="2" t="str">
        <x:f>IF(E55&gt;H55,F55,IF(E55&lt;H55,C55,"Tie"))</x:f>
        <x:v>Dave</x:v>
      </x:c>
      <x:c r="K55" s="2" t="n">
        <x:f>IF(E55=H55,1,0)</x:f>
        <x:v>0</x:v>
      </x:c>
      <x:c r="L55" s="2" t="str">
        <x:v>Craig / Dave</x:v>
      </x:c>
      <x:c r="M55" t="str"/>
      <x:c r="N55" t="str">
        <x:v>Supplied</x:v>
      </x:c>
    </x:row>
    <x:row r="56" ht="22" customHeight="1">
      <x:c r="A56" s="2" t="n">
        <x:v>6</x:v>
      </x:c>
      <x:c r="B56" s="2" t="str">
        <x:v>Regular</x:v>
      </x:c>
      <x:c r="C56" s="2" t="str">
        <x:v>Ed</x:v>
      </x:c>
      <x:c r="D56" s="2" t="str">
        <x:v>Club Eroticas Finest</x:v>
      </x:c>
      <x:c r="E56" s="15" t="n">
        <x:v>108</x:v>
      </x:c>
      <x:c r="F56" s="2" t="str">
        <x:v>Frank</x:v>
      </x:c>
      <x:c r="G56" s="2" t="str">
        <x:v>Saquon Deez Nutz</x:v>
      </x:c>
      <x:c r="H56" s="15" t="n">
        <x:v>94</x:v>
      </x:c>
      <x:c r="I56" s="2" t="str">
        <x:f>IF(E56&gt;H56,C56,IF(E56&lt;H56,F56,"Tie"))</x:f>
        <x:v>Ed</x:v>
      </x:c>
      <x:c r="J56" s="2" t="str">
        <x:f>IF(E56&gt;H56,F56,IF(E56&lt;H56,C56,"Tie"))</x:f>
        <x:v>Frank</x:v>
      </x:c>
      <x:c r="K56" s="2" t="n">
        <x:f>IF(E56=H56,1,0)</x:f>
        <x:v>0</x:v>
      </x:c>
      <x:c r="L56" s="2" t="str">
        <x:v>Ed / Frank</x:v>
      </x:c>
      <x:c r="M56" t="str"/>
      <x:c r="N56" t="str">
        <x:v>Supplied</x:v>
      </x:c>
    </x:row>
    <x:row r="57" ht="22" customHeight="1">
      <x:c r="A57" s="2" t="n">
        <x:v>6</x:v>
      </x:c>
      <x:c r="B57" s="2" t="str">
        <x:v>Regular</x:v>
      </x:c>
      <x:c r="C57" s="2" t="str">
        <x:v>Mike</x:v>
      </x:c>
      <x:c r="D57" s="2" t="str">
        <x:v>Daniel’s Discount</x:v>
      </x:c>
      <x:c r="E57" s="15" t="n">
        <x:v>87</x:v>
      </x:c>
      <x:c r="F57" s="2" t="str">
        <x:v>Mark</x:v>
      </x:c>
      <x:c r="G57" s="2" t="str">
        <x:v>wacky waving arms</x:v>
      </x:c>
      <x:c r="H57" s="15" t="n">
        <x:v>110</x:v>
      </x:c>
      <x:c r="I57" s="2" t="str">
        <x:f>IF(E57&gt;H57,C57,IF(E57&lt;H57,F57,"Tie"))</x:f>
        <x:v>Mark</x:v>
      </x:c>
      <x:c r="J57" s="2" t="str">
        <x:f>IF(E57&gt;H57,F57,IF(E57&lt;H57,C57,"Tie"))</x:f>
        <x:v>Mike</x:v>
      </x:c>
      <x:c r="K57" s="2" t="n">
        <x:f>IF(E57=H57,1,0)</x:f>
        <x:v>0</x:v>
      </x:c>
      <x:c r="L57" s="2" t="str">
        <x:v>Mark / Mike</x:v>
      </x:c>
      <x:c r="M57" t="str"/>
      <x:c r="N57" t="str">
        <x:v>Supplied</x:v>
      </x:c>
    </x:row>
    <x:row r="58" ht="22" customHeight="1">
      <x:c r="A58" s="2" t="n">
        <x:v>6</x:v>
      </x:c>
      <x:c r="B58" s="2" t="str">
        <x:v>Regular</x:v>
      </x:c>
      <x:c r="C58" s="2" t="str">
        <x:v>Josh</x:v>
      </x:c>
      <x:c r="D58" s="2" t="str">
        <x:v>The Marching Antz</x:v>
      </x:c>
      <x:c r="E58" s="15" t="n">
        <x:v>131</x:v>
      </x:c>
      <x:c r="F58" s="2" t="str">
        <x:v>Matt</x:v>
      </x:c>
      <x:c r="G58" s="2" t="str">
        <x:v>Mr.Montana</x:v>
      </x:c>
      <x:c r="H58" s="15" t="n">
        <x:v>133</x:v>
      </x:c>
      <x:c r="I58" s="2" t="str">
        <x:f>IF(E58&gt;H58,C58,IF(E58&lt;H58,F58,"Tie"))</x:f>
        <x:v>Matt</x:v>
      </x:c>
      <x:c r="J58" s="2" t="str">
        <x:f>IF(E58&gt;H58,F58,IF(E58&lt;H58,C58,"Tie"))</x:f>
        <x:v>Josh</x:v>
      </x:c>
      <x:c r="K58" s="2" t="n">
        <x:f>IF(E58=H58,1,0)</x:f>
        <x:v>0</x:v>
      </x:c>
      <x:c r="L58" s="2" t="str">
        <x:v>Josh / Matt</x:v>
      </x:c>
      <x:c r="M58" t="str"/>
      <x:c r="N58" t="str">
        <x:v>Supplied</x:v>
      </x:c>
    </x:row>
    <x:row r="59" ht="22" customHeight="1">
      <x:c r="A59" s="2" t="n">
        <x:v>6</x:v>
      </x:c>
      <x:c r="B59" s="2" t="str">
        <x:v>Regular</x:v>
      </x:c>
      <x:c r="C59" s="2" t="str">
        <x:v>Ben</x:v>
      </x:c>
      <x:c r="D59" s="2" t="str">
        <x:v>NebGilum</x:v>
      </x:c>
      <x:c r="E59" s="15" t="n">
        <x:v>101</x:v>
      </x:c>
      <x:c r="F59" s="2" t="str">
        <x:v>Poker Dude</x:v>
      </x:c>
      <x:c r="G59" s="2" t="str">
        <x:v>james's Team</x:v>
      </x:c>
      <x:c r="H59" s="15" t="n">
        <x:v>121</x:v>
      </x:c>
      <x:c r="I59" s="2" t="str">
        <x:f>IF(E59&gt;H59,C59,IF(E59&lt;H59,F59,"Tie"))</x:f>
        <x:v>Poker Dude</x:v>
      </x:c>
      <x:c r="J59" s="2" t="str">
        <x:f>IF(E59&gt;H59,F59,IF(E59&lt;H59,C59,"Tie"))</x:f>
        <x:v>Ben</x:v>
      </x:c>
      <x:c r="K59" s="2" t="n">
        <x:f>IF(E59=H59,1,0)</x:f>
        <x:v>0</x:v>
      </x:c>
      <x:c r="L59" s="2" t="str">
        <x:v>Ben / Poker Dude</x:v>
      </x:c>
      <x:c r="M59" t="str"/>
      <x:c r="N59" t="str">
        <x:v>Supplied</x:v>
      </x:c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102</x:v>
      </x:c>
      <x:c r="F60" s="2" t="str">
        <x:v>Josh</x:v>
      </x:c>
      <x:c r="G60" s="2" t="str">
        <x:v>The Marching Antz</x:v>
      </x:c>
      <x:c r="H60" s="15" t="n">
        <x:v>124</x:v>
      </x:c>
      <x:c r="I60" s="2" t="str">
        <x:f>IF(E60&gt;H60,C60,IF(E60&lt;H60,F60,"Tie"))</x:f>
        <x:v>Josh</x:v>
      </x:c>
      <x:c r="J60" s="2" t="str">
        <x:f>IF(E60&gt;H60,F60,IF(E60&lt;H60,C60,"Tie"))</x:f>
        <x:v>Bruce</x:v>
      </x:c>
      <x:c r="K60" s="2" t="n">
        <x:f>IF(E60=H60,1,0)</x:f>
        <x:v>0</x:v>
      </x:c>
      <x:c r="L60" s="2" t="str">
        <x:v>Bruce / Josh</x:v>
      </x:c>
      <x:c r="M60" t="str"/>
      <x:c r="N60" t="str">
        <x:v>Supplied</x:v>
      </x:c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99</x:v>
      </x:c>
      <x:c r="F61" s="2" t="str">
        <x:v>Poker Dude</x:v>
      </x:c>
      <x:c r="G61" s="2" t="str">
        <x:v>james's Team</x:v>
      </x:c>
      <x:c r="H61" s="15" t="n">
        <x:v>67</x:v>
      </x:c>
      <x:c r="I61" s="2" t="str">
        <x:f>IF(E61&gt;H61,C61,IF(E61&lt;H61,F61,"Tie"))</x:f>
        <x:v>Craig</x:v>
      </x:c>
      <x:c r="J61" s="2" t="str">
        <x:f>IF(E61&gt;H61,F61,IF(E61&lt;H61,C61,"Tie"))</x:f>
        <x:v>Poker Dude</x:v>
      </x:c>
      <x:c r="K61" s="2" t="n">
        <x:f>IF(E61=H61,1,0)</x:f>
        <x:v>0</x:v>
      </x:c>
      <x:c r="L61" s="2" t="str">
        <x:v>Craig / Poker Dude</x:v>
      </x:c>
      <x:c r="M61" t="str"/>
      <x:c r="N61" t="str">
        <x:v>Supplied</x:v>
      </x:c>
    </x:row>
    <x:row r="62" ht="22" customHeight="1">
      <x:c r="A62" s="2" t="n">
        <x:v>7</x:v>
      </x:c>
      <x:c r="B62" s="2" t="str">
        <x:v>Regular</x:v>
      </x:c>
      <x:c r="C62" s="2" t="str">
        <x:v>Dave</x:v>
      </x:c>
      <x:c r="D62" s="2" t="str">
        <x:v>dave's Awesome Team</x:v>
      </x:c>
      <x:c r="E62" s="15" t="n">
        <x:v>106</x:v>
      </x:c>
      <x:c r="F62" s="2" t="str">
        <x:v>Matt</x:v>
      </x:c>
      <x:c r="G62" s="2" t="str">
        <x:v>Mr.Montana</x:v>
      </x:c>
      <x:c r="H62" s="15" t="n">
        <x:v>122</x:v>
      </x:c>
      <x:c r="I62" s="2" t="str">
        <x:f>IF(E62&gt;H62,C62,IF(E62&lt;H62,F62,"Tie"))</x:f>
        <x:v>Matt</x:v>
      </x:c>
      <x:c r="J62" s="2" t="str">
        <x:f>IF(E62&gt;H62,F62,IF(E62&lt;H62,C62,"Tie"))</x:f>
        <x:v>Dave</x:v>
      </x:c>
      <x:c r="K62" s="2" t="n">
        <x:f>IF(E62=H62,1,0)</x:f>
        <x:v>0</x:v>
      </x:c>
      <x:c r="L62" s="2" t="str">
        <x:v>Dave / Matt</x:v>
      </x:c>
      <x:c r="M62" t="str"/>
      <x:c r="N62" t="str">
        <x:v>Supplied</x:v>
      </x:c>
    </x:row>
    <x:row r="63" ht="22" customHeight="1">
      <x:c r="A63" s="2" t="n">
        <x:v>7</x:v>
      </x:c>
      <x:c r="B63" s="2" t="str">
        <x:v>Regular</x:v>
      </x:c>
      <x:c r="C63" s="2" t="str">
        <x:v>Ed</x:v>
      </x:c>
      <x:c r="D63" s="2" t="str">
        <x:v>Club Eroticas Finest</x:v>
      </x:c>
      <x:c r="E63" s="15" t="n">
        <x:v>131</x:v>
      </x:c>
      <x:c r="F63" s="2" t="str">
        <x:v>Paul</x:v>
      </x:c>
      <x:c r="G63" s="2" t="str">
        <x:v>Paul's Team</x:v>
      </x:c>
      <x:c r="H63" s="15" t="n">
        <x:v>88</x:v>
      </x:c>
      <x:c r="I63" s="2" t="str">
        <x:f>IF(E63&gt;H63,C63,IF(E63&lt;H63,F63,"Tie"))</x:f>
        <x:v>Ed</x:v>
      </x:c>
      <x:c r="J63" s="2" t="str">
        <x:f>IF(E63&gt;H63,F63,IF(E63&lt;H63,C63,"Tie"))</x:f>
        <x:v>Paul</x:v>
      </x:c>
      <x:c r="K63" s="2" t="n">
        <x:f>IF(E63=H63,1,0)</x:f>
        <x:v>0</x:v>
      </x:c>
      <x:c r="L63" s="2" t="str">
        <x:v>Ed / Paul</x:v>
      </x:c>
      <x:c r="M63" t="str"/>
      <x:c r="N63" t="str">
        <x:v>Supplied</x:v>
      </x:c>
    </x:row>
    <x:row r="64" ht="22" customHeight="1">
      <x:c r="A64" s="2" t="n">
        <x:v>7</x:v>
      </x:c>
      <x:c r="B64" s="2" t="str">
        <x:v>Regular</x:v>
      </x:c>
      <x:c r="C64" s="2" t="str">
        <x:v>Frank</x:v>
      </x:c>
      <x:c r="D64" s="2" t="str">
        <x:v>Saquon Deez Nutz</x:v>
      </x:c>
      <x:c r="E64" s="15" t="n">
        <x:v>81</x:v>
      </x:c>
      <x:c r="F64" s="2" t="str">
        <x:v>Mark</x:v>
      </x:c>
      <x:c r="G64" s="2" t="str">
        <x:v>wacky waving arms</x:v>
      </x:c>
      <x:c r="H64" s="15" t="n">
        <x:v>106</x:v>
      </x:c>
      <x:c r="I64" s="2" t="str">
        <x:f>IF(E64&gt;H64,C64,IF(E64&lt;H64,F64,"Tie"))</x:f>
        <x:v>Mark</x:v>
      </x:c>
      <x:c r="J64" s="2" t="str">
        <x:f>IF(E64&gt;H64,F64,IF(E64&lt;H64,C64,"Tie"))</x:f>
        <x:v>Frank</x:v>
      </x:c>
      <x:c r="K64" s="2" t="n">
        <x:f>IF(E64=H64,1,0)</x:f>
        <x:v>0</x:v>
      </x:c>
      <x:c r="L64" s="2" t="str">
        <x:v>Frank / Mark</x:v>
      </x:c>
      <x:c r="M64" t="str"/>
      <x:c r="N64" t="str">
        <x:v>Supplied</x:v>
      </x:c>
    </x:row>
    <x:row r="65" ht="22" customHeight="1">
      <x:c r="A65" s="2" t="n">
        <x:v>7</x:v>
      </x:c>
      <x:c r="B65" s="2" t="str">
        <x:v>Regular</x:v>
      </x:c>
      <x:c r="C65" s="2" t="str">
        <x:v>Mike</x:v>
      </x:c>
      <x:c r="D65" s="2" t="str">
        <x:v>Daniel’s Discount</x:v>
      </x:c>
      <x:c r="E65" s="15" t="n">
        <x:v>112</x:v>
      </x:c>
      <x:c r="F65" s="2" t="str">
        <x:v>Ben</x:v>
      </x:c>
      <x:c r="G65" s="2" t="str">
        <x:v>NebGilum</x:v>
      </x:c>
      <x:c r="H65" s="15" t="n">
        <x:v>106</x:v>
      </x:c>
      <x:c r="I65" s="2" t="str">
        <x:f>IF(E65&gt;H65,C65,IF(E65&lt;H65,F65,"Tie"))</x:f>
        <x:v>Mike</x:v>
      </x:c>
      <x:c r="J65" s="2" t="str">
        <x:f>IF(E65&gt;H65,F65,IF(E65&lt;H65,C65,"Tie"))</x:f>
        <x:v>Ben</x:v>
      </x:c>
      <x:c r="K65" s="2" t="n">
        <x:f>IF(E65=H65,1,0)</x:f>
        <x:v>0</x:v>
      </x:c>
      <x:c r="L65" s="2" t="str">
        <x:v>Ben / Mike</x:v>
      </x:c>
      <x:c r="M65" t="str"/>
      <x:c r="N65" t="str">
        <x:v>Supplied</x:v>
      </x:c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140</x:v>
      </x:c>
      <x:c r="F66" s="2" t="str">
        <x:v>Dave</x:v>
      </x:c>
      <x:c r="G66" s="2" t="str">
        <x:v>dave's Awesome Team</x:v>
      </x:c>
      <x:c r="H66" s="15" t="n">
        <x:v>103</x:v>
      </x:c>
      <x:c r="I66" s="2" t="str">
        <x:f>IF(E66&gt;H66,C66,IF(E66&lt;H66,F66,"Tie"))</x:f>
        <x:v>Bruce</x:v>
      </x:c>
      <x:c r="J66" s="2" t="str">
        <x:f>IF(E66&gt;H66,F66,IF(E66&lt;H66,C66,"Tie"))</x:f>
        <x:v>Dave</x:v>
      </x:c>
      <x:c r="K66" s="2" t="n">
        <x:f>IF(E66=H66,1,0)</x:f>
        <x:v>0</x:v>
      </x:c>
      <x:c r="L66" s="2" t="str">
        <x:v>Bruce / Dave</x:v>
      </x:c>
      <x:c r="M66" t="str"/>
      <x:c r="N66" t="str">
        <x:v>Supplied</x:v>
      </x:c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137</x:v>
      </x:c>
      <x:c r="F67" s="2" t="str">
        <x:v>Matt</x:v>
      </x:c>
      <x:c r="G67" s="2" t="str">
        <x:v>Mr.Montana</x:v>
      </x:c>
      <x:c r="H67" s="15" t="n">
        <x:v>133</x:v>
      </x:c>
      <x:c r="I67" s="2" t="str">
        <x:f>IF(E67&gt;H67,C67,IF(E67&lt;H67,F67,"Tie"))</x:f>
        <x:v>Craig</x:v>
      </x:c>
      <x:c r="J67" s="2" t="str">
        <x:f>IF(E67&gt;H67,F67,IF(E67&lt;H67,C67,"Tie"))</x:f>
        <x:v>Matt</x:v>
      </x:c>
      <x:c r="K67" s="2" t="n">
        <x:f>IF(E67=H67,1,0)</x:f>
        <x:v>0</x:v>
      </x:c>
      <x:c r="L67" s="2" t="str">
        <x:v>Craig / Matt</x:v>
      </x:c>
      <x:c r="M67" t="str"/>
      <x:c r="N67" t="str">
        <x:v>Supplied</x:v>
      </x:c>
    </x:row>
    <x:row r="68" ht="22" customHeight="1">
      <x:c r="A68" s="2" t="n">
        <x:v>8</x:v>
      </x:c>
      <x:c r="B68" s="2" t="str">
        <x:v>Regular</x:v>
      </x:c>
      <x:c r="C68" s="2" t="str">
        <x:v>Ed</x:v>
      </x:c>
      <x:c r="D68" s="2" t="str">
        <x:v>Club Eroticas Finest</x:v>
      </x:c>
      <x:c r="E68" s="15" t="n">
        <x:v>159</x:v>
      </x:c>
      <x:c r="F68" s="2" t="str">
        <x:v>Josh</x:v>
      </x:c>
      <x:c r="G68" s="2" t="str">
        <x:v>The Marching Antz</x:v>
      </x:c>
      <x:c r="H68" s="15" t="n">
        <x:v>105</x:v>
      </x:c>
      <x:c r="I68" s="2" t="str">
        <x:f>IF(E68&gt;H68,C68,IF(E68&lt;H68,F68,"Tie"))</x:f>
        <x:v>Ed</x:v>
      </x:c>
      <x:c r="J68" s="2" t="str">
        <x:f>IF(E68&gt;H68,F68,IF(E68&lt;H68,C68,"Tie"))</x:f>
        <x:v>Josh</x:v>
      </x:c>
      <x:c r="K68" s="2" t="n">
        <x:f>IF(E68=H68,1,0)</x:f>
        <x:v>0</x:v>
      </x:c>
      <x:c r="L68" s="2" t="str">
        <x:v>Ed / Josh</x:v>
      </x:c>
      <x:c r="M68" t="str"/>
      <x:c r="N68" t="str">
        <x:v>Supplied</x:v>
      </x:c>
    </x:row>
    <x:row r="69" ht="22" customHeight="1">
      <x:c r="A69" s="2" t="n">
        <x:v>8</x:v>
      </x:c>
      <x:c r="B69" s="2" t="str">
        <x:v>Regular</x:v>
      </x:c>
      <x:c r="C69" s="2" t="str">
        <x:v>Frank</x:v>
      </x:c>
      <x:c r="D69" s="2" t="str">
        <x:v>Saquon Deez Nutz</x:v>
      </x:c>
      <x:c r="E69" s="15" t="n">
        <x:v>168</x:v>
      </x:c>
      <x:c r="F69" s="2" t="str">
        <x:v>Ben</x:v>
      </x:c>
      <x:c r="G69" s="2" t="str">
        <x:v>NebGilum</x:v>
      </x:c>
      <x:c r="H69" s="15" t="n">
        <x:v>88</x:v>
      </x:c>
      <x:c r="I69" s="2" t="str">
        <x:f>IF(E69&gt;H69,C69,IF(E69&lt;H69,F69,"Tie"))</x:f>
        <x:v>Frank</x:v>
      </x:c>
      <x:c r="J69" s="2" t="str">
        <x:f>IF(E69&gt;H69,F69,IF(E69&lt;H69,C69,"Tie"))</x:f>
        <x:v>Ben</x:v>
      </x:c>
      <x:c r="K69" s="2" t="n">
        <x:f>IF(E69=H69,1,0)</x:f>
        <x:v>0</x:v>
      </x:c>
      <x:c r="L69" s="2" t="str">
        <x:v>Ben / Frank</x:v>
      </x:c>
      <x:c r="M69" t="str"/>
      <x:c r="N69" t="str">
        <x:v>Supplied</x:v>
      </x:c>
    </x:row>
    <x:row r="70" ht="22" customHeight="1">
      <x:c r="A70" s="2" t="n">
        <x:v>8</x:v>
      </x:c>
      <x:c r="B70" s="2" t="str">
        <x:v>Regular</x:v>
      </x:c>
      <x:c r="C70" s="2" t="str">
        <x:v>Mike</x:v>
      </x:c>
      <x:c r="D70" s="2" t="str">
        <x:v>Daniel’s Discount</x:v>
      </x:c>
      <x:c r="E70" s="15" t="n">
        <x:v>110</x:v>
      </x:c>
      <x:c r="F70" s="2" t="str">
        <x:v>Poker Dude</x:v>
      </x:c>
      <x:c r="G70" s="2" t="str">
        <x:v>james's Team</x:v>
      </x:c>
      <x:c r="H70" s="15" t="n">
        <x:v>108</x:v>
      </x:c>
      <x:c r="I70" s="2" t="str">
        <x:f>IF(E70&gt;H70,C70,IF(E70&lt;H70,F70,"Tie"))</x:f>
        <x:v>Mike</x:v>
      </x:c>
      <x:c r="J70" s="2" t="str">
        <x:f>IF(E70&gt;H70,F70,IF(E70&lt;H70,C70,"Tie"))</x:f>
        <x:v>Poker Dude</x:v>
      </x:c>
      <x:c r="K70" s="2" t="n">
        <x:f>IF(E70=H70,1,0)</x:f>
        <x:v>0</x:v>
      </x:c>
      <x:c r="L70" s="2" t="str">
        <x:v>Mike / Poker Dude</x:v>
      </x:c>
      <x:c r="M70" t="str"/>
      <x:c r="N70" t="str">
        <x:v>Supplied</x:v>
      </x:c>
    </x:row>
    <x:row r="71" ht="22" customHeight="1">
      <x:c r="A71" s="2" t="n">
        <x:v>8</x:v>
      </x:c>
      <x:c r="B71" s="2" t="str">
        <x:v>Regular</x:v>
      </x:c>
      <x:c r="C71" s="2" t="str">
        <x:v>Mark</x:v>
      </x:c>
      <x:c r="D71" s="2" t="str">
        <x:v>wacky waving arms</x:v>
      </x:c>
      <x:c r="E71" s="15" t="n">
        <x:v>75</x:v>
      </x:c>
      <x:c r="F71" s="2" t="str">
        <x:v>Paul</x:v>
      </x:c>
      <x:c r="G71" s="2" t="str">
        <x:v>Paul's Team</x:v>
      </x:c>
      <x:c r="H71" s="15" t="n">
        <x:v>105</x:v>
      </x:c>
      <x:c r="I71" s="2" t="str">
        <x:f>IF(E71&gt;H71,C71,IF(E71&lt;H71,F71,"Tie"))</x:f>
        <x:v>Paul</x:v>
      </x:c>
      <x:c r="J71" s="2" t="str">
        <x:f>IF(E71&gt;H71,F71,IF(E71&lt;H71,C71,"Tie"))</x:f>
        <x:v>Mark</x:v>
      </x:c>
      <x:c r="K71" s="2" t="n">
        <x:f>IF(E71=H71,1,0)</x:f>
        <x:v>0</x:v>
      </x:c>
      <x:c r="L71" s="2" t="str">
        <x:v>Mark / Paul</x:v>
      </x:c>
      <x:c r="M71" t="str"/>
      <x:c r="N71" t="str">
        <x:v>Supplied</x:v>
      </x:c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88</x:v>
      </x:c>
      <x:c r="F72" s="2" t="str">
        <x:v>Frank</x:v>
      </x:c>
      <x:c r="G72" s="2" t="str">
        <x:v>Saquon Deez Nutz</x:v>
      </x:c>
      <x:c r="H72" s="15" t="n">
        <x:v>116</x:v>
      </x:c>
      <x:c r="I72" s="2" t="str">
        <x:f>IF(E72&gt;H72,C72,IF(E72&lt;H72,F72,"Tie"))</x:f>
        <x:v>Frank</x:v>
      </x:c>
      <x:c r="J72" s="2" t="str">
        <x:f>IF(E72&gt;H72,F72,IF(E72&lt;H72,C72,"Tie"))</x:f>
        <x:v>Bruce</x:v>
      </x:c>
      <x:c r="K72" s="2" t="n">
        <x:f>IF(E72=H72,1,0)</x:f>
        <x:v>0</x:v>
      </x:c>
      <x:c r="L72" s="2" t="str">
        <x:v>Bruce / Frank</x:v>
      </x:c>
      <x:c r="M72" t="str"/>
      <x:c r="N72" t="str">
        <x:v>Supplied</x:v>
      </x:c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111</x:v>
      </x:c>
      <x:c r="F73" s="2" t="str">
        <x:v>Ben</x:v>
      </x:c>
      <x:c r="G73" s="2" t="str">
        <x:v>NebGilum</x:v>
      </x:c>
      <x:c r="H73" s="15" t="n">
        <x:v>103</x:v>
      </x:c>
      <x:c r="I73" s="2" t="str">
        <x:f>IF(E73&gt;H73,C73,IF(E73&lt;H73,F73,"Tie"))</x:f>
        <x:v>Craig</x:v>
      </x:c>
      <x:c r="J73" s="2" t="str">
        <x:f>IF(E73&gt;H73,F73,IF(E73&lt;H73,C73,"Tie"))</x:f>
        <x:v>Ben</x:v>
      </x:c>
      <x:c r="K73" s="2" t="n">
        <x:f>IF(E73=H73,1,0)</x:f>
        <x:v>0</x:v>
      </x:c>
      <x:c r="L73" s="2" t="str">
        <x:v>Ben / Craig</x:v>
      </x:c>
      <x:c r="M73" t="str"/>
      <x:c r="N73" t="str">
        <x:v>Supplied</x:v>
      </x:c>
    </x:row>
    <x:row r="74" ht="22" customHeight="1">
      <x:c r="A74" s="2" t="n">
        <x:v>9</x:v>
      </x:c>
      <x:c r="B74" s="2" t="str">
        <x:v>Regular</x:v>
      </x:c>
      <x:c r="C74" s="2" t="str">
        <x:v>Dave</x:v>
      </x:c>
      <x:c r="D74" s="2" t="str">
        <x:v>dave's Awesome Team</x:v>
      </x:c>
      <x:c r="E74" s="15" t="n">
        <x:v>83</x:v>
      </x:c>
      <x:c r="F74" s="2" t="str">
        <x:v>Josh</x:v>
      </x:c>
      <x:c r="G74" s="2" t="str">
        <x:v>The Marching Antz</x:v>
      </x:c>
      <x:c r="H74" s="15" t="n">
        <x:v>115</x:v>
      </x:c>
      <x:c r="I74" s="2" t="str">
        <x:f>IF(E74&gt;H74,C74,IF(E74&lt;H74,F74,"Tie"))</x:f>
        <x:v>Josh</x:v>
      </x:c>
      <x:c r="J74" s="2" t="str">
        <x:f>IF(E74&gt;H74,F74,IF(E74&lt;H74,C74,"Tie"))</x:f>
        <x:v>Dave</x:v>
      </x:c>
      <x:c r="K74" s="2" t="n">
        <x:f>IF(E74=H74,1,0)</x:f>
        <x:v>0</x:v>
      </x:c>
      <x:c r="L74" s="2" t="str">
        <x:v>Dave / Josh</x:v>
      </x:c>
      <x:c r="M74" t="str"/>
      <x:c r="N74" t="str">
        <x:v>Supplied</x:v>
      </x:c>
    </x:row>
    <x:row r="75" ht="22" customHeight="1">
      <x:c r="A75" s="2" t="n">
        <x:v>9</x:v>
      </x:c>
      <x:c r="B75" s="2" t="str">
        <x:v>Regular</x:v>
      </x:c>
      <x:c r="C75" s="2" t="str">
        <x:v>Ed</x:v>
      </x:c>
      <x:c r="D75" s="2" t="str">
        <x:v>Club Eroticas Finest</x:v>
      </x:c>
      <x:c r="E75" s="15" t="n">
        <x:v>93</x:v>
      </x:c>
      <x:c r="F75" s="2" t="str">
        <x:v>Mike</x:v>
      </x:c>
      <x:c r="G75" s="2" t="str">
        <x:v>Daniel’s Discount</x:v>
      </x:c>
      <x:c r="H75" s="15" t="n">
        <x:v>157</x:v>
      </x:c>
      <x:c r="I75" s="2" t="str">
        <x:f>IF(E75&gt;H75,C75,IF(E75&lt;H75,F75,"Tie"))</x:f>
        <x:v>Mike</x:v>
      </x:c>
      <x:c r="J75" s="2" t="str">
        <x:f>IF(E75&gt;H75,F75,IF(E75&lt;H75,C75,"Tie"))</x:f>
        <x:v>Ed</x:v>
      </x:c>
      <x:c r="K75" s="2" t="n">
        <x:f>IF(E75=H75,1,0)</x:f>
        <x:v>0</x:v>
      </x:c>
      <x:c r="L75" s="2" t="str">
        <x:v>Ed / Mike</x:v>
      </x:c>
      <x:c r="M75" t="str"/>
      <x:c r="N75" t="str">
        <x:v>Supplied</x:v>
      </x:c>
    </x:row>
    <x:row r="76" ht="22" customHeight="1">
      <x:c r="A76" s="2" t="n">
        <x:v>9</x:v>
      </x:c>
      <x:c r="B76" s="2" t="str">
        <x:v>Regular</x:v>
      </x:c>
      <x:c r="C76" s="2" t="str">
        <x:v>Mark</x:v>
      </x:c>
      <x:c r="D76" s="2" t="str">
        <x:v>wacky waving arms</x:v>
      </x:c>
      <x:c r="E76" s="15" t="n">
        <x:v>93</x:v>
      </x:c>
      <x:c r="F76" s="2" t="str">
        <x:v>Poker Dude</x:v>
      </x:c>
      <x:c r="G76" s="2" t="str">
        <x:v>james's Team</x:v>
      </x:c>
      <x:c r="H76" s="15" t="n">
        <x:v>133</x:v>
      </x:c>
      <x:c r="I76" s="2" t="str">
        <x:f>IF(E76&gt;H76,C76,IF(E76&lt;H76,F76,"Tie"))</x:f>
        <x:v>Poker Dude</x:v>
      </x:c>
      <x:c r="J76" s="2" t="str">
        <x:f>IF(E76&gt;H76,F76,IF(E76&lt;H76,C76,"Tie"))</x:f>
        <x:v>Mark</x:v>
      </x:c>
      <x:c r="K76" s="2" t="n">
        <x:f>IF(E76=H76,1,0)</x:f>
        <x:v>0</x:v>
      </x:c>
      <x:c r="L76" s="2" t="str">
        <x:v>Mark / Poker Dude</x:v>
      </x:c>
      <x:c r="M76" t="str"/>
      <x:c r="N76" t="str">
        <x:v>Supplied</x:v>
      </x:c>
    </x:row>
    <x:row r="77" ht="22" customHeight="1">
      <x:c r="A77" s="2" t="n">
        <x:v>9</x:v>
      </x:c>
      <x:c r="B77" s="2" t="str">
        <x:v>Regular</x:v>
      </x:c>
      <x:c r="C77" s="2" t="str">
        <x:v>Paul</x:v>
      </x:c>
      <x:c r="D77" s="2" t="str">
        <x:v>Paul's Team</x:v>
      </x:c>
      <x:c r="E77" s="15" t="n">
        <x:v>132</x:v>
      </x:c>
      <x:c r="F77" s="2" t="str">
        <x:v>Matt</x:v>
      </x:c>
      <x:c r="G77" s="2" t="str">
        <x:v>Mr.Montana</x:v>
      </x:c>
      <x:c r="H77" s="15" t="n">
        <x:v>124</x:v>
      </x:c>
      <x:c r="I77" s="2" t="str">
        <x:f>IF(E77&gt;H77,C77,IF(E77&lt;H77,F77,"Tie"))</x:f>
        <x:v>Paul</x:v>
      </x:c>
      <x:c r="J77" s="2" t="str">
        <x:f>IF(E77&gt;H77,F77,IF(E77&lt;H77,C77,"Tie"))</x:f>
        <x:v>Matt</x:v>
      </x:c>
      <x:c r="K77" s="2" t="n">
        <x:f>IF(E77=H77,1,0)</x:f>
        <x:v>0</x:v>
      </x:c>
      <x:c r="L77" s="2" t="str">
        <x:v>Matt / Paul</x:v>
      </x:c>
      <x:c r="M77" t="str"/>
      <x:c r="N77" t="str">
        <x:v>Supplied</x:v>
      </x:c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128</x:v>
      </x:c>
      <x:c r="F78" s="2" t="str">
        <x:v>Mike</x:v>
      </x:c>
      <x:c r="G78" s="2" t="str">
        <x:v>Daniel’s Discount</x:v>
      </x:c>
      <x:c r="H78" s="15" t="n">
        <x:v>133</x:v>
      </x:c>
      <x:c r="I78" s="2" t="str">
        <x:f>IF(E78&gt;H78,C78,IF(E78&lt;H78,F78,"Tie"))</x:f>
        <x:v>Mike</x:v>
      </x:c>
      <x:c r="J78" s="2" t="str">
        <x:f>IF(E78&gt;H78,F78,IF(E78&lt;H78,C78,"Tie"))</x:f>
        <x:v>Bruce</x:v>
      </x:c>
      <x:c r="K78" s="2" t="n">
        <x:f>IF(E78=H78,1,0)</x:f>
        <x:v>0</x:v>
      </x:c>
      <x:c r="L78" s="2" t="str">
        <x:v>Bruce / Mike</x:v>
      </x:c>
      <x:c r="M78" t="str"/>
      <x:c r="N78" t="str">
        <x:v>Supplied</x:v>
      </x:c>
    </x:row>
    <x:row r="79" ht="22" customHeight="1">
      <x:c r="A79" s="2" t="n">
        <x:v>10</x:v>
      </x:c>
      <x:c r="B79" s="2" t="str">
        <x:v>Regular</x:v>
      </x:c>
      <x:c r="C79" s="2" t="str">
        <x:v>Craig</x:v>
      </x:c>
      <x:c r="D79" s="2" t="str">
        <x:v>The Ants Marching</x:v>
      </x:c>
      <x:c r="E79" s="15" t="n">
        <x:v>146</x:v>
      </x:c>
      <x:c r="F79" s="2" t="str">
        <x:v>Josh</x:v>
      </x:c>
      <x:c r="G79" s="2" t="str">
        <x:v>The Marching Antz</x:v>
      </x:c>
      <x:c r="H79" s="15" t="n">
        <x:v>142</x:v>
      </x:c>
      <x:c r="I79" s="2" t="str">
        <x:f>IF(E79&gt;H79,C79,IF(E79&lt;H79,F79,"Tie"))</x:f>
        <x:v>Craig</x:v>
      </x:c>
      <x:c r="J79" s="2" t="str">
        <x:f>IF(E79&gt;H79,F79,IF(E79&lt;H79,C79,"Tie"))</x:f>
        <x:v>Josh</x:v>
      </x:c>
      <x:c r="K79" s="2" t="n">
        <x:f>IF(E79=H79,1,0)</x:f>
        <x:v>0</x:v>
      </x:c>
      <x:c r="L79" s="2" t="str">
        <x:v>Craig / Josh</x:v>
      </x:c>
      <x:c r="M79" t="str"/>
      <x:c r="N79" t="str">
        <x:v>Supplied</x:v>
      </x:c>
    </x:row>
    <x:row r="80" ht="22" customHeight="1">
      <x:c r="A80" s="2" t="n">
        <x:v>10</x:v>
      </x:c>
      <x:c r="B80" s="2" t="str">
        <x:v>Regular</x:v>
      </x:c>
      <x:c r="C80" s="2" t="str">
        <x:v>Dave</x:v>
      </x:c>
      <x:c r="D80" s="2" t="str">
        <x:v>dave's Awesome Team</x:v>
      </x:c>
      <x:c r="E80" s="15" t="n">
        <x:v>104</x:v>
      </x:c>
      <x:c r="F80" s="2" t="str">
        <x:v>Paul</x:v>
      </x:c>
      <x:c r="G80" s="2" t="str">
        <x:v>Paul's Team</x:v>
      </x:c>
      <x:c r="H80" s="15" t="n">
        <x:v>115</x:v>
      </x:c>
      <x:c r="I80" s="2" t="str">
        <x:f>IF(E80&gt;H80,C80,IF(E80&lt;H80,F80,"Tie"))</x:f>
        <x:v>Paul</x:v>
      </x:c>
      <x:c r="J80" s="2" t="str">
        <x:f>IF(E80&gt;H80,F80,IF(E80&lt;H80,C80,"Tie"))</x:f>
        <x:v>Dave</x:v>
      </x:c>
      <x:c r="K80" s="2" t="n">
        <x:f>IF(E80=H80,1,0)</x:f>
        <x:v>0</x:v>
      </x:c>
      <x:c r="L80" s="2" t="str">
        <x:v>Dave / Paul</x:v>
      </x:c>
      <x:c r="M80" t="str"/>
      <x:c r="N80" t="str">
        <x:v>Supplied</x:v>
      </x:c>
    </x:row>
    <x:row r="81" ht="22" customHeight="1">
      <x:c r="A81" s="2" t="n">
        <x:v>10</x:v>
      </x:c>
      <x:c r="B81" s="2" t="str">
        <x:v>Regular</x:v>
      </x:c>
      <x:c r="C81" s="2" t="str">
        <x:v>Ed</x:v>
      </x:c>
      <x:c r="D81" s="2" t="str">
        <x:v>Club Eroticas Finest</x:v>
      </x:c>
      <x:c r="E81" s="15" t="n">
        <x:v>109</x:v>
      </x:c>
      <x:c r="F81" s="2" t="str">
        <x:v>Poker Dude</x:v>
      </x:c>
      <x:c r="G81" s="2" t="str">
        <x:v>james's Team</x:v>
      </x:c>
      <x:c r="H81" s="15" t="n">
        <x:v>97</x:v>
      </x:c>
      <x:c r="I81" s="2" t="str">
        <x:f>IF(E81&gt;H81,C81,IF(E81&lt;H81,F81,"Tie"))</x:f>
        <x:v>Ed</x:v>
      </x:c>
      <x:c r="J81" s="2" t="str">
        <x:f>IF(E81&gt;H81,F81,IF(E81&lt;H81,C81,"Tie"))</x:f>
        <x:v>Poker Dude</x:v>
      </x:c>
      <x:c r="K81" s="2" t="n">
        <x:f>IF(E81=H81,1,0)</x:f>
        <x:v>0</x:v>
      </x:c>
      <x:c r="L81" s="2" t="str">
        <x:v>Ed / Poker Dude</x:v>
      </x:c>
      <x:c r="M81" t="str"/>
      <x:c r="N81" t="str">
        <x:v>Supplied</x:v>
      </x:c>
    </x:row>
    <x:row r="82" ht="22" customHeight="1">
      <x:c r="A82" s="2" t="n">
        <x:v>10</x:v>
      </x:c>
      <x:c r="B82" s="2" t="str">
        <x:v>Regular</x:v>
      </x:c>
      <x:c r="C82" s="2" t="str">
        <x:v>Frank</x:v>
      </x:c>
      <x:c r="D82" s="2" t="str">
        <x:v>Saquon Deez Nutz</x:v>
      </x:c>
      <x:c r="E82" s="15" t="n">
        <x:v>108</x:v>
      </x:c>
      <x:c r="F82" s="2" t="str">
        <x:v>Matt</x:v>
      </x:c>
      <x:c r="G82" s="2" t="str">
        <x:v>Mr.Montana</x:v>
      </x:c>
      <x:c r="H82" s="15" t="n">
        <x:v>119</x:v>
      </x:c>
      <x:c r="I82" s="2" t="str">
        <x:f>IF(E82&gt;H82,C82,IF(E82&lt;H82,F82,"Tie"))</x:f>
        <x:v>Matt</x:v>
      </x:c>
      <x:c r="J82" s="2" t="str">
        <x:f>IF(E82&gt;H82,F82,IF(E82&lt;H82,C82,"Tie"))</x:f>
        <x:v>Frank</x:v>
      </x:c>
      <x:c r="K82" s="2" t="n">
        <x:f>IF(E82=H82,1,0)</x:f>
        <x:v>0</x:v>
      </x:c>
      <x:c r="L82" s="2" t="str">
        <x:v>Frank / Matt</x:v>
      </x:c>
      <x:c r="M82" t="str"/>
      <x:c r="N82" t="str">
        <x:v>Supplied</x:v>
      </x:c>
    </x:row>
    <x:row r="83" ht="22" customHeight="1">
      <x:c r="A83" s="2" t="n">
        <x:v>10</x:v>
      </x:c>
      <x:c r="B83" s="2" t="str">
        <x:v>Regular</x:v>
      </x:c>
      <x:c r="C83" s="2" t="str">
        <x:v>Mark</x:v>
      </x:c>
      <x:c r="D83" s="2" t="str">
        <x:v>wacky waving arms</x:v>
      </x:c>
      <x:c r="E83" s="15" t="n">
        <x:v>122</x:v>
      </x:c>
      <x:c r="F83" s="2" t="str">
        <x:v>Ben</x:v>
      </x:c>
      <x:c r="G83" s="2" t="str">
        <x:v>NebGilum</x:v>
      </x:c>
      <x:c r="H83" s="15" t="n">
        <x:v>124</x:v>
      </x:c>
      <x:c r="I83" s="2" t="str">
        <x:f>IF(E83&gt;H83,C83,IF(E83&lt;H83,F83,"Tie"))</x:f>
        <x:v>Ben</x:v>
      </x:c>
      <x:c r="J83" s="2" t="str">
        <x:f>IF(E83&gt;H83,F83,IF(E83&lt;H83,C83,"Tie"))</x:f>
        <x:v>Mark</x:v>
      </x:c>
      <x:c r="K83" s="2" t="n">
        <x:f>IF(E83=H83,1,0)</x:f>
        <x:v>0</x:v>
      </x:c>
      <x:c r="L83" s="2" t="str">
        <x:v>Ben / Mark</x:v>
      </x:c>
      <x:c r="M83" t="str"/>
      <x:c r="N83" t="str">
        <x:v>Supplied</x:v>
      </x:c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153</x:v>
      </x:c>
      <x:c r="F84" s="2" t="str">
        <x:v>Matt</x:v>
      </x:c>
      <x:c r="G84" s="2" t="str">
        <x:v>Mr.Montana</x:v>
      </x:c>
      <x:c r="H84" s="15" t="n">
        <x:v>117</x:v>
      </x:c>
      <x:c r="I84" s="2" t="str">
        <x:f>IF(E84&gt;H84,C84,IF(E84&lt;H84,F84,"Tie"))</x:f>
        <x:v>Bruce</x:v>
      </x:c>
      <x:c r="J84" s="2" t="str">
        <x:f>IF(E84&gt;H84,F84,IF(E84&lt;H84,C84,"Tie"))</x:f>
        <x:v>Matt</x:v>
      </x:c>
      <x:c r="K84" s="2" t="n">
        <x:f>IF(E84=H84,1,0)</x:f>
        <x:v>0</x:v>
      </x:c>
      <x:c r="L84" s="2" t="str">
        <x:v>Bruce / Matt</x:v>
      </x:c>
      <x:c r="M84" t="str"/>
      <x:c r="N84" t="str">
        <x:v>Supplied</x:v>
      </x:c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115</x:v>
      </x:c>
      <x:c r="F85" s="2" t="str">
        <x:v>Mike</x:v>
      </x:c>
      <x:c r="G85" s="2" t="str">
        <x:v>Daniel’s Discount</x:v>
      </x:c>
      <x:c r="H85" s="15" t="n">
        <x:v>123</x:v>
      </x:c>
      <x:c r="I85" s="2" t="str">
        <x:f>IF(E85&gt;H85,C85,IF(E85&lt;H85,F85,"Tie"))</x:f>
        <x:v>Mike</x:v>
      </x:c>
      <x:c r="J85" s="2" t="str">
        <x:f>IF(E85&gt;H85,F85,IF(E85&lt;H85,C85,"Tie"))</x:f>
        <x:v>Craig</x:v>
      </x:c>
      <x:c r="K85" s="2" t="n">
        <x:f>IF(E85=H85,1,0)</x:f>
        <x:v>0</x:v>
      </x:c>
      <x:c r="L85" s="2" t="str">
        <x:v>Craig / Mike</x:v>
      </x:c>
      <x:c r="M85" t="str"/>
      <x:c r="N85" t="str">
        <x:v>Supplied</x:v>
      </x:c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dave's Awesome Team</x:v>
      </x:c>
      <x:c r="E86" s="15" t="n">
        <x:v>120</x:v>
      </x:c>
      <x:c r="F86" s="2" t="str">
        <x:v>Ed</x:v>
      </x:c>
      <x:c r="G86" s="2" t="str">
        <x:v>Club Eroticas Finest</x:v>
      </x:c>
      <x:c r="H86" s="15" t="n">
        <x:v>105</x:v>
      </x:c>
      <x:c r="I86" s="2" t="str">
        <x:f>IF(E86&gt;H86,C86,IF(E86&lt;H86,F86,"Tie"))</x:f>
        <x:v>Dave</x:v>
      </x:c>
      <x:c r="J86" s="2" t="str">
        <x:f>IF(E86&gt;H86,F86,IF(E86&lt;H86,C86,"Tie"))</x:f>
        <x:v>Ed</x:v>
      </x:c>
      <x:c r="K86" s="2" t="n">
        <x:f>IF(E86=H86,1,0)</x:f>
        <x:v>0</x:v>
      </x:c>
      <x:c r="L86" s="2" t="str">
        <x:v>Dave / Ed</x:v>
      </x:c>
      <x:c r="M86" t="str"/>
      <x:c r="N86" t="str">
        <x:v>Supplied</x:v>
      </x:c>
    </x:row>
    <x:row r="87" ht="22" customHeight="1">
      <x:c r="A87" s="2" t="n">
        <x:v>11</x:v>
      </x:c>
      <x:c r="B87" s="2" t="str">
        <x:v>Regular</x:v>
      </x:c>
      <x:c r="C87" s="2" t="str">
        <x:v>Frank</x:v>
      </x:c>
      <x:c r="D87" s="2" t="str">
        <x:v>Saquon Deez Nutz</x:v>
      </x:c>
      <x:c r="E87" s="15" t="n">
        <x:v>86</x:v>
      </x:c>
      <x:c r="F87" s="2" t="str">
        <x:v>Poker Dude</x:v>
      </x:c>
      <x:c r="G87" s="2" t="str">
        <x:v>james's Team</x:v>
      </x:c>
      <x:c r="H87" s="15" t="n">
        <x:v>110</x:v>
      </x:c>
      <x:c r="I87" s="2" t="str">
        <x:f>IF(E87&gt;H87,C87,IF(E87&lt;H87,F87,"Tie"))</x:f>
        <x:v>Poker Dude</x:v>
      </x:c>
      <x:c r="J87" s="2" t="str">
        <x:f>IF(E87&gt;H87,F87,IF(E87&lt;H87,C87,"Tie"))</x:f>
        <x:v>Frank</x:v>
      </x:c>
      <x:c r="K87" s="2" t="n">
        <x:f>IF(E87=H87,1,0)</x:f>
        <x:v>0</x:v>
      </x:c>
      <x:c r="L87" s="2" t="str">
        <x:v>Frank / Poker Dude</x:v>
      </x:c>
      <x:c r="M87" t="str"/>
      <x:c r="N87" t="str">
        <x:v>Supplied</x:v>
      </x:c>
    </x:row>
    <x:row r="88" ht="22" customHeight="1">
      <x:c r="A88" s="2" t="n">
        <x:v>11</x:v>
      </x:c>
      <x:c r="B88" s="2" t="str">
        <x:v>Regular</x:v>
      </x:c>
      <x:c r="C88" s="2" t="str">
        <x:v>Josh</x:v>
      </x:c>
      <x:c r="D88" s="2" t="str">
        <x:v>The Marching Antz</x:v>
      </x:c>
      <x:c r="E88" s="15" t="n">
        <x:v>92</x:v>
      </x:c>
      <x:c r="F88" s="2" t="str">
        <x:v>Mark</x:v>
      </x:c>
      <x:c r="G88" s="2" t="str">
        <x:v>wacky waving arms</x:v>
      </x:c>
      <x:c r="H88" s="15" t="n">
        <x:v>83</x:v>
      </x:c>
      <x:c r="I88" s="2" t="str">
        <x:f>IF(E88&gt;H88,C88,IF(E88&lt;H88,F88,"Tie"))</x:f>
        <x:v>Josh</x:v>
      </x:c>
      <x:c r="J88" s="2" t="str">
        <x:f>IF(E88&gt;H88,F88,IF(E88&lt;H88,C88,"Tie"))</x:f>
        <x:v>Mark</x:v>
      </x:c>
      <x:c r="K88" s="2" t="n">
        <x:f>IF(E88=H88,1,0)</x:f>
        <x:v>0</x:v>
      </x:c>
      <x:c r="L88" s="2" t="str">
        <x:v>Josh / Mark</x:v>
      </x:c>
      <x:c r="M88" t="str"/>
      <x:c r="N88" t="str">
        <x:v>Supplied</x:v>
      </x:c>
    </x:row>
    <x:row r="89" ht="22" customHeight="1">
      <x:c r="A89" s="2" t="n">
        <x:v>11</x:v>
      </x:c>
      <x:c r="B89" s="2" t="str">
        <x:v>Regular</x:v>
      </x:c>
      <x:c r="C89" s="2" t="str">
        <x:v>Ben</x:v>
      </x:c>
      <x:c r="D89" s="2" t="str">
        <x:v>NebGilum</x:v>
      </x:c>
      <x:c r="E89" s="15" t="n">
        <x:v>110</x:v>
      </x:c>
      <x:c r="F89" s="2" t="str">
        <x:v>Paul</x:v>
      </x:c>
      <x:c r="G89" s="2" t="str">
        <x:v>Paul's Team</x:v>
      </x:c>
      <x:c r="H89" s="15" t="n">
        <x:v>99</x:v>
      </x:c>
      <x:c r="I89" s="2" t="str">
        <x:f>IF(E89&gt;H89,C89,IF(E89&lt;H89,F89,"Tie"))</x:f>
        <x:v>Ben</x:v>
      </x:c>
      <x:c r="J89" s="2" t="str">
        <x:f>IF(E89&gt;H89,F89,IF(E89&lt;H89,C89,"Tie"))</x:f>
        <x:v>Paul</x:v>
      </x:c>
      <x:c r="K89" s="2" t="n">
        <x:f>IF(E89=H89,1,0)</x:f>
        <x:v>0</x:v>
      </x:c>
      <x:c r="L89" s="2" t="str">
        <x:v>Ben / Paul</x:v>
      </x:c>
      <x:c r="M89" t="str"/>
      <x:c r="N89" t="str">
        <x:v>Supplied</x:v>
      </x:c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95</x:v>
      </x:c>
      <x:c r="F90" s="2" t="str">
        <x:v>Mark</x:v>
      </x:c>
      <x:c r="G90" s="2" t="str">
        <x:v>wacky waving arms</x:v>
      </x:c>
      <x:c r="H90" s="15" t="n">
        <x:v>105</x:v>
      </x:c>
      <x:c r="I90" s="2" t="str">
        <x:f>IF(E90&gt;H90,C90,IF(E90&lt;H90,F90,"Tie"))</x:f>
        <x:v>Mark</x:v>
      </x:c>
      <x:c r="J90" s="2" t="str">
        <x:f>IF(E90&gt;H90,F90,IF(E90&lt;H90,C90,"Tie"))</x:f>
        <x:v>Bruce</x:v>
      </x:c>
      <x:c r="K90" s="2" t="n">
        <x:f>IF(E90=H90,1,0)</x:f>
        <x:v>0</x:v>
      </x:c>
      <x:c r="L90" s="2" t="str">
        <x:v>Bruce / Mark</x:v>
      </x:c>
      <x:c r="M90" t="str"/>
      <x:c r="N90" t="str">
        <x:v>Supplied</x:v>
      </x:c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138</x:v>
      </x:c>
      <x:c r="F91" s="2" t="str">
        <x:v>Ed</x:v>
      </x:c>
      <x:c r="G91" s="2" t="str">
        <x:v>Club Eroticas Finest</x:v>
      </x:c>
      <x:c r="H91" s="15" t="n">
        <x:v>100</x:v>
      </x:c>
      <x:c r="I91" s="2" t="str">
        <x:f>IF(E91&gt;H91,C91,IF(E91&lt;H91,F91,"Tie"))</x:f>
        <x:v>Craig</x:v>
      </x:c>
      <x:c r="J91" s="2" t="str">
        <x:f>IF(E91&gt;H91,F91,IF(E91&lt;H91,C91,"Tie"))</x:f>
        <x:v>Ed</x:v>
      </x:c>
      <x:c r="K91" s="2" t="n">
        <x:f>IF(E91=H91,1,0)</x:f>
        <x:v>0</x:v>
      </x:c>
      <x:c r="L91" s="2" t="str">
        <x:v>Craig / Ed</x:v>
      </x:c>
      <x:c r="M91" t="str"/>
      <x:c r="N91" t="str">
        <x:v>Supplied</x:v>
      </x:c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dave's Awesome Team</x:v>
      </x:c>
      <x:c r="E92" s="15" t="n">
        <x:v>92</x:v>
      </x:c>
      <x:c r="F92" s="2" t="str">
        <x:v>Poker Dude</x:v>
      </x:c>
      <x:c r="G92" s="2" t="str">
        <x:v>james's Team</x:v>
      </x:c>
      <x:c r="H92" s="15" t="n">
        <x:v>119</x:v>
      </x:c>
      <x:c r="I92" s="2" t="str">
        <x:f>IF(E92&gt;H92,C92,IF(E92&lt;H92,F92,"Tie"))</x:f>
        <x:v>Poker Dude</x:v>
      </x:c>
      <x:c r="J92" s="2" t="str">
        <x:f>IF(E92&gt;H92,F92,IF(E92&lt;H92,C92,"Tie"))</x:f>
        <x:v>Dave</x:v>
      </x:c>
      <x:c r="K92" s="2" t="n">
        <x:f>IF(E92=H92,1,0)</x:f>
        <x:v>0</x:v>
      </x:c>
      <x:c r="L92" s="2" t="str">
        <x:v>Dave / Poker Dude</x:v>
      </x:c>
      <x:c r="M92" t="str"/>
      <x:c r="N92" t="str">
        <x:v>Supplied</x:v>
      </x:c>
    </x:row>
    <x:row r="93" ht="22" customHeight="1">
      <x:c r="A93" s="2" t="n">
        <x:v>12</x:v>
      </x:c>
      <x:c r="B93" s="2" t="str">
        <x:v>Regular</x:v>
      </x:c>
      <x:c r="C93" s="2" t="str">
        <x:v>Frank</x:v>
      </x:c>
      <x:c r="D93" s="2" t="str">
        <x:v>Saquon Deez Nutz</x:v>
      </x:c>
      <x:c r="E93" s="15" t="n">
        <x:v>97</x:v>
      </x:c>
      <x:c r="F93" s="2" t="str">
        <x:v>Paul</x:v>
      </x:c>
      <x:c r="G93" s="2" t="str">
        <x:v>Paul's Team</x:v>
      </x:c>
      <x:c r="H93" s="15" t="n">
        <x:v>163</x:v>
      </x:c>
      <x:c r="I93" s="2" t="str">
        <x:f>IF(E93&gt;H93,C93,IF(E93&lt;H93,F93,"Tie"))</x:f>
        <x:v>Paul</x:v>
      </x:c>
      <x:c r="J93" s="2" t="str">
        <x:f>IF(E93&gt;H93,F93,IF(E93&lt;H93,C93,"Tie"))</x:f>
        <x:v>Frank</x:v>
      </x:c>
      <x:c r="K93" s="2" t="n">
        <x:f>IF(E93=H93,1,0)</x:f>
        <x:v>0</x:v>
      </x:c>
      <x:c r="L93" s="2" t="str">
        <x:v>Frank / Paul</x:v>
      </x:c>
      <x:c r="M93" t="str"/>
      <x:c r="N93" t="str">
        <x:v>Supplied</x:v>
      </x:c>
    </x:row>
    <x:row r="94" ht="22" customHeight="1">
      <x:c r="A94" s="2" t="n">
        <x:v>12</x:v>
      </x:c>
      <x:c r="B94" s="2" t="str">
        <x:v>Regular</x:v>
      </x:c>
      <x:c r="C94" s="2" t="str">
        <x:v>Mike</x:v>
      </x:c>
      <x:c r="D94" s="2" t="str">
        <x:v>Daniel’s Discount</x:v>
      </x:c>
      <x:c r="E94" s="15" t="n">
        <x:v>86</x:v>
      </x:c>
      <x:c r="F94" s="2" t="str">
        <x:v>Josh</x:v>
      </x:c>
      <x:c r="G94" s="2" t="str">
        <x:v>The Marching Antz</x:v>
      </x:c>
      <x:c r="H94" s="15" t="n">
        <x:v>106</x:v>
      </x:c>
      <x:c r="I94" s="2" t="str">
        <x:f>IF(E94&gt;H94,C94,IF(E94&lt;H94,F94,"Tie"))</x:f>
        <x:v>Josh</x:v>
      </x:c>
      <x:c r="J94" s="2" t="str">
        <x:f>IF(E94&gt;H94,F94,IF(E94&lt;H94,C94,"Tie"))</x:f>
        <x:v>Mike</x:v>
      </x:c>
      <x:c r="K94" s="2" t="n">
        <x:f>IF(E94=H94,1,0)</x:f>
        <x:v>0</x:v>
      </x:c>
      <x:c r="L94" s="2" t="str">
        <x:v>Josh / Mike</x:v>
      </x:c>
      <x:c r="M94" t="str"/>
      <x:c r="N94" t="str">
        <x:v>Supplied</x:v>
      </x:c>
    </x:row>
    <x:row r="95" ht="22" customHeight="1">
      <x:c r="A95" s="2" t="n">
        <x:v>12</x:v>
      </x:c>
      <x:c r="B95" s="2" t="str">
        <x:v>Regular</x:v>
      </x:c>
      <x:c r="C95" s="2" t="str">
        <x:v>Ben</x:v>
      </x:c>
      <x:c r="D95" s="2" t="str">
        <x:v>NebGilum</x:v>
      </x:c>
      <x:c r="E95" s="15" t="n">
        <x:v>98</x:v>
      </x:c>
      <x:c r="F95" s="2" t="str">
        <x:v>Matt</x:v>
      </x:c>
      <x:c r="G95" s="2" t="str">
        <x:v>Mr.Montana</x:v>
      </x:c>
      <x:c r="H95" s="15" t="n">
        <x:v>115</x:v>
      </x:c>
      <x:c r="I95" s="2" t="str">
        <x:f>IF(E95&gt;H95,C95,IF(E95&lt;H95,F95,"Tie"))</x:f>
        <x:v>Matt</x:v>
      </x:c>
      <x:c r="J95" s="2" t="str">
        <x:f>IF(E95&gt;H95,F95,IF(E95&lt;H95,C95,"Tie"))</x:f>
        <x:v>Ben</x:v>
      </x:c>
      <x:c r="K95" s="2" t="n">
        <x:f>IF(E95=H95,1,0)</x:f>
        <x:v>0</x:v>
      </x:c>
      <x:c r="L95" s="2" t="str">
        <x:v>Ben / Matt</x:v>
      </x:c>
      <x:c r="M95" t="str"/>
      <x:c r="N95" t="str">
        <x:v>Supplied</x:v>
      </x:c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78</x:v>
      </x:c>
      <x:c r="F96" s="2" t="str">
        <x:v>Craig</x:v>
      </x:c>
      <x:c r="G96" s="2" t="str">
        <x:v>The Ants Marching</x:v>
      </x:c>
      <x:c r="H96" s="15" t="n">
        <x:v>131</x:v>
      </x:c>
      <x:c r="I96" s="2" t="str">
        <x:f>IF(E96&gt;H96,C96,IF(E96&lt;H96,F96,"Tie"))</x:f>
        <x:v>Craig</x:v>
      </x:c>
      <x:c r="J96" s="2" t="str">
        <x:f>IF(E96&gt;H96,F96,IF(E96&lt;H96,C96,"Tie"))</x:f>
        <x:v>Bruce</x:v>
      </x:c>
      <x:c r="K96" s="2" t="n">
        <x:f>IF(E96=H96,1,0)</x:f>
        <x:v>0</x:v>
      </x:c>
      <x:c r="L96" s="2" t="str">
        <x:v>Bruce / Craig</x:v>
      </x:c>
      <x:c r="M96" t="str"/>
      <x:c r="N96" t="str">
        <x:v>Supplied</x:v>
      </x:c>
    </x:row>
    <x:row r="97" ht="22" customHeight="1">
      <x:c r="A97" s="2" t="n">
        <x:v>13</x:v>
      </x:c>
      <x:c r="B97" s="2" t="str">
        <x:v>Regular</x:v>
      </x:c>
      <x:c r="C97" s="2" t="str">
        <x:v>Dave</x:v>
      </x:c>
      <x:c r="D97" s="2" t="str">
        <x:v>dave's Awesome Team</x:v>
      </x:c>
      <x:c r="E97" s="15" t="n">
        <x:v>61</x:v>
      </x:c>
      <x:c r="F97" s="2" t="str">
        <x:v>Mark</x:v>
      </x:c>
      <x:c r="G97" s="2" t="str">
        <x:v>wacky waving arms</x:v>
      </x:c>
      <x:c r="H97" s="15" t="n">
        <x:v>117</x:v>
      </x:c>
      <x:c r="I97" s="2" t="str">
        <x:f>IF(E97&gt;H97,C97,IF(E97&lt;H97,F97,"Tie"))</x:f>
        <x:v>Mark</x:v>
      </x:c>
      <x:c r="J97" s="2" t="str">
        <x:f>IF(E97&gt;H97,F97,IF(E97&lt;H97,C97,"Tie"))</x:f>
        <x:v>Dave</x:v>
      </x:c>
      <x:c r="K97" s="2" t="n">
        <x:f>IF(E97=H97,1,0)</x:f>
        <x:v>0</x:v>
      </x:c>
      <x:c r="L97" s="2" t="str">
        <x:v>Dave / Mark</x:v>
      </x:c>
      <x:c r="M97" t="str"/>
      <x:c r="N97" t="str">
        <x:v>Supplied</x:v>
      </x:c>
    </x:row>
    <x:row r="98" ht="22" customHeight="1">
      <x:c r="A98" s="2" t="n">
        <x:v>13</x:v>
      </x:c>
      <x:c r="B98" s="2" t="str">
        <x:v>Regular</x:v>
      </x:c>
      <x:c r="C98" s="2" t="str">
        <x:v>Ed</x:v>
      </x:c>
      <x:c r="D98" s="2" t="str">
        <x:v>Club Eroticas Finest</x:v>
      </x:c>
      <x:c r="E98" s="15" t="n">
        <x:v>99</x:v>
      </x:c>
      <x:c r="F98" s="2" t="str">
        <x:v>Matt</x:v>
      </x:c>
      <x:c r="G98" s="2" t="str">
        <x:v>Mr.Montana</x:v>
      </x:c>
      <x:c r="H98" s="15" t="n">
        <x:v>101</x:v>
      </x:c>
      <x:c r="I98" s="2" t="str">
        <x:f>IF(E98&gt;H98,C98,IF(E98&lt;H98,F98,"Tie"))</x:f>
        <x:v>Matt</x:v>
      </x:c>
      <x:c r="J98" s="2" t="str">
        <x:f>IF(E98&gt;H98,F98,IF(E98&lt;H98,C98,"Tie"))</x:f>
        <x:v>Ed</x:v>
      </x:c>
      <x:c r="K98" s="2" t="n">
        <x:f>IF(E98=H98,1,0)</x:f>
        <x:v>0</x:v>
      </x:c>
      <x:c r="L98" s="2" t="str">
        <x:v>Ed / Matt</x:v>
      </x:c>
      <x:c r="M98" t="str"/>
      <x:c r="N98" t="str">
        <x:v>Supplied</x:v>
      </x:c>
    </x:row>
    <x:row r="99" ht="22" customHeight="1">
      <x:c r="A99" s="2" t="n">
        <x:v>13</x:v>
      </x:c>
      <x:c r="B99" s="2" t="str">
        <x:v>Regular</x:v>
      </x:c>
      <x:c r="C99" s="2" t="str">
        <x:v>Frank</x:v>
      </x:c>
      <x:c r="D99" s="2" t="str">
        <x:v>Saquon Deez Nutz</x:v>
      </x:c>
      <x:c r="E99" s="15" t="n">
        <x:v>138</x:v>
      </x:c>
      <x:c r="F99" s="2" t="str">
        <x:v>Mike</x:v>
      </x:c>
      <x:c r="G99" s="2" t="str">
        <x:v>Daniel’s Discount</x:v>
      </x:c>
      <x:c r="H99" s="15" t="n">
        <x:v>135</x:v>
      </x:c>
      <x:c r="I99" s="2" t="str">
        <x:f>IF(E99&gt;H99,C99,IF(E99&lt;H99,F99,"Tie"))</x:f>
        <x:v>Frank</x:v>
      </x:c>
      <x:c r="J99" s="2" t="str">
        <x:f>IF(E99&gt;H99,F99,IF(E99&lt;H99,C99,"Tie"))</x:f>
        <x:v>Mike</x:v>
      </x:c>
      <x:c r="K99" s="2" t="n">
        <x:f>IF(E99=H99,1,0)</x:f>
        <x:v>0</x:v>
      </x:c>
      <x:c r="L99" s="2" t="str">
        <x:v>Frank / Mike</x:v>
      </x:c>
      <x:c r="M99" t="str"/>
      <x:c r="N99" t="str">
        <x:v>Supplied</x:v>
      </x:c>
    </x:row>
    <x:row r="100" ht="22" customHeight="1">
      <x:c r="A100" s="2" t="n">
        <x:v>13</x:v>
      </x:c>
      <x:c r="B100" s="2" t="str">
        <x:v>Regular</x:v>
      </x:c>
      <x:c r="C100" s="2" t="str">
        <x:v>Josh</x:v>
      </x:c>
      <x:c r="D100" s="2" t="str">
        <x:v>The Marching Antz</x:v>
      </x:c>
      <x:c r="E100" s="15" t="n">
        <x:v>108</x:v>
      </x:c>
      <x:c r="F100" s="2" t="str">
        <x:v>Ben</x:v>
      </x:c>
      <x:c r="G100" s="2" t="str">
        <x:v>NebGilum</x:v>
      </x:c>
      <x:c r="H100" s="15" t="n">
        <x:v>140</x:v>
      </x:c>
      <x:c r="I100" s="2" t="str">
        <x:f>IF(E100&gt;H100,C100,IF(E100&lt;H100,F100,"Tie"))</x:f>
        <x:v>Ben</x:v>
      </x:c>
      <x:c r="J100" s="2" t="str">
        <x:f>IF(E100&gt;H100,F100,IF(E100&lt;H100,C100,"Tie"))</x:f>
        <x:v>Josh</x:v>
      </x:c>
      <x:c r="K100" s="2" t="n">
        <x:f>IF(E100=H100,1,0)</x:f>
        <x:v>0</x:v>
      </x:c>
      <x:c r="L100" s="2" t="str">
        <x:v>Ben / Josh</x:v>
      </x:c>
      <x:c r="M100" t="str"/>
      <x:c r="N100" t="str">
        <x:v>Supplied</x:v>
      </x:c>
    </x:row>
    <x:row r="101" ht="22" customHeight="1">
      <x:c r="A101" s="2" t="n">
        <x:v>13</x:v>
      </x:c>
      <x:c r="B101" s="2" t="str">
        <x:v>Regular</x:v>
      </x:c>
      <x:c r="C101" s="2" t="str">
        <x:v>Poker Dude</x:v>
      </x:c>
      <x:c r="D101" s="2" t="str">
        <x:v>james's Team</x:v>
      </x:c>
      <x:c r="E101" s="15" t="n">
        <x:v>98</x:v>
      </x:c>
      <x:c r="F101" s="2" t="str">
        <x:v>Paul</x:v>
      </x:c>
      <x:c r="G101" s="2" t="str">
        <x:v>Paul's Team</x:v>
      </x:c>
      <x:c r="H101" s="15" t="n">
        <x:v>115</x:v>
      </x:c>
      <x:c r="I101" s="2" t="str">
        <x:f>IF(E101&gt;H101,C101,IF(E101&lt;H101,F101,"Tie"))</x:f>
        <x:v>Paul</x:v>
      </x:c>
      <x:c r="J101" s="2" t="str">
        <x:f>IF(E101&gt;H101,F101,IF(E101&lt;H101,C101,"Tie"))</x:f>
        <x:v>Poker Dude</x:v>
      </x:c>
      <x:c r="K101" s="2" t="n">
        <x:f>IF(E101=H101,1,0)</x:f>
        <x:v>0</x:v>
      </x:c>
      <x:c r="L101" s="2" t="str">
        <x:v>Paul / Poker Dude</x:v>
      </x:c>
      <x:c r="M101" t="str"/>
      <x:c r="N101" t="str">
        <x:v>Supplied</x:v>
      </x:c>
    </x:row>
    <x:row r="102" ht="22" customHeight="1">
      <x:c r="A102" s="2" t="n">
        <x:v>14</x:v>
      </x:c>
      <x:c r="B102" s="2" t="str">
        <x:v>Playoffs</x:v>
      </x:c>
      <x:c r="C102" s="2" t="str">
        <x:v>Josh</x:v>
      </x:c>
      <x:c r="D102" s="2" t="str">
        <x:v>The Marching Antz</x:v>
      </x:c>
      <x:c r="E102" s="15" t="n">
        <x:v>78</x:v>
      </x:c>
      <x:c r="F102" s="2" t="str">
        <x:v>Bruce</x:v>
      </x:c>
      <x:c r="G102" s="2" t="str">
        <x:v>The Storm</x:v>
      </x:c>
      <x:c r="H102" s="15" t="n">
        <x:v>141</x:v>
      </x:c>
      <x:c r="I102" s="2" t="str">
        <x:f>IF(E102&gt;H102,C102,IF(E102&lt;H102,F102,"Tie"))</x:f>
        <x:v>Bruce</x:v>
      </x:c>
      <x:c r="J102" s="2" t="str">
        <x:f>IF(E102&gt;H102,F102,IF(E102&lt;H102,C102,"Tie"))</x:f>
        <x:v>Josh</x:v>
      </x:c>
      <x:c r="K102" s="2" t="n">
        <x:f>IF(E102=H102,1,0)</x:f>
        <x:v>0</x:v>
      </x:c>
      <x:c r="L102" s="2" t="str">
        <x:v>Bruce / Josh</x:v>
      </x:c>
      <x:c r="M102" t="str">
        <x:v>Quarterfinal</x:v>
      </x:c>
      <x:c r="N102" t="str">
        <x:v>Supplied</x:v>
      </x:c>
    </x:row>
    <x:row r="103" ht="22" customHeight="1">
      <x:c r="A103" s="2" t="n">
        <x:v>14</x:v>
      </x:c>
      <x:c r="B103" s="2" t="str">
        <x:v>Playoffs</x:v>
      </x:c>
      <x:c r="C103" s="2" t="str">
        <x:v>Mark</x:v>
      </x:c>
      <x:c r="D103" s="2" t="str">
        <x:v>wacky waving arms</x:v>
      </x:c>
      <x:c r="E103" s="15" t="n">
        <x:v>126</x:v>
      </x:c>
      <x:c r="F103" s="2" t="str">
        <x:v>Matt</x:v>
      </x:c>
      <x:c r="G103" s="2" t="str">
        <x:v>Mr.Montana</x:v>
      </x:c>
      <x:c r="H103" s="15" t="n">
        <x:v>84</x:v>
      </x:c>
      <x:c r="I103" s="2" t="str">
        <x:f>IF(E103&gt;H103,C103,IF(E103&lt;H103,F103,"Tie"))</x:f>
        <x:v>Mark</x:v>
      </x:c>
      <x:c r="J103" s="2" t="str">
        <x:f>IF(E103&gt;H103,F103,IF(E103&lt;H103,C103,"Tie"))</x:f>
        <x:v>Matt</x:v>
      </x:c>
      <x:c r="K103" s="2" t="n">
        <x:f>IF(E103=H103,1,0)</x:f>
        <x:v>0</x:v>
      </x:c>
      <x:c r="L103" s="2" t="str">
        <x:v>Mark / Matt</x:v>
      </x:c>
      <x:c r="M103" t="str">
        <x:v>Quarterfinal</x:v>
      </x:c>
      <x:c r="N103" t="str">
        <x:v>Supplied</x:v>
      </x:c>
    </x:row>
    <x:row r="104" ht="22" customHeight="1">
      <x:c r="A104" s="2" t="n">
        <x:v>15</x:v>
      </x:c>
      <x:c r="B104" s="2" t="str">
        <x:v>Playoffs</x:v>
      </x:c>
      <x:c r="C104" s="2" t="str">
        <x:v>Craig</x:v>
      </x:c>
      <x:c r="D104" s="2" t="str">
        <x:v>The Ants Marching</x:v>
      </x:c>
      <x:c r="E104" s="15" t="n">
        <x:v>147</x:v>
      </x:c>
      <x:c r="F104" s="2" t="str">
        <x:v>Bruce</x:v>
      </x:c>
      <x:c r="G104" s="2" t="str">
        <x:v>The Storm</x:v>
      </x:c>
      <x:c r="H104" s="15" t="n">
        <x:v>119</x:v>
      </x:c>
      <x:c r="I104" s="2" t="str">
        <x:f>IF(E104&gt;H104,C104,IF(E104&lt;H104,F104,"Tie"))</x:f>
        <x:v>Craig</x:v>
      </x:c>
      <x:c r="J104" s="2" t="str">
        <x:f>IF(E104&gt;H104,F104,IF(E104&lt;H104,C104,"Tie"))</x:f>
        <x:v>Bruce</x:v>
      </x:c>
      <x:c r="K104" s="2" t="n">
        <x:f>IF(E104=H104,1,0)</x:f>
        <x:v>0</x:v>
      </x:c>
      <x:c r="L104" s="2" t="str">
        <x:v>Bruce / Craig</x:v>
      </x:c>
      <x:c r="M104" t="str">
        <x:v>Semifinal</x:v>
      </x:c>
      <x:c r="N104" t="str">
        <x:v>Supplied</x:v>
      </x:c>
    </x:row>
    <x:row r="105" ht="22" customHeight="1">
      <x:c r="A105" s="2" t="n">
        <x:v>15</x:v>
      </x:c>
      <x:c r="B105" s="2" t="str">
        <x:v>Playoffs</x:v>
      </x:c>
      <x:c r="C105" s="2" t="str">
        <x:v>Mark</x:v>
      </x:c>
      <x:c r="D105" s="2" t="str">
        <x:v>wacky waving arms</x:v>
      </x:c>
      <x:c r="E105" s="15" t="n">
        <x:v>104</x:v>
      </x:c>
      <x:c r="F105" s="2" t="str">
        <x:v>Paul</x:v>
      </x:c>
      <x:c r="G105" s="2" t="str">
        <x:v>Paul's Team</x:v>
      </x:c>
      <x:c r="H105" s="15" t="n">
        <x:v>152</x:v>
      </x:c>
      <x:c r="I105" s="2" t="str">
        <x:f>IF(E105&gt;H105,C105,IF(E105&lt;H105,F105,"Tie"))</x:f>
        <x:v>Paul</x:v>
      </x:c>
      <x:c r="J105" s="2" t="str">
        <x:f>IF(E105&gt;H105,F105,IF(E105&lt;H105,C105,"Tie"))</x:f>
        <x:v>Mark</x:v>
      </x:c>
      <x:c r="K105" s="2" t="n">
        <x:f>IF(E105=H105,1,0)</x:f>
        <x:v>0</x:v>
      </x:c>
      <x:c r="L105" s="2" t="str">
        <x:v>Mark / Paul</x:v>
      </x:c>
      <x:c r="M105" t="str">
        <x:v>Semifinal</x:v>
      </x:c>
      <x:c r="N105" t="str">
        <x:v>Supplied</x:v>
      </x:c>
    </x:row>
    <x:row r="106" ht="22" customHeight="1">
      <x:c r="A106" s="2" t="n">
        <x:v>16</x:v>
      </x:c>
      <x:c r="B106" s="2" t="str">
        <x:v>Playoffs</x:v>
      </x:c>
      <x:c r="C106" s="2" t="str">
        <x:v>Craig</x:v>
      </x:c>
      <x:c r="D106" s="2" t="str">
        <x:v>The Ants Marching</x:v>
      </x:c>
      <x:c r="E106" s="15" t="n">
        <x:v>152</x:v>
      </x:c>
      <x:c r="F106" s="2" t="str">
        <x:v>Paul</x:v>
      </x:c>
      <x:c r="G106" s="2" t="str">
        <x:v>Paul's Team</x:v>
      </x:c>
      <x:c r="H106" s="15" t="n">
        <x:v>111</x:v>
      </x:c>
      <x:c r="I106" s="2" t="str">
        <x:f>IF(E106&gt;H106,C106,IF(E106&lt;H106,F106,"Tie"))</x:f>
        <x:v>Craig</x:v>
      </x:c>
      <x:c r="J106" s="2" t="str">
        <x:f>IF(E106&gt;H106,F106,IF(E106&lt;H106,C106,"Tie"))</x:f>
        <x:v>Paul</x:v>
      </x:c>
      <x:c r="K106" s="2" t="n">
        <x:f>IF(E106=H106,1,0)</x:f>
        <x:v>0</x:v>
      </x:c>
      <x:c r="L106" s="2" t="str">
        <x:v>Craig / Paul</x:v>
      </x:c>
      <x:c r="M106" t="str">
        <x:v>Final</x:v>
      </x:c>
      <x:c r="N106" t="str">
        <x:v>Supplied</x:v>
      </x:c>
    </x:row>
  </x:sheetData>
  <x:pageMargins left="0.7" right="0.7" top="0.75" bottom="0.75" header="0.3" footer="0.3"/>
  <x:tableParts count="1">
    <x:tablePart xmlns:r="http://schemas.openxmlformats.org/officeDocument/2006/relationships" r:id="R34d8d1d8e4944b1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2020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Matt</x:v>
      </x:c>
      <x:c r="C4" s="2"/>
      <x:c r="D4" s="2" t="str">
        <x:v>Runner-up</x:v>
      </x:c>
      <x:c r="E4" s="2" t="str">
        <x:v>Ben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18" t="str">
        <x:v>Manager</x:v>
      </x:c>
      <x:c r="B6" s="18" t="str">
        <x:v>Team</x:v>
      </x:c>
      <x:c r="C6" s="18" t="str">
        <x:v>W</x:v>
      </x:c>
      <x:c r="D6" s="18" t="str">
        <x:v>L</x:v>
      </x:c>
      <x:c r="E6" s="18" t="str">
        <x:v>T</x:v>
      </x:c>
      <x:c r="F6" s="18" t="str">
        <x:v>Games</x:v>
      </x:c>
      <x:c r="G6" s="18" t="str">
        <x:v>Win %</x:v>
      </x:c>
      <x:c r="H6" s="18" t="str">
        <x:v>PF</x:v>
      </x:c>
      <x:c r="I6" s="18" t="str">
        <x:v>PA</x:v>
      </x:c>
      <x:c r="J6" s="18" t="str">
        <x:v>Moves</x:v>
      </x:c>
      <x:c r="K6" s="18" t="str">
        <x:v>Trades</x:v>
      </x:c>
      <x:c r="L6" s="18" t="str">
        <x:v>Waiver</x:v>
      </x:c>
    </x:row>
    <x:row r="7" ht="22" customHeight="1">
      <x:c r="A7" s="2" t="str">
        <x:v>Ben</x:v>
      </x:c>
      <x:c r="B7" s="2" t="str">
        <x:v>NebGilum</x:v>
      </x:c>
      <x:c r="C7" s="2" t="n">
        <x:f>COUNTIFS('2020'!$I$24:$I$106,A7,'2020'!$B$24:$B$106,"&lt;&gt;Playoffs")</x:f>
        <x:v>8</x:v>
      </x:c>
      <x:c r="D7" s="2" t="n">
        <x:f>COUNTIFS('2020'!$J$24:$J$106,A7,'2020'!$B$24:$B$106,"&lt;&gt;Playoffs")</x:f>
        <x:v>4</x:v>
      </x:c>
      <x:c r="E7" s="2" t="n">
        <x:f>COUNTIFS('2020'!$C$24:$C$106,A7,'2020'!$K$24:$K$106,1,'2020'!$B$24:$B$106,"&lt;&gt;Playoffs")+COUNTIFS('2020'!$F$24:$F$106,A7,'2020'!$K$24:$K$106,1,'2020'!$B$24:$B$106,"&lt;&gt;Playoffs")</x:f>
        <x:v>1</x:v>
      </x:c>
      <x:c r="F7" s="2" t="n">
        <x:f>SUM(C7:E7)</x:f>
        <x:v>13</x:v>
      </x:c>
      <x:c r="G7" s="11" t="n">
        <x:f>IF(F7=0,0,(C7+0.5*E7)/F7)</x:f>
        <x:v>0.6538461538461539</x:v>
      </x:c>
      <x:c r="H7" s="13" t="n">
        <x:f>SUMIFS('2020'!$E$24:$E$106,'2020'!$C$24:$C$106,A7,'2020'!$B$24:$B$106,"&lt;&gt;Playoffs")+SUMIFS('2020'!$H$24:$H$106,'2020'!$F$24:$F$106,A7,'2020'!$B$24:$B$106,"&lt;&gt;Playoffs")</x:f>
        <x:v>1474</x:v>
      </x:c>
      <x:c r="I7" s="13" t="n">
        <x:f>SUMIFS('2020'!$H$24:$H$106,'2020'!$C$24:$C$106,A7,'2020'!$B$24:$B$106,"&lt;&gt;Playoffs")+SUMIFS('2020'!$E$24:$E$106,'2020'!$F$24:$F$106,A7,'2020'!$B$24:$B$106,"&lt;&gt;Playoffs")</x:f>
        <x:v>1399</x:v>
      </x:c>
      <x:c r="J7" s="2" t="n">
        <x:v>6</x:v>
      </x:c>
      <x:c r="K7" s="2" t="n">
        <x:v>0</x:v>
      </x:c>
      <x:c r="L7" s="2" t="n">
        <x:v>9</x:v>
      </x:c>
    </x:row>
    <x:row r="8" ht="22" customHeight="1">
      <x:c r="A8" s="22" t="str">
        <x:v>Bruce</x:v>
      </x:c>
      <x:c r="B8" s="22" t="str">
        <x:v>The Storm</x:v>
      </x:c>
      <x:c r="C8" s="22" t="n">
        <x:f>COUNTIFS('2020'!$I$24:$I$106,A8,'2020'!$B$24:$B$106,"&lt;&gt;Playoffs")</x:f>
        <x:v>7</x:v>
      </x:c>
      <x:c r="D8" s="22" t="n">
        <x:f>COUNTIFS('2020'!$J$24:$J$106,A8,'2020'!$B$24:$B$106,"&lt;&gt;Playoffs")</x:f>
        <x:v>6</x:v>
      </x:c>
      <x:c r="E8" s="22" t="n">
        <x:f>COUNTIFS('2020'!$C$24:$C$106,A8,'2020'!$K$24:$K$106,1,'2020'!$B$24:$B$106,"&lt;&gt;Playoffs")+COUNTIFS('2020'!$F$24:$F$106,A8,'2020'!$K$24:$K$106,1,'2020'!$B$24:$B$106,"&lt;&gt;Playoffs")</x:f>
        <x:v>0</x:v>
      </x:c>
      <x:c r="F8" s="22" t="n">
        <x:f>SUM(C8:E8)</x:f>
        <x:v>13</x:v>
      </x:c>
      <x:c r="G8" s="23" t="n">
        <x:f>IF(F8=0,0,(C8+0.5*E8)/F8)</x:f>
        <x:v>0.5384615384615384</x:v>
      </x:c>
      <x:c r="H8" s="24" t="n">
        <x:f>SUMIFS('2020'!$E$24:$E$106,'2020'!$C$24:$C$106,A8,'2020'!$B$24:$B$106,"&lt;&gt;Playoffs")+SUMIFS('2020'!$H$24:$H$106,'2020'!$F$24:$F$106,A8,'2020'!$B$24:$B$106,"&lt;&gt;Playoffs")</x:f>
        <x:v>1498</x:v>
      </x:c>
      <x:c r="I8" s="24" t="n">
        <x:f>SUMIFS('2020'!$H$24:$H$106,'2020'!$C$24:$C$106,A8,'2020'!$B$24:$B$106,"&lt;&gt;Playoffs")+SUMIFS('2020'!$E$24:$E$106,'2020'!$F$24:$F$106,A8,'2020'!$B$24:$B$106,"&lt;&gt;Playoffs")</x:f>
        <x:v>1394</x:v>
      </x:c>
      <x:c r="J8" s="22" t="n">
        <x:v>12</x:v>
      </x:c>
      <x:c r="K8" s="22" t="n">
        <x:v>0</x:v>
      </x:c>
      <x:c r="L8" s="22" t="n">
        <x:v>5</x:v>
      </x:c>
    </x:row>
    <x:row r="9" ht="22" customHeight="1">
      <x:c r="A9" s="2" t="str">
        <x:v>Craig</x:v>
      </x:c>
      <x:c r="B9" s="2" t="str">
        <x:v>The Ants Marching</x:v>
      </x:c>
      <x:c r="C9" s="2" t="n">
        <x:f>COUNTIFS('2020'!$I$24:$I$106,A9,'2020'!$B$24:$B$106,"&lt;&gt;Playoffs")</x:f>
        <x:v>6</x:v>
      </x:c>
      <x:c r="D9" s="2" t="n">
        <x:f>COUNTIFS('2020'!$J$24:$J$106,A9,'2020'!$B$24:$B$106,"&lt;&gt;Playoffs")</x:f>
        <x:v>7</x:v>
      </x:c>
      <x:c r="E9" s="2" t="n">
        <x:f>COUNTIFS('2020'!$C$24:$C$106,A9,'2020'!$K$24:$K$106,1,'2020'!$B$24:$B$106,"&lt;&gt;Playoffs")+COUNTIFS('2020'!$F$24:$F$106,A9,'2020'!$K$24:$K$106,1,'2020'!$B$24:$B$106,"&lt;&gt;Playoffs")</x:f>
        <x:v>0</x:v>
      </x:c>
      <x:c r="F9" s="2" t="n">
        <x:f>SUM(C9:E9)</x:f>
        <x:v>13</x:v>
      </x:c>
      <x:c r="G9" s="11" t="n">
        <x:f>IF(F9=0,0,(C9+0.5*E9)/F9)</x:f>
        <x:v>0.46153846153846156</x:v>
      </x:c>
      <x:c r="H9" s="13" t="n">
        <x:f>SUMIFS('2020'!$E$24:$E$106,'2020'!$C$24:$C$106,A9,'2020'!$B$24:$B$106,"&lt;&gt;Playoffs")+SUMIFS('2020'!$H$24:$H$106,'2020'!$F$24:$F$106,A9,'2020'!$B$24:$B$106,"&lt;&gt;Playoffs")</x:f>
        <x:v>1610</x:v>
      </x:c>
      <x:c r="I9" s="13" t="n">
        <x:f>SUMIFS('2020'!$H$24:$H$106,'2020'!$C$24:$C$106,A9,'2020'!$B$24:$B$106,"&lt;&gt;Playoffs")+SUMIFS('2020'!$E$24:$E$106,'2020'!$F$24:$F$106,A9,'2020'!$B$24:$B$106,"&lt;&gt;Playoffs")</x:f>
        <x:v>1642</x:v>
      </x:c>
      <x:c r="J9" s="2" t="n">
        <x:v>11</x:v>
      </x:c>
      <x:c r="K9" s="2" t="n">
        <x:v>2</x:v>
      </x:c>
      <x:c r="L9" s="2" t="n">
        <x:v>3</x:v>
      </x:c>
    </x:row>
    <x:row r="10" ht="22" customHeight="1">
      <x:c r="A10" s="22" t="str">
        <x:v>Dave</x:v>
      </x:c>
      <x:c r="B10" s="22" t="str">
        <x:v>2 Girls 1 Kupp</x:v>
      </x:c>
      <x:c r="C10" s="22" t="n">
        <x:f>COUNTIFS('2020'!$I$24:$I$106,A10,'2020'!$B$24:$B$106,"&lt;&gt;Playoffs")</x:f>
        <x:v>7</x:v>
      </x:c>
      <x:c r="D10" s="22" t="n">
        <x:f>COUNTIFS('2020'!$J$24:$J$106,A10,'2020'!$B$24:$B$106,"&lt;&gt;Playoffs")</x:f>
        <x:v>5</x:v>
      </x:c>
      <x:c r="E10" s="22" t="n">
        <x:f>COUNTIFS('2020'!$C$24:$C$106,A10,'2020'!$K$24:$K$106,1,'2020'!$B$24:$B$106,"&lt;&gt;Playoffs")+COUNTIFS('2020'!$F$24:$F$106,A10,'2020'!$K$24:$K$106,1,'2020'!$B$24:$B$106,"&lt;&gt;Playoffs")</x:f>
        <x:v>1</x:v>
      </x:c>
      <x:c r="F10" s="22" t="n">
        <x:f>SUM(C10:E10)</x:f>
        <x:v>13</x:v>
      </x:c>
      <x:c r="G10" s="23" t="n">
        <x:f>IF(F10=0,0,(C10+0.5*E10)/F10)</x:f>
        <x:v>0.5769230769230769</x:v>
      </x:c>
      <x:c r="H10" s="24" t="n">
        <x:f>SUMIFS('2020'!$E$24:$E$106,'2020'!$C$24:$C$106,A10,'2020'!$B$24:$B$106,"&lt;&gt;Playoffs")+SUMIFS('2020'!$H$24:$H$106,'2020'!$F$24:$F$106,A10,'2020'!$B$24:$B$106,"&lt;&gt;Playoffs")</x:f>
        <x:v>1510</x:v>
      </x:c>
      <x:c r="I10" s="24" t="n">
        <x:f>SUMIFS('2020'!$H$24:$H$106,'2020'!$C$24:$C$106,A10,'2020'!$B$24:$B$106,"&lt;&gt;Playoffs")+SUMIFS('2020'!$E$24:$E$106,'2020'!$F$24:$F$106,A10,'2020'!$B$24:$B$106,"&lt;&gt;Playoffs")</x:f>
        <x:v>1471</x:v>
      </x:c>
      <x:c r="J10" s="22" t="n">
        <x:v>21</x:v>
      </x:c>
      <x:c r="K10" s="22" t="n">
        <x:v>1</x:v>
      </x:c>
      <x:c r="L10" s="22" t="n">
        <x:v>11</x:v>
      </x:c>
    </x:row>
    <x:row r="11" ht="22" customHeight="1">
      <x:c r="A11" s="2" t="str">
        <x:v>Ed</x:v>
      </x:c>
      <x:c r="B11" s="2" t="str">
        <x:v>Club Eroticas Finest</x:v>
      </x:c>
      <x:c r="C11" s="2" t="n">
        <x:f>COUNTIFS('2020'!$I$24:$I$106,A11,'2020'!$B$24:$B$106,"&lt;&gt;Playoffs")</x:f>
        <x:v>7</x:v>
      </x:c>
      <x:c r="D11" s="2" t="n">
        <x:f>COUNTIFS('2020'!$J$24:$J$106,A11,'2020'!$B$24:$B$106,"&lt;&gt;Playoffs")</x:f>
        <x:v>6</x:v>
      </x:c>
      <x:c r="E11" s="2" t="n">
        <x:f>COUNTIFS('2020'!$C$24:$C$106,A11,'2020'!$K$24:$K$106,1,'2020'!$B$24:$B$106,"&lt;&gt;Playoffs")+COUNTIFS('2020'!$F$24:$F$106,A11,'2020'!$K$24:$K$106,1,'2020'!$B$24:$B$106,"&lt;&gt;Playoffs")</x:f>
        <x:v>0</x:v>
      </x:c>
      <x:c r="F11" s="2" t="n">
        <x:f>SUM(C11:E11)</x:f>
        <x:v>13</x:v>
      </x:c>
      <x:c r="G11" s="11" t="n">
        <x:f>IF(F11=0,0,(C11+0.5*E11)/F11)</x:f>
        <x:v>0.5384615384615384</x:v>
      </x:c>
      <x:c r="H11" s="13" t="n">
        <x:f>SUMIFS('2020'!$E$24:$E$106,'2020'!$C$24:$C$106,A11,'2020'!$B$24:$B$106,"&lt;&gt;Playoffs")+SUMIFS('2020'!$H$24:$H$106,'2020'!$F$24:$F$106,A11,'2020'!$B$24:$B$106,"&lt;&gt;Playoffs")</x:f>
        <x:v>1522</x:v>
      </x:c>
      <x:c r="I11" s="13" t="n">
        <x:f>SUMIFS('2020'!$H$24:$H$106,'2020'!$C$24:$C$106,A11,'2020'!$B$24:$B$106,"&lt;&gt;Playoffs")+SUMIFS('2020'!$E$24:$E$106,'2020'!$F$24:$F$106,A11,'2020'!$B$24:$B$106,"&lt;&gt;Playoffs")</x:f>
        <x:v>1563</x:v>
      </x:c>
      <x:c r="J11" s="2" t="n">
        <x:v>9</x:v>
      </x:c>
      <x:c r="K11" s="2" t="n">
        <x:v>0</x:v>
      </x:c>
      <x:c r="L11" s="2" t="n">
        <x:v>6</x:v>
      </x:c>
    </x:row>
    <x:row r="12" ht="22" customHeight="1">
      <x:c r="A12" s="22" t="str">
        <x:v>Frank</x:v>
      </x:c>
      <x:c r="B12" s="22" t="str">
        <x:v>Saquon Deez Nutz</x:v>
      </x:c>
      <x:c r="C12" s="22" t="n">
        <x:f>COUNTIFS('2020'!$I$24:$I$106,A12,'2020'!$B$24:$B$106,"&lt;&gt;Playoffs")</x:f>
        <x:v>0</x:v>
      </x:c>
      <x:c r="D12" s="22" t="n">
        <x:f>COUNTIFS('2020'!$J$24:$J$106,A12,'2020'!$B$24:$B$106,"&lt;&gt;Playoffs")</x:f>
        <x:v>13</x:v>
      </x:c>
      <x:c r="E12" s="22" t="n">
        <x:f>COUNTIFS('2020'!$C$24:$C$106,A12,'2020'!$K$24:$K$106,1,'2020'!$B$24:$B$106,"&lt;&gt;Playoffs")+COUNTIFS('2020'!$F$24:$F$106,A12,'2020'!$K$24:$K$106,1,'2020'!$B$24:$B$106,"&lt;&gt;Playoffs")</x:f>
        <x:v>0</x:v>
      </x:c>
      <x:c r="F12" s="22" t="n">
        <x:f>SUM(C12:E12)</x:f>
        <x:v>13</x:v>
      </x:c>
      <x:c r="G12" s="23" t="n">
        <x:f>IF(F12=0,0,(C12+0.5*E12)/F12)</x:f>
        <x:v>0</x:v>
      </x:c>
      <x:c r="H12" s="24" t="n">
        <x:f>SUMIFS('2020'!$E$24:$E$106,'2020'!$C$24:$C$106,A12,'2020'!$B$24:$B$106,"&lt;&gt;Playoffs")+SUMIFS('2020'!$H$24:$H$106,'2020'!$F$24:$F$106,A12,'2020'!$B$24:$B$106,"&lt;&gt;Playoffs")</x:f>
        <x:v>1401</x:v>
      </x:c>
      <x:c r="I12" s="24" t="n">
        <x:f>SUMIFS('2020'!$H$24:$H$106,'2020'!$C$24:$C$106,A12,'2020'!$B$24:$B$106,"&lt;&gt;Playoffs")+SUMIFS('2020'!$E$24:$E$106,'2020'!$F$24:$F$106,A12,'2020'!$B$24:$B$106,"&lt;&gt;Playoffs")</x:f>
        <x:v>1763</x:v>
      </x:c>
      <x:c r="J12" s="22" t="n">
        <x:v>18</x:v>
      </x:c>
      <x:c r="K12" s="22" t="n">
        <x:v>2</x:v>
      </x:c>
      <x:c r="L12" s="22" t="n">
        <x:v>10</x:v>
      </x:c>
    </x:row>
    <x:row r="13" ht="22" customHeight="1">
      <x:c r="A13" s="2" t="str">
        <x:v>Josh</x:v>
      </x:c>
      <x:c r="B13" s="2" t="str">
        <x:v>Tier 2</x:v>
      </x:c>
      <x:c r="C13" s="2" t="n">
        <x:f>COUNTIFS('2020'!$I$24:$I$106,A13,'2020'!$B$24:$B$106,"&lt;&gt;Playoffs")</x:f>
        <x:v>7</x:v>
      </x:c>
      <x:c r="D13" s="2" t="n">
        <x:f>COUNTIFS('2020'!$J$24:$J$106,A13,'2020'!$B$24:$B$106,"&lt;&gt;Playoffs")</x:f>
        <x:v>4</x:v>
      </x:c>
      <x:c r="E13" s="2" t="n">
        <x:f>COUNTIFS('2020'!$C$24:$C$106,A13,'2020'!$K$24:$K$106,1,'2020'!$B$24:$B$106,"&lt;&gt;Playoffs")+COUNTIFS('2020'!$F$24:$F$106,A13,'2020'!$K$24:$K$106,1,'2020'!$B$24:$B$106,"&lt;&gt;Playoffs")</x:f>
        <x:v>2</x:v>
      </x:c>
      <x:c r="F13" s="2" t="n">
        <x:f>SUM(C13:E13)</x:f>
        <x:v>13</x:v>
      </x:c>
      <x:c r="G13" s="11" t="n">
        <x:f>IF(F13=0,0,(C13+0.5*E13)/F13)</x:f>
        <x:v>0.6153846153846154</x:v>
      </x:c>
      <x:c r="H13" s="13" t="n">
        <x:f>SUMIFS('2020'!$E$24:$E$106,'2020'!$C$24:$C$106,A13,'2020'!$B$24:$B$106,"&lt;&gt;Playoffs")+SUMIFS('2020'!$H$24:$H$106,'2020'!$F$24:$F$106,A13,'2020'!$B$24:$B$106,"&lt;&gt;Playoffs")</x:f>
        <x:v>1472</x:v>
      </x:c>
      <x:c r="I13" s="13" t="n">
        <x:f>SUMIFS('2020'!$H$24:$H$106,'2020'!$C$24:$C$106,A13,'2020'!$B$24:$B$106,"&lt;&gt;Playoffs")+SUMIFS('2020'!$E$24:$E$106,'2020'!$F$24:$F$106,A13,'2020'!$B$24:$B$106,"&lt;&gt;Playoffs")</x:f>
        <x:v>1393</x:v>
      </x:c>
      <x:c r="J13" s="2" t="n">
        <x:v>22</x:v>
      </x:c>
      <x:c r="K13" s="2" t="n">
        <x:v>4</x:v>
      </x:c>
      <x:c r="L13" s="2" t="n">
        <x:v>8</x:v>
      </x:c>
    </x:row>
    <x:row r="14" ht="22" customHeight="1">
      <x:c r="A14" s="22" t="str">
        <x:v>Mark</x:v>
      </x:c>
      <x:c r="B14" s="22" t="str">
        <x:v>wacky waving arms</x:v>
      </x:c>
      <x:c r="C14" s="22" t="n">
        <x:f>COUNTIFS('2020'!$I$24:$I$106,A14,'2020'!$B$24:$B$106,"&lt;&gt;Playoffs")</x:f>
        <x:v>6</x:v>
      </x:c>
      <x:c r="D14" s="22" t="n">
        <x:f>COUNTIFS('2020'!$J$24:$J$106,A14,'2020'!$B$24:$B$106,"&lt;&gt;Playoffs")</x:f>
        <x:v>7</x:v>
      </x:c>
      <x:c r="E14" s="22" t="n">
        <x:f>COUNTIFS('2020'!$C$24:$C$106,A14,'2020'!$K$24:$K$106,1,'2020'!$B$24:$B$106,"&lt;&gt;Playoffs")+COUNTIFS('2020'!$F$24:$F$106,A14,'2020'!$K$24:$K$106,1,'2020'!$B$24:$B$106,"&lt;&gt;Playoffs")</x:f>
        <x:v>0</x:v>
      </x:c>
      <x:c r="F14" s="22" t="n">
        <x:f>SUM(C14:E14)</x:f>
        <x:v>13</x:v>
      </x:c>
      <x:c r="G14" s="23" t="n">
        <x:f>IF(F14=0,0,(C14+0.5*E14)/F14)</x:f>
        <x:v>0.46153846153846156</x:v>
      </x:c>
      <x:c r="H14" s="24" t="n">
        <x:f>SUMIFS('2020'!$E$24:$E$106,'2020'!$C$24:$C$106,A14,'2020'!$B$24:$B$106,"&lt;&gt;Playoffs")+SUMIFS('2020'!$H$24:$H$106,'2020'!$F$24:$F$106,A14,'2020'!$B$24:$B$106,"&lt;&gt;Playoffs")</x:f>
        <x:v>1553</x:v>
      </x:c>
      <x:c r="I14" s="24" t="n">
        <x:f>SUMIFS('2020'!$H$24:$H$106,'2020'!$C$24:$C$106,A14,'2020'!$B$24:$B$106,"&lt;&gt;Playoffs")+SUMIFS('2020'!$E$24:$E$106,'2020'!$F$24:$F$106,A14,'2020'!$B$24:$B$106,"&lt;&gt;Playoffs")</x:f>
        <x:v>1394</x:v>
      </x:c>
      <x:c r="J14" s="22" t="n">
        <x:v>11</x:v>
      </x:c>
      <x:c r="K14" s="22" t="n">
        <x:v>1</x:v>
      </x:c>
      <x:c r="L14" s="22" t="n">
        <x:v>2</x:v>
      </x:c>
    </x:row>
    <x:row r="15" ht="22" customHeight="1">
      <x:c r="A15" s="2" t="str">
        <x:v>Matt</x:v>
      </x:c>
      <x:c r="B15" s="2" t="str">
        <x:v>Mr.Montana</x:v>
      </x:c>
      <x:c r="C15" s="2" t="n">
        <x:f>COUNTIFS('2020'!$I$24:$I$106,A15,'2020'!$B$24:$B$106,"&lt;&gt;Playoffs")</x:f>
        <x:v>7</x:v>
      </x:c>
      <x:c r="D15" s="2" t="n">
        <x:f>COUNTIFS('2020'!$J$24:$J$106,A15,'2020'!$B$24:$B$106,"&lt;&gt;Playoffs")</x:f>
        <x:v>6</x:v>
      </x:c>
      <x:c r="E15" s="2" t="n">
        <x:f>COUNTIFS('2020'!$C$24:$C$106,A15,'2020'!$K$24:$K$106,1,'2020'!$B$24:$B$106,"&lt;&gt;Playoffs")+COUNTIFS('2020'!$F$24:$F$106,A15,'2020'!$K$24:$K$106,1,'2020'!$B$24:$B$106,"&lt;&gt;Playoffs")</x:f>
        <x:v>0</x:v>
      </x:c>
      <x:c r="F15" s="2" t="n">
        <x:f>SUM(C15:E15)</x:f>
        <x:v>13</x:v>
      </x:c>
      <x:c r="G15" s="11" t="n">
        <x:f>IF(F15=0,0,(C15+0.5*E15)/F15)</x:f>
        <x:v>0.5384615384615384</x:v>
      </x:c>
      <x:c r="H15" s="13" t="n">
        <x:f>SUMIFS('2020'!$E$24:$E$106,'2020'!$C$24:$C$106,A15,'2020'!$B$24:$B$106,"&lt;&gt;Playoffs")+SUMIFS('2020'!$H$24:$H$106,'2020'!$F$24:$F$106,A15,'2020'!$B$24:$B$106,"&lt;&gt;Playoffs")</x:f>
        <x:v>1586</x:v>
      </x:c>
      <x:c r="I15" s="13" t="n">
        <x:f>SUMIFS('2020'!$H$24:$H$106,'2020'!$C$24:$C$106,A15,'2020'!$B$24:$B$106,"&lt;&gt;Playoffs")+SUMIFS('2020'!$E$24:$E$106,'2020'!$F$24:$F$106,A15,'2020'!$B$24:$B$106,"&lt;&gt;Playoffs")</x:f>
        <x:v>1495</x:v>
      </x:c>
      <x:c r="J15" s="2" t="n">
        <x:v>27</x:v>
      </x:c>
      <x:c r="K15" s="2" t="n">
        <x:v>0</x:v>
      </x:c>
      <x:c r="L15" s="2" t="n">
        <x:v>12</x:v>
      </x:c>
    </x:row>
    <x:row r="16" ht="22" customHeight="1">
      <x:c r="A16" s="22" t="str">
        <x:v>Mike</x:v>
      </x:c>
      <x:c r="B16" s="22" t="str">
        <x:v>Daniel’s Discount</x:v>
      </x:c>
      <x:c r="C16" s="22" t="n">
        <x:f>COUNTIFS('2020'!$I$24:$I$106,A16,'2020'!$B$24:$B$106,"&lt;&gt;Playoffs")</x:f>
        <x:v>8</x:v>
      </x:c>
      <x:c r="D16" s="22" t="n">
        <x:f>COUNTIFS('2020'!$J$24:$J$106,A16,'2020'!$B$24:$B$106,"&lt;&gt;Playoffs")</x:f>
        <x:v>5</x:v>
      </x:c>
      <x:c r="E16" s="22" t="n">
        <x:f>COUNTIFS('2020'!$C$24:$C$106,A16,'2020'!$K$24:$K$106,1,'2020'!$B$24:$B$106,"&lt;&gt;Playoffs")+COUNTIFS('2020'!$F$24:$F$106,A16,'2020'!$K$24:$K$106,1,'2020'!$B$24:$B$106,"&lt;&gt;Playoffs")</x:f>
        <x:v>0</x:v>
      </x:c>
      <x:c r="F16" s="22" t="n">
        <x:f>SUM(C16:E16)</x:f>
        <x:v>13</x:v>
      </x:c>
      <x:c r="G16" s="23" t="n">
        <x:f>IF(F16=0,0,(C16+0.5*E16)/F16)</x:f>
        <x:v>0.6153846153846154</x:v>
      </x:c>
      <x:c r="H16" s="24" t="n">
        <x:f>SUMIFS('2020'!$E$24:$E$106,'2020'!$C$24:$C$106,A16,'2020'!$B$24:$B$106,"&lt;&gt;Playoffs")+SUMIFS('2020'!$H$24:$H$106,'2020'!$F$24:$F$106,A16,'2020'!$B$24:$B$106,"&lt;&gt;Playoffs")</x:f>
        <x:v>1579</x:v>
      </x:c>
      <x:c r="I16" s="24" t="n">
        <x:f>SUMIFS('2020'!$H$24:$H$106,'2020'!$C$24:$C$106,A16,'2020'!$B$24:$B$106,"&lt;&gt;Playoffs")+SUMIFS('2020'!$E$24:$E$106,'2020'!$F$24:$F$106,A16,'2020'!$B$24:$B$106,"&lt;&gt;Playoffs")</x:f>
        <x:v>1568</x:v>
      </x:c>
      <x:c r="J16" s="22" t="n">
        <x:v>20</x:v>
      </x:c>
      <x:c r="K16" s="22" t="n">
        <x:v>2</x:v>
      </x:c>
      <x:c r="L16" s="22" t="n">
        <x:v>7</x:v>
      </x:c>
    </x:row>
    <x:row r="17" ht="22" customHeight="1">
      <x:c r="A17" s="2" t="str">
        <x:v>Paul</x:v>
      </x:c>
      <x:c r="B17" s="2" t="str">
        <x:v>Space Dogs</x:v>
      </x:c>
      <x:c r="C17" s="2" t="n">
        <x:f>COUNTIFS('2020'!$I$24:$I$106,A17,'2020'!$B$24:$B$106,"&lt;&gt;Playoffs")</x:f>
        <x:v>6</x:v>
      </x:c>
      <x:c r="D17" s="2" t="n">
        <x:f>COUNTIFS('2020'!$J$24:$J$106,A17,'2020'!$B$24:$B$106,"&lt;&gt;Playoffs")</x:f>
        <x:v>7</x:v>
      </x:c>
      <x:c r="E17" s="2" t="n">
        <x:f>COUNTIFS('2020'!$C$24:$C$106,A17,'2020'!$K$24:$K$106,1,'2020'!$B$24:$B$106,"&lt;&gt;Playoffs")+COUNTIFS('2020'!$F$24:$F$106,A17,'2020'!$K$24:$K$106,1,'2020'!$B$24:$B$106,"&lt;&gt;Playoffs")</x:f>
        <x:v>0</x:v>
      </x:c>
      <x:c r="F17" s="2" t="n">
        <x:f>SUM(C17:E17)</x:f>
        <x:v>13</x:v>
      </x:c>
      <x:c r="G17" s="11" t="n">
        <x:f>IF(F17=0,0,(C17+0.5*E17)/F17)</x:f>
        <x:v>0.46153846153846156</x:v>
      </x:c>
      <x:c r="H17" s="13" t="n">
        <x:f>SUMIFS('2020'!$E$24:$E$106,'2020'!$C$24:$C$106,A17,'2020'!$B$24:$B$106,"&lt;&gt;Playoffs")+SUMIFS('2020'!$H$24:$H$106,'2020'!$F$24:$F$106,A17,'2020'!$B$24:$B$106,"&lt;&gt;Playoffs")</x:f>
        <x:v>1489</x:v>
      </x:c>
      <x:c r="I17" s="13" t="n">
        <x:f>SUMIFS('2020'!$H$24:$H$106,'2020'!$C$24:$C$106,A17,'2020'!$B$24:$B$106,"&lt;&gt;Playoffs")+SUMIFS('2020'!$E$24:$E$106,'2020'!$F$24:$F$106,A17,'2020'!$B$24:$B$106,"&lt;&gt;Playoffs")</x:f>
        <x:v>1540</x:v>
      </x:c>
      <x:c r="J17" s="2" t="n">
        <x:v>12</x:v>
      </x:c>
      <x:c r="K17" s="2" t="n">
        <x:v>0</x:v>
      </x:c>
      <x:c r="L17" s="2" t="n">
        <x:v>1</x:v>
      </x:c>
    </x:row>
    <x:row r="18" ht="22" customHeight="1">
      <x:c r="A18" s="22" t="str">
        <x:v>Poker Dude</x:v>
      </x:c>
      <x:c r="B18" s="22" t="str">
        <x:v>james's Team</x:v>
      </x:c>
      <x:c r="C18" s="22" t="n">
        <x:f>COUNTIFS('2020'!$I$24:$I$106,A18,'2020'!$B$24:$B$106,"&lt;&gt;Playoffs")</x:f>
        <x:v>7</x:v>
      </x:c>
      <x:c r="D18" s="22" t="n">
        <x:f>COUNTIFS('2020'!$J$24:$J$106,A18,'2020'!$B$24:$B$106,"&lt;&gt;Playoffs")</x:f>
        <x:v>6</x:v>
      </x:c>
      <x:c r="E18" s="22" t="n">
        <x:f>COUNTIFS('2020'!$C$24:$C$106,A18,'2020'!$K$24:$K$106,1,'2020'!$B$24:$B$106,"&lt;&gt;Playoffs")+COUNTIFS('2020'!$F$24:$F$106,A18,'2020'!$K$24:$K$106,1,'2020'!$B$24:$B$106,"&lt;&gt;Playoffs")</x:f>
        <x:v>0</x:v>
      </x:c>
      <x:c r="F18" s="22" t="n">
        <x:f>SUM(C18:E18)</x:f>
        <x:v>13</x:v>
      </x:c>
      <x:c r="G18" s="23" t="n">
        <x:f>IF(F18=0,0,(C18+0.5*E18)/F18)</x:f>
        <x:v>0.5384615384615384</x:v>
      </x:c>
      <x:c r="H18" s="24" t="n">
        <x:f>SUMIFS('2020'!$E$24:$E$106,'2020'!$C$24:$C$106,A18,'2020'!$B$24:$B$106,"&lt;&gt;Playoffs")+SUMIFS('2020'!$H$24:$H$106,'2020'!$F$24:$F$106,A18,'2020'!$B$24:$B$106,"&lt;&gt;Playoffs")</x:f>
        <x:v>1429</x:v>
      </x:c>
      <x:c r="I18" s="24" t="n">
        <x:f>SUMIFS('2020'!$H$24:$H$106,'2020'!$C$24:$C$106,A18,'2020'!$B$24:$B$106,"&lt;&gt;Playoffs")+SUMIFS('2020'!$E$24:$E$106,'2020'!$F$24:$F$106,A18,'2020'!$B$24:$B$106,"&lt;&gt;Playoffs")</x:f>
        <x:v>1501</x:v>
      </x:c>
      <x:c r="J18" s="22" t="n">
        <x:v>24</x:v>
      </x:c>
      <x:c r="K18" s="22" t="n">
        <x:v>0</x:v>
      </x:c>
      <x:c r="L18" s="22" t="n">
        <x:v>4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18" t="str">
        <x:v>Week</x:v>
      </x:c>
      <x:c r="B23" s="18" t="str">
        <x:v>Phase</x:v>
      </x:c>
      <x:c r="C23" s="18" t="str">
        <x:v>Manager A</x:v>
      </x:c>
      <x:c r="D23" s="18" t="str">
        <x:v>Team A</x:v>
      </x:c>
      <x:c r="E23" s="18" t="str">
        <x:v>Score A</x:v>
      </x:c>
      <x:c r="F23" s="18" t="str">
        <x:v>Manager B</x:v>
      </x:c>
      <x:c r="G23" s="18" t="str">
        <x:v>Team B</x:v>
      </x:c>
      <x:c r="H23" s="18" t="str">
        <x:v>Score B</x:v>
      </x:c>
      <x:c r="I23" s="18" t="str">
        <x:v>Winner</x:v>
      </x:c>
      <x:c r="J23" s="18" t="str">
        <x:v>Loser</x:v>
      </x:c>
      <x:c r="K23" s="18" t="str">
        <x:v>Tie</x:v>
      </x:c>
      <x:c r="L23" s="18" t="str">
        <x:v>Pair</x:v>
      </x:c>
      <x:c r="M23" s="21" t="str">
        <x:v>Round</x:v>
      </x:c>
      <x:c r="N23" s="21" t="str">
        <x:v>Week source</x:v>
      </x:c>
      <x:c r="O23" s="21" t="str">
        <x:v>Source marker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90</x:v>
      </x:c>
      <x:c r="F24" s="2" t="str">
        <x:v>Ben</x:v>
      </x:c>
      <x:c r="G24" s="2" t="str">
        <x:v>NebGilum</x:v>
      </x:c>
      <x:c r="H24" s="15" t="n">
        <x:v>115</x:v>
      </x:c>
      <x:c r="I24" s="2" t="str">
        <x:f>IF(E24&gt;H24,C24,IF(E24&lt;H24,F24,"Tie"))</x:f>
        <x:v>Ben</x:v>
      </x:c>
      <x:c r="J24" s="2" t="str">
        <x:f>IF(E24&gt;H24,F24,IF(E24&lt;H24,C24,"Tie"))</x:f>
        <x:v>Bruce</x:v>
      </x:c>
      <x:c r="K24" s="2" t="n">
        <x:f>IF(E24=H24,1,0)</x:f>
        <x:v>0</x:v>
      </x:c>
      <x:c r="L24" s="2" t="str">
        <x:v>Ben / Bruce</x:v>
      </x:c>
      <x:c r="M24" t="str"/>
      <x:c r="N24" t="str">
        <x:v>Supplied</x:v>
      </x:c>
      <x:c r="O24" t="str"/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170</x:v>
      </x:c>
      <x:c r="F25" s="2" t="str">
        <x:v>Ed</x:v>
      </x:c>
      <x:c r="G25" s="2" t="str">
        <x:v>Club Eroticas Finest</x:v>
      </x:c>
      <x:c r="H25" s="15" t="n">
        <x:v>130</x:v>
      </x:c>
      <x:c r="I25" s="2" t="str">
        <x:f>IF(E25&gt;H25,C25,IF(E25&lt;H25,F25,"Tie"))</x:f>
        <x:v>Craig</x:v>
      </x:c>
      <x:c r="J25" s="2" t="str">
        <x:f>IF(E25&gt;H25,F25,IF(E25&lt;H25,C25,"Tie"))</x:f>
        <x:v>Ed</x:v>
      </x:c>
      <x:c r="K25" s="2" t="n">
        <x:f>IF(E25=H25,1,0)</x:f>
        <x:v>0</x:v>
      </x:c>
      <x:c r="L25" s="2" t="str">
        <x:v>Craig / Ed</x:v>
      </x:c>
      <x:c r="M25" t="str"/>
      <x:c r="N25" t="str">
        <x:v>Supplied</x:v>
      </x:c>
      <x:c r="O25" t="str"/>
    </x:row>
    <x:row r="26" ht="22" customHeight="1">
      <x:c r="A26" s="2" t="n">
        <x:v>1</x:v>
      </x:c>
      <x:c r="B26" s="2" t="str">
        <x:v>Regular</x:v>
      </x:c>
      <x:c r="C26" s="2" t="str">
        <x:v>Dave</x:v>
      </x:c>
      <x:c r="D26" s="2" t="str">
        <x:v>2 Girls 1 Kupp</x:v>
      </x:c>
      <x:c r="E26" s="15" t="n">
        <x:v>127</x:v>
      </x:c>
      <x:c r="F26" s="2" t="str">
        <x:v>Frank</x:v>
      </x:c>
      <x:c r="G26" s="2" t="str">
        <x:v>Saquon Deez Nutz</x:v>
      </x:c>
      <x:c r="H26" s="15" t="n">
        <x:v>117</x:v>
      </x:c>
      <x:c r="I26" s="2" t="str">
        <x:f>IF(E26&gt;H26,C26,IF(E26&lt;H26,F26,"Tie"))</x:f>
        <x:v>Dave</x:v>
      </x:c>
      <x:c r="J26" s="2" t="str">
        <x:f>IF(E26&gt;H26,F26,IF(E26&lt;H26,C26,"Tie"))</x:f>
        <x:v>Frank</x:v>
      </x:c>
      <x:c r="K26" s="2" t="n">
        <x:f>IF(E26=H26,1,0)</x:f>
        <x:v>0</x:v>
      </x:c>
      <x:c r="L26" s="2" t="str">
        <x:v>Dave / Frank</x:v>
      </x:c>
      <x:c r="M26" t="str"/>
      <x:c r="N26" t="str">
        <x:v>Supplied</x:v>
      </x:c>
      <x:c r="O26" t="str"/>
    </x:row>
    <x:row r="27" ht="22" customHeight="1">
      <x:c r="A27" s="2" t="n">
        <x:v>1</x:v>
      </x:c>
      <x:c r="B27" s="2" t="str">
        <x:v>Regular</x:v>
      </x:c>
      <x:c r="C27" s="2" t="str">
        <x:v>Mike</x:v>
      </x:c>
      <x:c r="D27" s="2" t="str">
        <x:v>Daniel’s Discount</x:v>
      </x:c>
      <x:c r="E27" s="15" t="n">
        <x:v>124</x:v>
      </x:c>
      <x:c r="F27" s="2" t="str">
        <x:v>Paul</x:v>
      </x:c>
      <x:c r="G27" s="2" t="str">
        <x:v>Space Dogs</x:v>
      </x:c>
      <x:c r="H27" s="15" t="n">
        <x:v>151</x:v>
      </x:c>
      <x:c r="I27" s="2" t="str">
        <x:f>IF(E27&gt;H27,C27,IF(E27&lt;H27,F27,"Tie"))</x:f>
        <x:v>Paul</x:v>
      </x:c>
      <x:c r="J27" s="2" t="str">
        <x:f>IF(E27&gt;H27,F27,IF(E27&lt;H27,C27,"Tie"))</x:f>
        <x:v>Mike</x:v>
      </x:c>
      <x:c r="K27" s="2" t="n">
        <x:f>IF(E27=H27,1,0)</x:f>
        <x:v>0</x:v>
      </x:c>
      <x:c r="L27" s="2" t="str">
        <x:v>Mike / Paul</x:v>
      </x:c>
      <x:c r="M27" t="str"/>
      <x:c r="N27" t="str">
        <x:v>Supplied</x:v>
      </x:c>
      <x:c r="O27" t="str"/>
    </x:row>
    <x:row r="28" ht="22" customHeight="1">
      <x:c r="A28" s="2" t="n">
        <x:v>1</x:v>
      </x:c>
      <x:c r="B28" s="2" t="str">
        <x:v>Regular</x:v>
      </x:c>
      <x:c r="C28" s="2" t="str">
        <x:v>Josh</x:v>
      </x:c>
      <x:c r="D28" s="2" t="str">
        <x:v>Tier 2</x:v>
      </x:c>
      <x:c r="E28" s="15" t="n">
        <x:v>65</x:v>
      </x:c>
      <x:c r="F28" s="2" t="str">
        <x:v>Mark</x:v>
      </x:c>
      <x:c r="G28" s="2" t="str">
        <x:v>wacky waving arms</x:v>
      </x:c>
      <x:c r="H28" s="15" t="n">
        <x:v>128</x:v>
      </x:c>
      <x:c r="I28" s="2" t="str">
        <x:f>IF(E28&gt;H28,C28,IF(E28&lt;H28,F28,"Tie"))</x:f>
        <x:v>Mark</x:v>
      </x:c>
      <x:c r="J28" s="2" t="str">
        <x:f>IF(E28&gt;H28,F28,IF(E28&lt;H28,C28,"Tie"))</x:f>
        <x:v>Josh</x:v>
      </x:c>
      <x:c r="K28" s="2" t="n">
        <x:f>IF(E28=H28,1,0)</x:f>
        <x:v>0</x:v>
      </x:c>
      <x:c r="L28" s="2" t="str">
        <x:v>Josh / Mark</x:v>
      </x:c>
      <x:c r="M28" t="str"/>
      <x:c r="N28" t="str">
        <x:v>Supplied</x:v>
      </x:c>
      <x:c r="O28" t="str"/>
    </x:row>
    <x:row r="29" ht="22" customHeight="1">
      <x:c r="A29" s="2" t="n">
        <x:v>1</x:v>
      </x:c>
      <x:c r="B29" s="2" t="str">
        <x:v>Regular</x:v>
      </x:c>
      <x:c r="C29" s="2" t="str">
        <x:v>Poker Dude</x:v>
      </x:c>
      <x:c r="D29" s="2" t="str">
        <x:v>james's Team</x:v>
      </x:c>
      <x:c r="E29" s="15" t="n">
        <x:v>85</x:v>
      </x:c>
      <x:c r="F29" s="2" t="str">
        <x:v>Matt</x:v>
      </x:c>
      <x:c r="G29" s="2" t="str">
        <x:v>Mr.Montana</x:v>
      </x:c>
      <x:c r="H29" s="15" t="n">
        <x:v>105</x:v>
      </x:c>
      <x:c r="I29" s="2" t="str">
        <x:f>IF(E29&gt;H29,C29,IF(E29&lt;H29,F29,"Tie"))</x:f>
        <x:v>Matt</x:v>
      </x:c>
      <x:c r="J29" s="2" t="str">
        <x:f>IF(E29&gt;H29,F29,IF(E29&lt;H29,C29,"Tie"))</x:f>
        <x:v>Poker Dude</x:v>
      </x:c>
      <x:c r="K29" s="2" t="n">
        <x:f>IF(E29=H29,1,0)</x:f>
        <x:v>0</x:v>
      </x:c>
      <x:c r="L29" s="2" t="str">
        <x:v>Matt / Poker Dude</x:v>
      </x:c>
      <x:c r="M29" t="str"/>
      <x:c r="N29" t="str">
        <x:v>Supplied</x:v>
      </x:c>
      <x:c r="O29" t="str"/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134</x:v>
      </x:c>
      <x:c r="F30" s="2" t="str">
        <x:v>Mark</x:v>
      </x:c>
      <x:c r="G30" s="2" t="str">
        <x:v>wacky waving arms</x:v>
      </x:c>
      <x:c r="H30" s="15" t="n">
        <x:v>122</x:v>
      </x:c>
      <x:c r="I30" s="2" t="str">
        <x:f>IF(E30&gt;H30,C30,IF(E30&lt;H30,F30,"Tie"))</x:f>
        <x:v>Bruce</x:v>
      </x:c>
      <x:c r="J30" s="2" t="str">
        <x:f>IF(E30&gt;H30,F30,IF(E30&lt;H30,C30,"Tie"))</x:f>
        <x:v>Mark</x:v>
      </x:c>
      <x:c r="K30" s="2" t="n">
        <x:f>IF(E30=H30,1,0)</x:f>
        <x:v>0</x:v>
      </x:c>
      <x:c r="L30" s="2" t="str">
        <x:v>Bruce / Mark</x:v>
      </x:c>
      <x:c r="M30" t="str"/>
      <x:c r="N30" t="str">
        <x:v>Supplied</x:v>
      </x:c>
      <x:c r="O30" t="str"/>
    </x:row>
    <x:row r="31" ht="22" customHeight="1">
      <x:c r="A31" s="2" t="n">
        <x:v>2</x:v>
      </x:c>
      <x:c r="B31" s="2" t="str">
        <x:v>Regular</x:v>
      </x:c>
      <x:c r="C31" s="2" t="str">
        <x:v>Craig</x:v>
      </x:c>
      <x:c r="D31" s="2" t="str">
        <x:v>The Ants Marching</x:v>
      </x:c>
      <x:c r="E31" s="15" t="n">
        <x:v>145</x:v>
      </x:c>
      <x:c r="F31" s="2" t="str">
        <x:v>Matt</x:v>
      </x:c>
      <x:c r="G31" s="2" t="str">
        <x:v>Mr.Montana</x:v>
      </x:c>
      <x:c r="H31" s="15" t="n">
        <x:v>154</x:v>
      </x:c>
      <x:c r="I31" s="2" t="str">
        <x:f>IF(E31&gt;H31,C31,IF(E31&lt;H31,F31,"Tie"))</x:f>
        <x:v>Matt</x:v>
      </x:c>
      <x:c r="J31" s="2" t="str">
        <x:f>IF(E31&gt;H31,F31,IF(E31&lt;H31,C31,"Tie"))</x:f>
        <x:v>Craig</x:v>
      </x:c>
      <x:c r="K31" s="2" t="n">
        <x:f>IF(E31=H31,1,0)</x:f>
        <x:v>0</x:v>
      </x:c>
      <x:c r="L31" s="2" t="str">
        <x:v>Craig / Matt</x:v>
      </x:c>
      <x:c r="M31" t="str"/>
      <x:c r="N31" t="str">
        <x:v>Supplied</x:v>
      </x:c>
      <x:c r="O31" t="str"/>
    </x:row>
    <x:row r="32" ht="22" customHeight="1">
      <x:c r="A32" s="2" t="n">
        <x:v>2</x:v>
      </x:c>
      <x:c r="B32" s="2" t="str">
        <x:v>Regular</x:v>
      </x:c>
      <x:c r="C32" s="2" t="str">
        <x:v>Dave</x:v>
      </x:c>
      <x:c r="D32" s="2" t="str">
        <x:v>2 Girls 1 Kupp</x:v>
      </x:c>
      <x:c r="E32" s="15" t="n">
        <x:v>103</x:v>
      </x:c>
      <x:c r="F32" s="2" t="str">
        <x:v>Ben</x:v>
      </x:c>
      <x:c r="G32" s="2" t="str">
        <x:v>NebGilum</x:v>
      </x:c>
      <x:c r="H32" s="15" t="n">
        <x:v>142</x:v>
      </x:c>
      <x:c r="I32" s="2" t="str">
        <x:f>IF(E32&gt;H32,C32,IF(E32&lt;H32,F32,"Tie"))</x:f>
        <x:v>Ben</x:v>
      </x:c>
      <x:c r="J32" s="2" t="str">
        <x:f>IF(E32&gt;H32,F32,IF(E32&lt;H32,C32,"Tie"))</x:f>
        <x:v>Dave</x:v>
      </x:c>
      <x:c r="K32" s="2" t="n">
        <x:f>IF(E32=H32,1,0)</x:f>
        <x:v>0</x:v>
      </x:c>
      <x:c r="L32" s="2" t="str">
        <x:v>Ben / Dave</x:v>
      </x:c>
      <x:c r="M32" t="str"/>
      <x:c r="N32" t="str">
        <x:v>Supplied</x:v>
      </x:c>
      <x:c r="O32" t="str"/>
    </x:row>
    <x:row r="33" ht="22" customHeight="1">
      <x:c r="A33" s="2" t="n">
        <x:v>2</x:v>
      </x:c>
      <x:c r="B33" s="2" t="str">
        <x:v>Regular</x:v>
      </x:c>
      <x:c r="C33" s="2" t="str">
        <x:v>Ed</x:v>
      </x:c>
      <x:c r="D33" s="2" t="str">
        <x:v>Club Eroticas Finest</x:v>
      </x:c>
      <x:c r="E33" s="15" t="n">
        <x:v>168</x:v>
      </x:c>
      <x:c r="F33" s="2" t="str">
        <x:v>Josh</x:v>
      </x:c>
      <x:c r="G33" s="2" t="str">
        <x:v>Tier 2</x:v>
      </x:c>
      <x:c r="H33" s="15" t="n">
        <x:v>111</x:v>
      </x:c>
      <x:c r="I33" s="2" t="str">
        <x:f>IF(E33&gt;H33,C33,IF(E33&lt;H33,F33,"Tie"))</x:f>
        <x:v>Ed</x:v>
      </x:c>
      <x:c r="J33" s="2" t="str">
        <x:f>IF(E33&gt;H33,F33,IF(E33&lt;H33,C33,"Tie"))</x:f>
        <x:v>Josh</x:v>
      </x:c>
      <x:c r="K33" s="2" t="n">
        <x:f>IF(E33=H33,1,0)</x:f>
        <x:v>0</x:v>
      </x:c>
      <x:c r="L33" s="2" t="str">
        <x:v>Ed / Josh</x:v>
      </x:c>
      <x:c r="M33" t="str"/>
      <x:c r="N33" t="str">
        <x:v>Supplied</x:v>
      </x:c>
      <x:c r="O33" t="str"/>
    </x:row>
    <x:row r="34" ht="22" customHeight="1">
      <x:c r="A34" s="2" t="n">
        <x:v>2</x:v>
      </x:c>
      <x:c r="B34" s="2" t="str">
        <x:v>Regular</x:v>
      </x:c>
      <x:c r="C34" s="2" t="str">
        <x:v>Frank</x:v>
      </x:c>
      <x:c r="D34" s="2" t="str">
        <x:v>Saquon Deez Nutz</x:v>
      </x:c>
      <x:c r="E34" s="15" t="n">
        <x:v>105</x:v>
      </x:c>
      <x:c r="F34" s="2" t="str">
        <x:v>Paul</x:v>
      </x:c>
      <x:c r="G34" s="2" t="str">
        <x:v>Space Dogs</x:v>
      </x:c>
      <x:c r="H34" s="15" t="n">
        <x:v>144</x:v>
      </x:c>
      <x:c r="I34" s="2" t="str">
        <x:f>IF(E34&gt;H34,C34,IF(E34&lt;H34,F34,"Tie"))</x:f>
        <x:v>Paul</x:v>
      </x:c>
      <x:c r="J34" s="2" t="str">
        <x:f>IF(E34&gt;H34,F34,IF(E34&lt;H34,C34,"Tie"))</x:f>
        <x:v>Frank</x:v>
      </x:c>
      <x:c r="K34" s="2" t="n">
        <x:f>IF(E34=H34,1,0)</x:f>
        <x:v>0</x:v>
      </x:c>
      <x:c r="L34" s="2" t="str">
        <x:v>Frank / Paul</x:v>
      </x:c>
      <x:c r="M34" t="str"/>
      <x:c r="N34" t="str">
        <x:v>Supplied</x:v>
      </x:c>
      <x:c r="O34" t="str"/>
    </x:row>
    <x:row r="35" ht="22" customHeight="1">
      <x:c r="A35" s="2" t="n">
        <x:v>2</x:v>
      </x:c>
      <x:c r="B35" s="2" t="str">
        <x:v>Regular</x:v>
      </x:c>
      <x:c r="C35" s="2" t="str">
        <x:v>Mike</x:v>
      </x:c>
      <x:c r="D35" s="2" t="str">
        <x:v>Daniel’s Discount</x:v>
      </x:c>
      <x:c r="E35" s="15" t="n">
        <x:v>125</x:v>
      </x:c>
      <x:c r="F35" s="2" t="str">
        <x:v>Poker Dude</x:v>
      </x:c>
      <x:c r="G35" s="2" t="str">
        <x:v>james's Team</x:v>
      </x:c>
      <x:c r="H35" s="15" t="n">
        <x:v>107</x:v>
      </x:c>
      <x:c r="I35" s="2" t="str">
        <x:f>IF(E35&gt;H35,C35,IF(E35&lt;H35,F35,"Tie"))</x:f>
        <x:v>Mike</x:v>
      </x:c>
      <x:c r="J35" s="2" t="str">
        <x:f>IF(E35&gt;H35,F35,IF(E35&lt;H35,C35,"Tie"))</x:f>
        <x:v>Poker Dude</x:v>
      </x:c>
      <x:c r="K35" s="2" t="n">
        <x:f>IF(E35=H35,1,0)</x:f>
        <x:v>0</x:v>
      </x:c>
      <x:c r="L35" s="2" t="str">
        <x:v>Mike / Poker Dude</x:v>
      </x:c>
      <x:c r="M35" t="str"/>
      <x:c r="N35" t="str">
        <x:v>Supplied</x:v>
      </x:c>
      <x:c r="O35" t="str"/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176</x:v>
      </x:c>
      <x:c r="F36" s="2" t="str">
        <x:v>Frank</x:v>
      </x:c>
      <x:c r="G36" s="2" t="str">
        <x:v>Saquon Deez Nutz</x:v>
      </x:c>
      <x:c r="H36" s="15" t="n">
        <x:v>77</x:v>
      </x:c>
      <x:c r="I36" s="2" t="str">
        <x:f>IF(E36&gt;H36,C36,IF(E36&lt;H36,F36,"Tie"))</x:f>
        <x:v>Bruce</x:v>
      </x:c>
      <x:c r="J36" s="2" t="str">
        <x:f>IF(E36&gt;H36,F36,IF(E36&lt;H36,C36,"Tie"))</x:f>
        <x:v>Frank</x:v>
      </x:c>
      <x:c r="K36" s="2" t="n">
        <x:f>IF(E36=H36,1,0)</x:f>
        <x:v>0</x:v>
      </x:c>
      <x:c r="L36" s="2" t="str">
        <x:v>Bruce / Frank</x:v>
      </x:c>
      <x:c r="M36" t="str"/>
      <x:c r="N36" t="str">
        <x:v>Supplied</x:v>
      </x:c>
      <x:c r="O36" t="str"/>
    </x:row>
    <x:row r="37" ht="22" customHeight="1">
      <x:c r="A37" s="2" t="n">
        <x:v>3</x:v>
      </x:c>
      <x:c r="B37" s="2" t="str">
        <x:v>Regular</x:v>
      </x:c>
      <x:c r="C37" s="2" t="str">
        <x:v>Craig</x:v>
      </x:c>
      <x:c r="D37" s="2" t="str">
        <x:v>The Ants Marching</x:v>
      </x:c>
      <x:c r="E37" s="15" t="n">
        <x:v>125</x:v>
      </x:c>
      <x:c r="F37" s="2" t="str">
        <x:v>Poker Dude</x:v>
      </x:c>
      <x:c r="G37" s="2" t="str">
        <x:v>james's Team</x:v>
      </x:c>
      <x:c r="H37" s="15" t="n">
        <x:v>118</x:v>
      </x:c>
      <x:c r="I37" s="2" t="str">
        <x:f>IF(E37&gt;H37,C37,IF(E37&lt;H37,F37,"Tie"))</x:f>
        <x:v>Craig</x:v>
      </x:c>
      <x:c r="J37" s="2" t="str">
        <x:f>IF(E37&gt;H37,F37,IF(E37&lt;H37,C37,"Tie"))</x:f>
        <x:v>Poker Dude</x:v>
      </x:c>
      <x:c r="K37" s="2" t="n">
        <x:f>IF(E37=H37,1,0)</x:f>
        <x:v>0</x:v>
      </x:c>
      <x:c r="L37" s="2" t="str">
        <x:v>Craig / Poker Dude</x:v>
      </x:c>
      <x:c r="M37" t="str"/>
      <x:c r="N37" t="str">
        <x:v>Supplied</x:v>
      </x:c>
      <x:c r="O37" t="str"/>
    </x:row>
    <x:row r="38" ht="22" customHeight="1">
      <x:c r="A38" s="2" t="n">
        <x:v>3</x:v>
      </x:c>
      <x:c r="B38" s="2" t="str">
        <x:v>Regular</x:v>
      </x:c>
      <x:c r="C38" s="2" t="str">
        <x:v>Dave</x:v>
      </x:c>
      <x:c r="D38" s="2" t="str">
        <x:v>2 Girls 1 Kupp</x:v>
      </x:c>
      <x:c r="E38" s="15" t="n">
        <x:v>111</x:v>
      </x:c>
      <x:c r="F38" s="2" t="str">
        <x:v>Mike</x:v>
      </x:c>
      <x:c r="G38" s="2" t="str">
        <x:v>Daniel’s Discount</x:v>
      </x:c>
      <x:c r="H38" s="15" t="n">
        <x:v>114</x:v>
      </x:c>
      <x:c r="I38" s="2" t="str">
        <x:f>IF(E38&gt;H38,C38,IF(E38&lt;H38,F38,"Tie"))</x:f>
        <x:v>Mike</x:v>
      </x:c>
      <x:c r="J38" s="2" t="str">
        <x:f>IF(E38&gt;H38,F38,IF(E38&lt;H38,C38,"Tie"))</x:f>
        <x:v>Dave</x:v>
      </x:c>
      <x:c r="K38" s="2" t="n">
        <x:f>IF(E38=H38,1,0)</x:f>
        <x:v>0</x:v>
      </x:c>
      <x:c r="L38" s="2" t="str">
        <x:v>Dave / Mike</x:v>
      </x:c>
      <x:c r="M38" t="str"/>
      <x:c r="N38" t="str">
        <x:v>Supplied</x:v>
      </x:c>
      <x:c r="O38" t="str"/>
    </x:row>
    <x:row r="39" ht="22" customHeight="1">
      <x:c r="A39" s="2" t="n">
        <x:v>3</x:v>
      </x:c>
      <x:c r="B39" s="2" t="str">
        <x:v>Regular</x:v>
      </x:c>
      <x:c r="C39" s="2" t="str">
        <x:v>Ed</x:v>
      </x:c>
      <x:c r="D39" s="2" t="str">
        <x:v>Club Eroticas Finest</x:v>
      </x:c>
      <x:c r="E39" s="15" t="n">
        <x:v>141</x:v>
      </x:c>
      <x:c r="F39" s="2" t="str">
        <x:v>Mark</x:v>
      </x:c>
      <x:c r="G39" s="2" t="str">
        <x:v>wacky waving arms</x:v>
      </x:c>
      <x:c r="H39" s="15" t="n">
        <x:v>139</x:v>
      </x:c>
      <x:c r="I39" s="2" t="str">
        <x:f>IF(E39&gt;H39,C39,IF(E39&lt;H39,F39,"Tie"))</x:f>
        <x:v>Ed</x:v>
      </x:c>
      <x:c r="J39" s="2" t="str">
        <x:f>IF(E39&gt;H39,F39,IF(E39&lt;H39,C39,"Tie"))</x:f>
        <x:v>Mark</x:v>
      </x:c>
      <x:c r="K39" s="2" t="n">
        <x:f>IF(E39=H39,1,0)</x:f>
        <x:v>0</x:v>
      </x:c>
      <x:c r="L39" s="2" t="str">
        <x:v>Ed / Mark</x:v>
      </x:c>
      <x:c r="M39" t="str"/>
      <x:c r="N39" t="str">
        <x:v>Supplied</x:v>
      </x:c>
      <x:c r="O39" t="str"/>
    </x:row>
    <x:row r="40" ht="22" customHeight="1">
      <x:c r="A40" s="2" t="n">
        <x:v>3</x:v>
      </x:c>
      <x:c r="B40" s="2" t="str">
        <x:v>Regular</x:v>
      </x:c>
      <x:c r="C40" s="2" t="str">
        <x:v>Josh</x:v>
      </x:c>
      <x:c r="D40" s="2" t="str">
        <x:v>Tier 2</x:v>
      </x:c>
      <x:c r="E40" s="15" t="n">
        <x:v>119</x:v>
      </x:c>
      <x:c r="F40" s="2" t="str">
        <x:v>Ben</x:v>
      </x:c>
      <x:c r="G40" s="2" t="str">
        <x:v>NebGilum</x:v>
      </x:c>
      <x:c r="H40" s="15" t="n">
        <x:v>119</x:v>
      </x:c>
      <x:c r="I40" s="2" t="str">
        <x:f>IF(E40&gt;H40,C40,IF(E40&lt;H40,F40,"Tie"))</x:f>
        <x:v>Tie</x:v>
      </x:c>
      <x:c r="J40" s="2" t="str">
        <x:f>IF(E40&gt;H40,F40,IF(E40&lt;H40,C40,"Tie"))</x:f>
        <x:v>Tie</x:v>
      </x:c>
      <x:c r="K40" s="2" t="n">
        <x:f>IF(E40=H40,1,0)</x:f>
        <x:v>1</x:v>
      </x:c>
      <x:c r="L40" s="2" t="str">
        <x:v>Ben / Josh</x:v>
      </x:c>
      <x:c r="M40" t="str"/>
      <x:c r="N40" t="str">
        <x:v>Supplied</x:v>
      </x:c>
      <x:c r="O40" t="str"/>
    </x:row>
    <x:row r="41" ht="22" customHeight="1">
      <x:c r="A41" s="2" t="n">
        <x:v>3</x:v>
      </x:c>
      <x:c r="B41" s="2" t="str">
        <x:v>Regular</x:v>
      </x:c>
      <x:c r="C41" s="2" t="str">
        <x:v>Paul</x:v>
      </x:c>
      <x:c r="D41" s="2" t="str">
        <x:v>Space Dogs</x:v>
      </x:c>
      <x:c r="E41" s="15" t="n">
        <x:v>117</x:v>
      </x:c>
      <x:c r="F41" s="2" t="str">
        <x:v>Matt</x:v>
      </x:c>
      <x:c r="G41" s="2" t="str">
        <x:v>Mr.Montana</x:v>
      </x:c>
      <x:c r="H41" s="15" t="n">
        <x:v>110</x:v>
      </x:c>
      <x:c r="I41" s="2" t="str">
        <x:f>IF(E41&gt;H41,C41,IF(E41&lt;H41,F41,"Tie"))</x:f>
        <x:v>Paul</x:v>
      </x:c>
      <x:c r="J41" s="2" t="str">
        <x:f>IF(E41&gt;H41,F41,IF(E41&lt;H41,C41,"Tie"))</x:f>
        <x:v>Matt</x:v>
      </x:c>
      <x:c r="K41" s="2" t="n">
        <x:f>IF(E41=H41,1,0)</x:f>
        <x:v>0</x:v>
      </x:c>
      <x:c r="L41" s="2" t="str">
        <x:v>Matt / Paul</x:v>
      </x:c>
      <x:c r="M41" t="str"/>
      <x:c r="N41" t="str">
        <x:v>Supplied</x:v>
      </x:c>
      <x:c r="O41" t="str"/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104</x:v>
      </x:c>
      <x:c r="F42" s="2" t="str">
        <x:v>Paul</x:v>
      </x:c>
      <x:c r="G42" s="2" t="str">
        <x:v>Space Dogs</x:v>
      </x:c>
      <x:c r="H42" s="15" t="n">
        <x:v>91</x:v>
      </x:c>
      <x:c r="I42" s="2" t="str">
        <x:f>IF(E42&gt;H42,C42,IF(E42&lt;H42,F42,"Tie"))</x:f>
        <x:v>Bruce</x:v>
      </x:c>
      <x:c r="J42" s="2" t="str">
        <x:f>IF(E42&gt;H42,F42,IF(E42&lt;H42,C42,"Tie"))</x:f>
        <x:v>Paul</x:v>
      </x:c>
      <x:c r="K42" s="2" t="n">
        <x:f>IF(E42=H42,1,0)</x:f>
        <x:v>0</x:v>
      </x:c>
      <x:c r="L42" s="2" t="str">
        <x:v>Bruce / Paul</x:v>
      </x:c>
      <x:c r="M42" t="str"/>
      <x:c r="N42" t="str">
        <x:v>Supplied</x:v>
      </x:c>
      <x:c r="O42" t="str"/>
    </x:row>
    <x:row r="43" ht="22" customHeight="1">
      <x:c r="A43" s="2" t="n">
        <x:v>4</x:v>
      </x:c>
      <x:c r="B43" s="2" t="str">
        <x:v>Regular</x:v>
      </x:c>
      <x:c r="C43" s="2" t="str">
        <x:v>Craig</x:v>
      </x:c>
      <x:c r="D43" s="2" t="str">
        <x:v>The Ants Marching</x:v>
      </x:c>
      <x:c r="E43" s="15" t="n">
        <x:v>108</x:v>
      </x:c>
      <x:c r="F43" s="2" t="str">
        <x:v>Dave</x:v>
      </x:c>
      <x:c r="G43" s="2" t="str">
        <x:v>2 Girls 1 Kupp</x:v>
      </x:c>
      <x:c r="H43" s="15" t="n">
        <x:v>124</x:v>
      </x:c>
      <x:c r="I43" s="2" t="str">
        <x:f>IF(E43&gt;H43,C43,IF(E43&lt;H43,F43,"Tie"))</x:f>
        <x:v>Dave</x:v>
      </x:c>
      <x:c r="J43" s="2" t="str">
        <x:f>IF(E43&gt;H43,F43,IF(E43&lt;H43,C43,"Tie"))</x:f>
        <x:v>Craig</x:v>
      </x:c>
      <x:c r="K43" s="2" t="n">
        <x:f>IF(E43=H43,1,0)</x:f>
        <x:v>0</x:v>
      </x:c>
      <x:c r="L43" s="2" t="str">
        <x:v>Craig / Dave</x:v>
      </x:c>
      <x:c r="M43" t="str"/>
      <x:c r="N43" t="str">
        <x:v>Supplied</x:v>
      </x:c>
      <x:c r="O43" t="str"/>
    </x:row>
    <x:row r="44" ht="22" customHeight="1">
      <x:c r="A44" s="2" t="n">
        <x:v>4</x:v>
      </x:c>
      <x:c r="B44" s="2" t="str">
        <x:v>Regular</x:v>
      </x:c>
      <x:c r="C44" s="2" t="str">
        <x:v>Ed</x:v>
      </x:c>
      <x:c r="D44" s="2" t="str">
        <x:v>Club Eroticas Finest</x:v>
      </x:c>
      <x:c r="E44" s="15" t="n">
        <x:v>103</x:v>
      </x:c>
      <x:c r="F44" s="2" t="str">
        <x:v>Matt</x:v>
      </x:c>
      <x:c r="G44" s="2" t="str">
        <x:v>Mr.Montana</x:v>
      </x:c>
      <x:c r="H44" s="15" t="n">
        <x:v>149</x:v>
      </x:c>
      <x:c r="I44" s="2" t="str">
        <x:f>IF(E44&gt;H44,C44,IF(E44&lt;H44,F44,"Tie"))</x:f>
        <x:v>Matt</x:v>
      </x:c>
      <x:c r="J44" s="2" t="str">
        <x:f>IF(E44&gt;H44,F44,IF(E44&lt;H44,C44,"Tie"))</x:f>
        <x:v>Ed</x:v>
      </x:c>
      <x:c r="K44" s="2" t="n">
        <x:f>IF(E44=H44,1,0)</x:f>
        <x:v>0</x:v>
      </x:c>
      <x:c r="L44" s="2" t="str">
        <x:v>Ed / Matt</x:v>
      </x:c>
      <x:c r="M44" t="str"/>
      <x:c r="N44" t="str">
        <x:v>Supplied</x:v>
      </x:c>
      <x:c r="O44" t="str"/>
    </x:row>
    <x:row r="45" ht="22" customHeight="1">
      <x:c r="A45" s="2" t="n">
        <x:v>4</x:v>
      </x:c>
      <x:c r="B45" s="2" t="str">
        <x:v>Regular</x:v>
      </x:c>
      <x:c r="C45" s="2" t="str">
        <x:v>Frank</x:v>
      </x:c>
      <x:c r="D45" s="2" t="str">
        <x:v>Saquon Deez Nutz</x:v>
      </x:c>
      <x:c r="E45" s="15" t="n">
        <x:v>80</x:v>
      </x:c>
      <x:c r="F45" s="2" t="str">
        <x:v>Ben</x:v>
      </x:c>
      <x:c r="G45" s="2" t="str">
        <x:v>NebGilum</x:v>
      </x:c>
      <x:c r="H45" s="15" t="n">
        <x:v>91</x:v>
      </x:c>
      <x:c r="I45" s="2" t="str">
        <x:f>IF(E45&gt;H45,C45,IF(E45&lt;H45,F45,"Tie"))</x:f>
        <x:v>Ben</x:v>
      </x:c>
      <x:c r="J45" s="2" t="str">
        <x:f>IF(E45&gt;H45,F45,IF(E45&lt;H45,C45,"Tie"))</x:f>
        <x:v>Frank</x:v>
      </x:c>
      <x:c r="K45" s="2" t="n">
        <x:f>IF(E45=H45,1,0)</x:f>
        <x:v>0</x:v>
      </x:c>
      <x:c r="L45" s="2" t="str">
        <x:v>Ben / Frank</x:v>
      </x:c>
      <x:c r="M45" t="str"/>
      <x:c r="N45" t="str">
        <x:v>Supplied</x:v>
      </x:c>
      <x:c r="O45" t="str"/>
    </x:row>
    <x:row r="46" ht="22" customHeight="1">
      <x:c r="A46" s="2" t="n">
        <x:v>4</x:v>
      </x:c>
      <x:c r="B46" s="2" t="str">
        <x:v>Regular</x:v>
      </x:c>
      <x:c r="C46" s="2" t="str">
        <x:v>Mike</x:v>
      </x:c>
      <x:c r="D46" s="2" t="str">
        <x:v>Daniel’s Discount</x:v>
      </x:c>
      <x:c r="E46" s="15" t="n">
        <x:v>113</x:v>
      </x:c>
      <x:c r="F46" s="2" t="str">
        <x:v>Mark</x:v>
      </x:c>
      <x:c r="G46" s="2" t="str">
        <x:v>wacky waving arms</x:v>
      </x:c>
      <x:c r="H46" s="15" t="n">
        <x:v>174</x:v>
      </x:c>
      <x:c r="I46" s="2" t="str">
        <x:f>IF(E46&gt;H46,C46,IF(E46&lt;H46,F46,"Tie"))</x:f>
        <x:v>Mark</x:v>
      </x:c>
      <x:c r="J46" s="2" t="str">
        <x:f>IF(E46&gt;H46,F46,IF(E46&lt;H46,C46,"Tie"))</x:f>
        <x:v>Mike</x:v>
      </x:c>
      <x:c r="K46" s="2" t="n">
        <x:f>IF(E46=H46,1,0)</x:f>
        <x:v>0</x:v>
      </x:c>
      <x:c r="L46" s="2" t="str">
        <x:v>Mark / Mike</x:v>
      </x:c>
      <x:c r="M46" t="str"/>
      <x:c r="N46" t="str">
        <x:v>Supplied</x:v>
      </x:c>
      <x:c r="O46" t="str"/>
    </x:row>
    <x:row r="47" ht="22" customHeight="1">
      <x:c r="A47" s="2" t="n">
        <x:v>4</x:v>
      </x:c>
      <x:c r="B47" s="2" t="str">
        <x:v>Regular</x:v>
      </x:c>
      <x:c r="C47" s="2" t="str">
        <x:v>Josh</x:v>
      </x:c>
      <x:c r="D47" s="2" t="str">
        <x:v>Tier 2</x:v>
      </x:c>
      <x:c r="E47" s="15" t="n">
        <x:v>157</x:v>
      </x:c>
      <x:c r="F47" s="2" t="str">
        <x:v>Poker Dude</x:v>
      </x:c>
      <x:c r="G47" s="2" t="str">
        <x:v>james's Team</x:v>
      </x:c>
      <x:c r="H47" s="15" t="n">
        <x:v>125</x:v>
      </x:c>
      <x:c r="I47" s="2" t="str">
        <x:f>IF(E47&gt;H47,C47,IF(E47&lt;H47,F47,"Tie"))</x:f>
        <x:v>Josh</x:v>
      </x:c>
      <x:c r="J47" s="2" t="str">
        <x:f>IF(E47&gt;H47,F47,IF(E47&lt;H47,C47,"Tie"))</x:f>
        <x:v>Poker Dude</x:v>
      </x:c>
      <x:c r="K47" s="2" t="n">
        <x:f>IF(E47=H47,1,0)</x:f>
        <x:v>0</x:v>
      </x:c>
      <x:c r="L47" s="2" t="str">
        <x:v>Josh / Poker Dude</x:v>
      </x:c>
      <x:c r="M47" t="str"/>
      <x:c r="N47" t="str">
        <x:v>Supplied</x:v>
      </x:c>
      <x:c r="O47" t="str"/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121</x:v>
      </x:c>
      <x:c r="F48" s="2" t="str">
        <x:v>Dave</x:v>
      </x:c>
      <x:c r="G48" s="2" t="str">
        <x:v>2 Girls 1 Kupp</x:v>
      </x:c>
      <x:c r="H48" s="15" t="n">
        <x:v>137</x:v>
      </x:c>
      <x:c r="I48" s="2" t="str">
        <x:f>IF(E48&gt;H48,C48,IF(E48&lt;H48,F48,"Tie"))</x:f>
        <x:v>Dave</x:v>
      </x:c>
      <x:c r="J48" s="2" t="str">
        <x:f>IF(E48&gt;H48,F48,IF(E48&lt;H48,C48,"Tie"))</x:f>
        <x:v>Bruce</x:v>
      </x:c>
      <x:c r="K48" s="2" t="n">
        <x:f>IF(E48=H48,1,0)</x:f>
        <x:v>0</x:v>
      </x:c>
      <x:c r="L48" s="2" t="str">
        <x:v>Bruce / Dave</x:v>
      </x:c>
      <x:c r="M48" t="str"/>
      <x:c r="N48" t="str">
        <x:v>Supplied</x:v>
      </x:c>
      <x:c r="O48" t="str"/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141</x:v>
      </x:c>
      <x:c r="F49" s="2" t="str">
        <x:v>Frank</x:v>
      </x:c>
      <x:c r="G49" s="2" t="str">
        <x:v>Saquon Deez Nutz</x:v>
      </x:c>
      <x:c r="H49" s="15" t="n">
        <x:v>109</x:v>
      </x:c>
      <x:c r="I49" s="2" t="str">
        <x:f>IF(E49&gt;H49,C49,IF(E49&lt;H49,F49,"Tie"))</x:f>
        <x:v>Craig</x:v>
      </x:c>
      <x:c r="J49" s="2" t="str">
        <x:f>IF(E49&gt;H49,F49,IF(E49&lt;H49,C49,"Tie"))</x:f>
        <x:v>Frank</x:v>
      </x:c>
      <x:c r="K49" s="2" t="n">
        <x:f>IF(E49=H49,1,0)</x:f>
        <x:v>0</x:v>
      </x:c>
      <x:c r="L49" s="2" t="str">
        <x:v>Craig / Frank</x:v>
      </x:c>
      <x:c r="M49" t="str"/>
      <x:c r="N49" t="str">
        <x:v>Supplied</x:v>
      </x:c>
      <x:c r="O49" t="str"/>
    </x:row>
    <x:row r="50" ht="22" customHeight="1">
      <x:c r="A50" s="2" t="n">
        <x:v>5</x:v>
      </x:c>
      <x:c r="B50" s="2" t="str">
        <x:v>Regular</x:v>
      </x:c>
      <x:c r="C50" s="2" t="str">
        <x:v>Ed</x:v>
      </x:c>
      <x:c r="D50" s="2" t="str">
        <x:v>Club Eroticas Finest</x:v>
      </x:c>
      <x:c r="E50" s="15" t="n">
        <x:v>87</x:v>
      </x:c>
      <x:c r="F50" s="2" t="str">
        <x:v>Poker Dude</x:v>
      </x:c>
      <x:c r="G50" s="2" t="str">
        <x:v>james's Team</x:v>
      </x:c>
      <x:c r="H50" s="15" t="n">
        <x:v>93</x:v>
      </x:c>
      <x:c r="I50" s="2" t="str">
        <x:f>IF(E50&gt;H50,C50,IF(E50&lt;H50,F50,"Tie"))</x:f>
        <x:v>Poker Dude</x:v>
      </x:c>
      <x:c r="J50" s="2" t="str">
        <x:f>IF(E50&gt;H50,F50,IF(E50&lt;H50,C50,"Tie"))</x:f>
        <x:v>Ed</x:v>
      </x:c>
      <x:c r="K50" s="2" t="n">
        <x:f>IF(E50=H50,1,0)</x:f>
        <x:v>0</x:v>
      </x:c>
      <x:c r="L50" s="2" t="str">
        <x:v>Ed / Poker Dude</x:v>
      </x:c>
      <x:c r="M50" t="str"/>
      <x:c r="N50" t="str">
        <x:v>Supplied</x:v>
      </x:c>
      <x:c r="O50" t="str"/>
    </x:row>
    <x:row r="51" ht="22" customHeight="1">
      <x:c r="A51" s="2" t="n">
        <x:v>5</x:v>
      </x:c>
      <x:c r="B51" s="2" t="str">
        <x:v>Regular</x:v>
      </x:c>
      <x:c r="C51" s="2" t="str">
        <x:v>Mike</x:v>
      </x:c>
      <x:c r="D51" s="2" t="str">
        <x:v>Daniel’s Discount</x:v>
      </x:c>
      <x:c r="E51" s="15" t="n">
        <x:v>123</x:v>
      </x:c>
      <x:c r="F51" s="2" t="str">
        <x:v>Ben</x:v>
      </x:c>
      <x:c r="G51" s="2" t="str">
        <x:v>NebGilum</x:v>
      </x:c>
      <x:c r="H51" s="15" t="n">
        <x:v>156</x:v>
      </x:c>
      <x:c r="I51" s="2" t="str">
        <x:f>IF(E51&gt;H51,C51,IF(E51&lt;H51,F51,"Tie"))</x:f>
        <x:v>Ben</x:v>
      </x:c>
      <x:c r="J51" s="2" t="str">
        <x:f>IF(E51&gt;H51,F51,IF(E51&lt;H51,C51,"Tie"))</x:f>
        <x:v>Mike</x:v>
      </x:c>
      <x:c r="K51" s="2" t="n">
        <x:f>IF(E51=H51,1,0)</x:f>
        <x:v>0</x:v>
      </x:c>
      <x:c r="L51" s="2" t="str">
        <x:v>Ben / Mike</x:v>
      </x:c>
      <x:c r="M51" t="str"/>
      <x:c r="N51" t="str">
        <x:v>Supplied</x:v>
      </x:c>
      <x:c r="O51" t="str"/>
    </x:row>
    <x:row r="52" ht="22" customHeight="1">
      <x:c r="A52" s="2" t="n">
        <x:v>5</x:v>
      </x:c>
      <x:c r="B52" s="2" t="str">
        <x:v>Regular</x:v>
      </x:c>
      <x:c r="C52" s="2" t="str">
        <x:v>Josh</x:v>
      </x:c>
      <x:c r="D52" s="2" t="str">
        <x:v>Tier 2</x:v>
      </x:c>
      <x:c r="E52" s="15" t="n">
        <x:v>115</x:v>
      </x:c>
      <x:c r="F52" s="2" t="str">
        <x:v>Paul</x:v>
      </x:c>
      <x:c r="G52" s="2" t="str">
        <x:v>Space Dogs</x:v>
      </x:c>
      <x:c r="H52" s="15" t="n">
        <x:v>98</x:v>
      </x:c>
      <x:c r="I52" s="2" t="str">
        <x:f>IF(E52&gt;H52,C52,IF(E52&lt;H52,F52,"Tie"))</x:f>
        <x:v>Josh</x:v>
      </x:c>
      <x:c r="J52" s="2" t="str">
        <x:f>IF(E52&gt;H52,F52,IF(E52&lt;H52,C52,"Tie"))</x:f>
        <x:v>Paul</x:v>
      </x:c>
      <x:c r="K52" s="2" t="n">
        <x:f>IF(E52=H52,1,0)</x:f>
        <x:v>0</x:v>
      </x:c>
      <x:c r="L52" s="2" t="str">
        <x:v>Josh / Paul</x:v>
      </x:c>
      <x:c r="M52" t="str"/>
      <x:c r="N52" t="str">
        <x:v>Supplied</x:v>
      </x:c>
      <x:c r="O52" t="str"/>
    </x:row>
    <x:row r="53" ht="22" customHeight="1">
      <x:c r="A53" s="2" t="n">
        <x:v>5</x:v>
      </x:c>
      <x:c r="B53" s="2" t="str">
        <x:v>Regular</x:v>
      </x:c>
      <x:c r="C53" s="2" t="str">
        <x:v>Mark</x:v>
      </x:c>
      <x:c r="D53" s="2" t="str">
        <x:v>wacky waving arms</x:v>
      </x:c>
      <x:c r="E53" s="15" t="n">
        <x:v>141</x:v>
      </x:c>
      <x:c r="F53" s="2" t="str">
        <x:v>Matt</x:v>
      </x:c>
      <x:c r="G53" s="2" t="str">
        <x:v>Mr.Montana</x:v>
      </x:c>
      <x:c r="H53" s="15" t="n">
        <x:v>93</x:v>
      </x:c>
      <x:c r="I53" s="2" t="str">
        <x:f>IF(E53&gt;H53,C53,IF(E53&lt;H53,F53,"Tie"))</x:f>
        <x:v>Mark</x:v>
      </x:c>
      <x:c r="J53" s="2" t="str">
        <x:f>IF(E53&gt;H53,F53,IF(E53&lt;H53,C53,"Tie"))</x:f>
        <x:v>Matt</x:v>
      </x:c>
      <x:c r="K53" s="2" t="n">
        <x:f>IF(E53=H53,1,0)</x:f>
        <x:v>0</x:v>
      </x:c>
      <x:c r="L53" s="2" t="str">
        <x:v>Mark / Matt</x:v>
      </x:c>
      <x:c r="M53" t="str"/>
      <x:c r="N53" t="str">
        <x:v>Supplied</x:v>
      </x:c>
      <x:c r="O53" t="str"/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80</x:v>
      </x:c>
      <x:c r="F54" s="2" t="str">
        <x:v>Josh</x:v>
      </x:c>
      <x:c r="G54" s="2" t="str">
        <x:v>Tier 2</x:v>
      </x:c>
      <x:c r="H54" s="15" t="n">
        <x:v>52</x:v>
      </x:c>
      <x:c r="I54" s="2" t="str">
        <x:f>IF(E54&gt;H54,C54,IF(E54&lt;H54,F54,"Tie"))</x:f>
        <x:v>Bruce</x:v>
      </x:c>
      <x:c r="J54" s="2" t="str">
        <x:f>IF(E54&gt;H54,F54,IF(E54&lt;H54,C54,"Tie"))</x:f>
        <x:v>Josh</x:v>
      </x:c>
      <x:c r="K54" s="2" t="n">
        <x:f>IF(E54=H54,1,0)</x:f>
        <x:v>0</x:v>
      </x:c>
      <x:c r="L54" s="2" t="str">
        <x:v>Bruce / Josh</x:v>
      </x:c>
      <x:c r="M54" t="str"/>
      <x:c r="N54" t="str">
        <x:v>Supplied</x:v>
      </x:c>
      <x:c r="O54" t="str"/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134</x:v>
      </x:c>
      <x:c r="F55" s="2" t="str">
        <x:v>Mike</x:v>
      </x:c>
      <x:c r="G55" s="2" t="str">
        <x:v>Daniel’s Discount</x:v>
      </x:c>
      <x:c r="H55" s="15" t="n">
        <x:v>162</x:v>
      </x:c>
      <x:c r="I55" s="2" t="str">
        <x:f>IF(E55&gt;H55,C55,IF(E55&lt;H55,F55,"Tie"))</x:f>
        <x:v>Mike</x:v>
      </x:c>
      <x:c r="J55" s="2" t="str">
        <x:f>IF(E55&gt;H55,F55,IF(E55&lt;H55,C55,"Tie"))</x:f>
        <x:v>Craig</x:v>
      </x:c>
      <x:c r="K55" s="2" t="n">
        <x:f>IF(E55=H55,1,0)</x:f>
        <x:v>0</x:v>
      </x:c>
      <x:c r="L55" s="2" t="str">
        <x:v>Craig / Mike</x:v>
      </x:c>
      <x:c r="M55" t="str"/>
      <x:c r="N55" t="str">
        <x:v>Supplied</x:v>
      </x:c>
      <x:c r="O55" t="str"/>
    </x:row>
    <x:row r="56" ht="22" customHeight="1">
      <x:c r="A56" s="2" t="n">
        <x:v>6</x:v>
      </x:c>
      <x:c r="B56" s="2" t="str">
        <x:v>Regular</x:v>
      </x:c>
      <x:c r="C56" s="2" t="str">
        <x:v>Dave</x:v>
      </x:c>
      <x:c r="D56" s="2" t="str">
        <x:v>2 Girls 1 Kupp</x:v>
      </x:c>
      <x:c r="E56" s="15" t="n">
        <x:v>82</x:v>
      </x:c>
      <x:c r="F56" s="2" t="str">
        <x:v>Ed</x:v>
      </x:c>
      <x:c r="G56" s="2" t="str">
        <x:v>Club Eroticas Finest</x:v>
      </x:c>
      <x:c r="H56" s="15" t="n">
        <x:v>105</x:v>
      </x:c>
      <x:c r="I56" s="2" t="str">
        <x:f>IF(E56&gt;H56,C56,IF(E56&lt;H56,F56,"Tie"))</x:f>
        <x:v>Ed</x:v>
      </x:c>
      <x:c r="J56" s="2" t="str">
        <x:f>IF(E56&gt;H56,F56,IF(E56&lt;H56,C56,"Tie"))</x:f>
        <x:v>Dave</x:v>
      </x:c>
      <x:c r="K56" s="2" t="n">
        <x:f>IF(E56=H56,1,0)</x:f>
        <x:v>0</x:v>
      </x:c>
      <x:c r="L56" s="2" t="str">
        <x:v>Dave / Ed</x:v>
      </x:c>
      <x:c r="M56" t="str"/>
      <x:c r="N56" t="str">
        <x:v>Supplied</x:v>
      </x:c>
      <x:c r="O56" t="str"/>
    </x:row>
    <x:row r="57" ht="22" customHeight="1">
      <x:c r="A57" s="2" t="n">
        <x:v>6</x:v>
      </x:c>
      <x:c r="B57" s="2" t="str">
        <x:v>Regular</x:v>
      </x:c>
      <x:c r="C57" s="2" t="str">
        <x:v>Frank</x:v>
      </x:c>
      <x:c r="D57" s="2" t="str">
        <x:v>Saquon Deez Nutz</x:v>
      </x:c>
      <x:c r="E57" s="15" t="n">
        <x:v>127</x:v>
      </x:c>
      <x:c r="F57" s="2" t="str">
        <x:v>Matt</x:v>
      </x:c>
      <x:c r="G57" s="2" t="str">
        <x:v>Mr.Montana</x:v>
      </x:c>
      <x:c r="H57" s="15" t="n">
        <x:v>154</x:v>
      </x:c>
      <x:c r="I57" s="2" t="str">
        <x:f>IF(E57&gt;H57,C57,IF(E57&lt;H57,F57,"Tie"))</x:f>
        <x:v>Matt</x:v>
      </x:c>
      <x:c r="J57" s="2" t="str">
        <x:f>IF(E57&gt;H57,F57,IF(E57&lt;H57,C57,"Tie"))</x:f>
        <x:v>Frank</x:v>
      </x:c>
      <x:c r="K57" s="2" t="n">
        <x:f>IF(E57=H57,1,0)</x:f>
        <x:v>0</x:v>
      </x:c>
      <x:c r="L57" s="2" t="str">
        <x:v>Frank / Matt</x:v>
      </x:c>
      <x:c r="M57" t="str"/>
      <x:c r="N57" t="str">
        <x:v>Supplied</x:v>
      </x:c>
      <x:c r="O57" t="str"/>
    </x:row>
    <x:row r="58" ht="22" customHeight="1">
      <x:c r="A58" s="2" t="n">
        <x:v>6</x:v>
      </x:c>
      <x:c r="B58" s="2" t="str">
        <x:v>Regular</x:v>
      </x:c>
      <x:c r="C58" s="2" t="str">
        <x:v>Mark</x:v>
      </x:c>
      <x:c r="D58" s="2" t="str">
        <x:v>wacky waving arms</x:v>
      </x:c>
      <x:c r="E58" s="15" t="n">
        <x:v>101</x:v>
      </x:c>
      <x:c r="F58" s="2" t="str">
        <x:v>Paul</x:v>
      </x:c>
      <x:c r="G58" s="2" t="str">
        <x:v>Space Dogs</x:v>
      </x:c>
      <x:c r="H58" s="15" t="n">
        <x:v>110</x:v>
      </x:c>
      <x:c r="I58" s="2" t="str">
        <x:f>IF(E58&gt;H58,C58,IF(E58&lt;H58,F58,"Tie"))</x:f>
        <x:v>Paul</x:v>
      </x:c>
      <x:c r="J58" s="2" t="str">
        <x:f>IF(E58&gt;H58,F58,IF(E58&lt;H58,C58,"Tie"))</x:f>
        <x:v>Mark</x:v>
      </x:c>
      <x:c r="K58" s="2" t="n">
        <x:f>IF(E58=H58,1,0)</x:f>
        <x:v>0</x:v>
      </x:c>
      <x:c r="L58" s="2" t="str">
        <x:v>Mark / Paul</x:v>
      </x:c>
      <x:c r="M58" t="str"/>
      <x:c r="N58" t="str">
        <x:v>Supplied</x:v>
      </x:c>
      <x:c r="O58" t="str"/>
    </x:row>
    <x:row r="59" ht="22" customHeight="1">
      <x:c r="A59" s="2" t="n">
        <x:v>6</x:v>
      </x:c>
      <x:c r="B59" s="2" t="str">
        <x:v>Regular</x:v>
      </x:c>
      <x:c r="C59" s="2" t="str">
        <x:v>Ben</x:v>
      </x:c>
      <x:c r="D59" s="2" t="str">
        <x:v>NebGilum</x:v>
      </x:c>
      <x:c r="E59" s="15" t="n">
        <x:v>100</x:v>
      </x:c>
      <x:c r="F59" s="2" t="str">
        <x:v>Poker Dude</x:v>
      </x:c>
      <x:c r="G59" s="2" t="str">
        <x:v>james's Team</x:v>
      </x:c>
      <x:c r="H59" s="15" t="n">
        <x:v>104</x:v>
      </x:c>
      <x:c r="I59" s="2" t="str">
        <x:f>IF(E59&gt;H59,C59,IF(E59&lt;H59,F59,"Tie"))</x:f>
        <x:v>Poker Dude</x:v>
      </x:c>
      <x:c r="J59" s="2" t="str">
        <x:f>IF(E59&gt;H59,F59,IF(E59&lt;H59,C59,"Tie"))</x:f>
        <x:v>Ben</x:v>
      </x:c>
      <x:c r="K59" s="2" t="n">
        <x:f>IF(E59=H59,1,0)</x:f>
        <x:v>0</x:v>
      </x:c>
      <x:c r="L59" s="2" t="str">
        <x:v>Ben / Poker Dude</x:v>
      </x:c>
      <x:c r="M59" t="str"/>
      <x:c r="N59" t="str">
        <x:v>Supplied</x:v>
      </x:c>
      <x:c r="O59" t="str"/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79</x:v>
      </x:c>
      <x:c r="F60" s="2" t="str">
        <x:v>Matt</x:v>
      </x:c>
      <x:c r="G60" s="2" t="str">
        <x:v>Mr.Montana</x:v>
      </x:c>
      <x:c r="H60" s="15" t="n">
        <x:v>97</x:v>
      </x:c>
      <x:c r="I60" s="2" t="str">
        <x:f>IF(E60&gt;H60,C60,IF(E60&lt;H60,F60,"Tie"))</x:f>
        <x:v>Matt</x:v>
      </x:c>
      <x:c r="J60" s="2" t="str">
        <x:f>IF(E60&gt;H60,F60,IF(E60&lt;H60,C60,"Tie"))</x:f>
        <x:v>Bruce</x:v>
      </x:c>
      <x:c r="K60" s="2" t="n">
        <x:f>IF(E60=H60,1,0)</x:f>
        <x:v>0</x:v>
      </x:c>
      <x:c r="L60" s="2" t="str">
        <x:v>Bruce / Matt</x:v>
      </x:c>
      <x:c r="M60" t="str"/>
      <x:c r="N60" t="str">
        <x:v>Supplied</x:v>
      </x:c>
      <x:c r="O60" t="str"/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146</x:v>
      </x:c>
      <x:c r="F61" s="2" t="str">
        <x:v>Paul</x:v>
      </x:c>
      <x:c r="G61" s="2" t="str">
        <x:v>Space Dogs</x:v>
      </x:c>
      <x:c r="H61" s="15" t="n">
        <x:v>110</x:v>
      </x:c>
      <x:c r="I61" s="2" t="str">
        <x:f>IF(E61&gt;H61,C61,IF(E61&lt;H61,F61,"Tie"))</x:f>
        <x:v>Craig</x:v>
      </x:c>
      <x:c r="J61" s="2" t="str">
        <x:f>IF(E61&gt;H61,F61,IF(E61&lt;H61,C61,"Tie"))</x:f>
        <x:v>Paul</x:v>
      </x:c>
      <x:c r="K61" s="2" t="n">
        <x:f>IF(E61=H61,1,0)</x:f>
        <x:v>0</x:v>
      </x:c>
      <x:c r="L61" s="2" t="str">
        <x:v>Craig / Paul</x:v>
      </x:c>
      <x:c r="M61" t="str"/>
      <x:c r="N61" t="str">
        <x:v>Supplied</x:v>
      </x:c>
      <x:c r="O61" t="str"/>
    </x:row>
    <x:row r="62" ht="22" customHeight="1">
      <x:c r="A62" s="2" t="n">
        <x:v>7</x:v>
      </x:c>
      <x:c r="B62" s="2" t="str">
        <x:v>Regular</x:v>
      </x:c>
      <x:c r="C62" s="2" t="str">
        <x:v>Dave</x:v>
      </x:c>
      <x:c r="D62" s="2" t="str">
        <x:v>2 Girls 1 Kupp</x:v>
      </x:c>
      <x:c r="E62" s="15" t="n">
        <x:v>118</x:v>
      </x:c>
      <x:c r="F62" s="2" t="str">
        <x:v>Poker Dude</x:v>
      </x:c>
      <x:c r="G62" s="2" t="str">
        <x:v>james's Team</x:v>
      </x:c>
      <x:c r="H62" s="15" t="n">
        <x:v>125</x:v>
      </x:c>
      <x:c r="I62" s="2" t="str">
        <x:f>IF(E62&gt;H62,C62,IF(E62&lt;H62,F62,"Tie"))</x:f>
        <x:v>Poker Dude</x:v>
      </x:c>
      <x:c r="J62" s="2" t="str">
        <x:f>IF(E62&gt;H62,F62,IF(E62&lt;H62,C62,"Tie"))</x:f>
        <x:v>Dave</x:v>
      </x:c>
      <x:c r="K62" s="2" t="n">
        <x:f>IF(E62=H62,1,0)</x:f>
        <x:v>0</x:v>
      </x:c>
      <x:c r="L62" s="2" t="str">
        <x:v>Dave / Poker Dude</x:v>
      </x:c>
      <x:c r="M62" t="str"/>
      <x:c r="N62" t="str">
        <x:v>Supplied</x:v>
      </x:c>
      <x:c r="O62" t="str"/>
    </x:row>
    <x:row r="63" ht="22" customHeight="1">
      <x:c r="A63" s="2" t="n">
        <x:v>7</x:v>
      </x:c>
      <x:c r="B63" s="2" t="str">
        <x:v>Regular</x:v>
      </x:c>
      <x:c r="C63" s="2" t="str">
        <x:v>Ed</x:v>
      </x:c>
      <x:c r="D63" s="2" t="str">
        <x:v>Club Eroticas Finest</x:v>
      </x:c>
      <x:c r="E63" s="15" t="n">
        <x:v>159</x:v>
      </x:c>
      <x:c r="F63" s="2" t="str">
        <x:v>Frank</x:v>
      </x:c>
      <x:c r="G63" s="2" t="str">
        <x:v>Saquon Deez Nutz</x:v>
      </x:c>
      <x:c r="H63" s="15" t="n">
        <x:v>137</x:v>
      </x:c>
      <x:c r="I63" s="2" t="str">
        <x:f>IF(E63&gt;H63,C63,IF(E63&lt;H63,F63,"Tie"))</x:f>
        <x:v>Ed</x:v>
      </x:c>
      <x:c r="J63" s="2" t="str">
        <x:f>IF(E63&gt;H63,F63,IF(E63&lt;H63,C63,"Tie"))</x:f>
        <x:v>Frank</x:v>
      </x:c>
      <x:c r="K63" s="2" t="n">
        <x:f>IF(E63=H63,1,0)</x:f>
        <x:v>0</x:v>
      </x:c>
      <x:c r="L63" s="2" t="str">
        <x:v>Ed / Frank</x:v>
      </x:c>
      <x:c r="M63" t="str"/>
      <x:c r="N63" t="str">
        <x:v>Supplied</x:v>
      </x:c>
      <x:c r="O63" t="str"/>
    </x:row>
    <x:row r="64" ht="22" customHeight="1">
      <x:c r="A64" s="2" t="n">
        <x:v>7</x:v>
      </x:c>
      <x:c r="B64" s="2" t="str">
        <x:v>Regular</x:v>
      </x:c>
      <x:c r="C64" s="2" t="str">
        <x:v>Mike</x:v>
      </x:c>
      <x:c r="D64" s="2" t="str">
        <x:v>Daniel’s Discount</x:v>
      </x:c>
      <x:c r="E64" s="15" t="n">
        <x:v>77</x:v>
      </x:c>
      <x:c r="F64" s="2" t="str">
        <x:v>Josh</x:v>
      </x:c>
      <x:c r="G64" s="2" t="str">
        <x:v>Tier 2</x:v>
      </x:c>
      <x:c r="H64" s="15" t="n">
        <x:v>124</x:v>
      </x:c>
      <x:c r="I64" s="2" t="str">
        <x:f>IF(E64&gt;H64,C64,IF(E64&lt;H64,F64,"Tie"))</x:f>
        <x:v>Josh</x:v>
      </x:c>
      <x:c r="J64" s="2" t="str">
        <x:f>IF(E64&gt;H64,F64,IF(E64&lt;H64,C64,"Tie"))</x:f>
        <x:v>Mike</x:v>
      </x:c>
      <x:c r="K64" s="2" t="n">
        <x:f>IF(E64=H64,1,0)</x:f>
        <x:v>0</x:v>
      </x:c>
      <x:c r="L64" s="2" t="str">
        <x:v>Josh / Mike</x:v>
      </x:c>
      <x:c r="M64" t="str"/>
      <x:c r="N64" t="str">
        <x:v>Supplied</x:v>
      </x:c>
      <x:c r="O64" t="str"/>
    </x:row>
    <x:row r="65" ht="22" customHeight="1">
      <x:c r="A65" s="2" t="n">
        <x:v>7</x:v>
      </x:c>
      <x:c r="B65" s="2" t="str">
        <x:v>Regular</x:v>
      </x:c>
      <x:c r="C65" s="2" t="str">
        <x:v>Mark</x:v>
      </x:c>
      <x:c r="D65" s="2" t="str">
        <x:v>wacky waving arms</x:v>
      </x:c>
      <x:c r="E65" s="15" t="n">
        <x:v>124</x:v>
      </x:c>
      <x:c r="F65" s="2" t="str">
        <x:v>Ben</x:v>
      </x:c>
      <x:c r="G65" s="2" t="str">
        <x:v>NebGilum</x:v>
      </x:c>
      <x:c r="H65" s="15" t="n">
        <x:v>123</x:v>
      </x:c>
      <x:c r="I65" s="2" t="str">
        <x:f>IF(E65&gt;H65,C65,IF(E65&lt;H65,F65,"Tie"))</x:f>
        <x:v>Mark</x:v>
      </x:c>
      <x:c r="J65" s="2" t="str">
        <x:f>IF(E65&gt;H65,F65,IF(E65&lt;H65,C65,"Tie"))</x:f>
        <x:v>Ben</x:v>
      </x:c>
      <x:c r="K65" s="2" t="n">
        <x:f>IF(E65=H65,1,0)</x:f>
        <x:v>0</x:v>
      </x:c>
      <x:c r="L65" s="2" t="str">
        <x:v>Ben / Mark</x:v>
      </x:c>
      <x:c r="M65" t="str"/>
      <x:c r="N65" t="str">
        <x:v>Supplied</x:v>
      </x:c>
      <x:c r="O65" t="str"/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151</x:v>
      </x:c>
      <x:c r="F66" s="2" t="str">
        <x:v>Ed</x:v>
      </x:c>
      <x:c r="G66" s="2" t="str">
        <x:v>Club Eroticas Finest</x:v>
      </x:c>
      <x:c r="H66" s="15" t="n">
        <x:v>90</x:v>
      </x:c>
      <x:c r="I66" s="2" t="str">
        <x:f>IF(E66&gt;H66,C66,IF(E66&lt;H66,F66,"Tie"))</x:f>
        <x:v>Bruce</x:v>
      </x:c>
      <x:c r="J66" s="2" t="str">
        <x:f>IF(E66&gt;H66,F66,IF(E66&lt;H66,C66,"Tie"))</x:f>
        <x:v>Ed</x:v>
      </x:c>
      <x:c r="K66" s="2" t="n">
        <x:f>IF(E66=H66,1,0)</x:f>
        <x:v>0</x:v>
      </x:c>
      <x:c r="L66" s="2" t="str">
        <x:v>Bruce / Ed</x:v>
      </x:c>
      <x:c r="M66" t="str"/>
      <x:c r="N66" t="str">
        <x:v>Supplied</x:v>
      </x:c>
      <x:c r="O66" t="str"/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83</x:v>
      </x:c>
      <x:c r="F67" s="2" t="str">
        <x:v>Josh</x:v>
      </x:c>
      <x:c r="G67" s="2" t="str">
        <x:v>Tier 2</x:v>
      </x:c>
      <x:c r="H67" s="15" t="n">
        <x:v>155</x:v>
      </x:c>
      <x:c r="I67" s="2" t="str">
        <x:f>IF(E67&gt;H67,C67,IF(E67&lt;H67,F67,"Tie"))</x:f>
        <x:v>Josh</x:v>
      </x:c>
      <x:c r="J67" s="2" t="str">
        <x:f>IF(E67&gt;H67,F67,IF(E67&lt;H67,C67,"Tie"))</x:f>
        <x:v>Craig</x:v>
      </x:c>
      <x:c r="K67" s="2" t="n">
        <x:f>IF(E67=H67,1,0)</x:f>
        <x:v>0</x:v>
      </x:c>
      <x:c r="L67" s="2" t="str">
        <x:v>Craig / Josh</x:v>
      </x:c>
      <x:c r="M67" t="str"/>
      <x:c r="N67" t="str">
        <x:v>Supplied</x:v>
      </x:c>
      <x:c r="O67" t="str"/>
    </x:row>
    <x:row r="68" ht="22" customHeight="1">
      <x:c r="A68" s="2" t="n">
        <x:v>8</x:v>
      </x:c>
      <x:c r="B68" s="2" t="str">
        <x:v>Regular</x:v>
      </x:c>
      <x:c r="C68" s="2" t="str">
        <x:v>Dave</x:v>
      </x:c>
      <x:c r="D68" s="2" t="str">
        <x:v>2 Girls 1 Kupp</x:v>
      </x:c>
      <x:c r="E68" s="15" t="n">
        <x:v>114</x:v>
      </x:c>
      <x:c r="F68" s="2" t="str">
        <x:v>Mark</x:v>
      </x:c>
      <x:c r="G68" s="2" t="str">
        <x:v>wacky waving arms</x:v>
      </x:c>
      <x:c r="H68" s="15" t="n">
        <x:v>104</x:v>
      </x:c>
      <x:c r="I68" s="2" t="str">
        <x:f>IF(E68&gt;H68,C68,IF(E68&lt;H68,F68,"Tie"))</x:f>
        <x:v>Dave</x:v>
      </x:c>
      <x:c r="J68" s="2" t="str">
        <x:f>IF(E68&gt;H68,F68,IF(E68&lt;H68,C68,"Tie"))</x:f>
        <x:v>Mark</x:v>
      </x:c>
      <x:c r="K68" s="2" t="n">
        <x:f>IF(E68=H68,1,0)</x:f>
        <x:v>0</x:v>
      </x:c>
      <x:c r="L68" s="2" t="str">
        <x:v>Dave / Mark</x:v>
      </x:c>
      <x:c r="M68" t="str"/>
      <x:c r="N68" t="str">
        <x:v>Supplied</x:v>
      </x:c>
      <x:c r="O68" t="str"/>
    </x:row>
    <x:row r="69" ht="22" customHeight="1">
      <x:c r="A69" s="2" t="n">
        <x:v>8</x:v>
      </x:c>
      <x:c r="B69" s="2" t="str">
        <x:v>Regular</x:v>
      </x:c>
      <x:c r="C69" s="2" t="str">
        <x:v>Frank</x:v>
      </x:c>
      <x:c r="D69" s="2" t="str">
        <x:v>Saquon Deez Nutz</x:v>
      </x:c>
      <x:c r="E69" s="15" t="n">
        <x:v>97</x:v>
      </x:c>
      <x:c r="F69" s="2" t="str">
        <x:v>Poker Dude</x:v>
      </x:c>
      <x:c r="G69" s="2" t="str">
        <x:v>james's Team</x:v>
      </x:c>
      <x:c r="H69" s="15" t="n">
        <x:v>99</x:v>
      </x:c>
      <x:c r="I69" s="2" t="str">
        <x:f>IF(E69&gt;H69,C69,IF(E69&lt;H69,F69,"Tie"))</x:f>
        <x:v>Poker Dude</x:v>
      </x:c>
      <x:c r="J69" s="2" t="str">
        <x:f>IF(E69&gt;H69,F69,IF(E69&lt;H69,C69,"Tie"))</x:f>
        <x:v>Frank</x:v>
      </x:c>
      <x:c r="K69" s="2" t="n">
        <x:f>IF(E69=H69,1,0)</x:f>
        <x:v>0</x:v>
      </x:c>
      <x:c r="L69" s="2" t="str">
        <x:v>Frank / Poker Dude</x:v>
      </x:c>
      <x:c r="M69" t="str"/>
      <x:c r="N69" t="str">
        <x:v>Supplied</x:v>
      </x:c>
      <x:c r="O69" t="str"/>
    </x:row>
    <x:row r="70" ht="22" customHeight="1">
      <x:c r="A70" s="2" t="n">
        <x:v>8</x:v>
      </x:c>
      <x:c r="B70" s="2" t="str">
        <x:v>Regular</x:v>
      </x:c>
      <x:c r="C70" s="2" t="str">
        <x:v>Mike</x:v>
      </x:c>
      <x:c r="D70" s="2" t="str">
        <x:v>Daniel’s Discount</x:v>
      </x:c>
      <x:c r="E70" s="15" t="n">
        <x:v>107</x:v>
      </x:c>
      <x:c r="F70" s="2" t="str">
        <x:v>Matt</x:v>
      </x:c>
      <x:c r="G70" s="2" t="str">
        <x:v>Mr.Montana</x:v>
      </x:c>
      <x:c r="H70" s="15" t="n">
        <x:v>87</x:v>
      </x:c>
      <x:c r="I70" s="2" t="str">
        <x:f>IF(E70&gt;H70,C70,IF(E70&lt;H70,F70,"Tie"))</x:f>
        <x:v>Mike</x:v>
      </x:c>
      <x:c r="J70" s="2" t="str">
        <x:f>IF(E70&gt;H70,F70,IF(E70&lt;H70,C70,"Tie"))</x:f>
        <x:v>Matt</x:v>
      </x:c>
      <x:c r="K70" s="2" t="n">
        <x:f>IF(E70=H70,1,0)</x:f>
        <x:v>0</x:v>
      </x:c>
      <x:c r="L70" s="2" t="str">
        <x:v>Matt / Mike</x:v>
      </x:c>
      <x:c r="M70" t="str"/>
      <x:c r="N70" t="str">
        <x:v>Supplied</x:v>
      </x:c>
      <x:c r="O70" t="str"/>
    </x:row>
    <x:row r="71" ht="22" customHeight="1">
      <x:c r="A71" s="2" t="n">
        <x:v>8</x:v>
      </x:c>
      <x:c r="B71" s="2" t="str">
        <x:v>Regular</x:v>
      </x:c>
      <x:c r="C71" s="2" t="str">
        <x:v>Ben</x:v>
      </x:c>
      <x:c r="D71" s="2" t="str">
        <x:v>NebGilum</x:v>
      </x:c>
      <x:c r="E71" s="15" t="n">
        <x:v>110</x:v>
      </x:c>
      <x:c r="F71" s="2" t="str">
        <x:v>Paul</x:v>
      </x:c>
      <x:c r="G71" s="2" t="str">
        <x:v>Space Dogs</x:v>
      </x:c>
      <x:c r="H71" s="15" t="n">
        <x:v>99</x:v>
      </x:c>
      <x:c r="I71" s="2" t="str">
        <x:f>IF(E71&gt;H71,C71,IF(E71&lt;H71,F71,"Tie"))</x:f>
        <x:v>Ben</x:v>
      </x:c>
      <x:c r="J71" s="2" t="str">
        <x:f>IF(E71&gt;H71,F71,IF(E71&lt;H71,C71,"Tie"))</x:f>
        <x:v>Paul</x:v>
      </x:c>
      <x:c r="K71" s="2" t="n">
        <x:f>IF(E71=H71,1,0)</x:f>
        <x:v>0</x:v>
      </x:c>
      <x:c r="L71" s="2" t="str">
        <x:v>Ben / Paul</x:v>
      </x:c>
      <x:c r="M71" t="str"/>
      <x:c r="N71" t="str">
        <x:v>Supplied</x:v>
      </x:c>
      <x:c r="O71" t="str"/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134</x:v>
      </x:c>
      <x:c r="F72" s="2" t="str">
        <x:v>Mike</x:v>
      </x:c>
      <x:c r="G72" s="2" t="str">
        <x:v>Daniel’s Discount</x:v>
      </x:c>
      <x:c r="H72" s="15" t="n">
        <x:v>110</x:v>
      </x:c>
      <x:c r="I72" s="2" t="str">
        <x:f>IF(E72&gt;H72,C72,IF(E72&lt;H72,F72,"Tie"))</x:f>
        <x:v>Bruce</x:v>
      </x:c>
      <x:c r="J72" s="2" t="str">
        <x:f>IF(E72&gt;H72,F72,IF(E72&lt;H72,C72,"Tie"))</x:f>
        <x:v>Mike</x:v>
      </x:c>
      <x:c r="K72" s="2" t="n">
        <x:f>IF(E72=H72,1,0)</x:f>
        <x:v>0</x:v>
      </x:c>
      <x:c r="L72" s="2" t="str">
        <x:v>Bruce / Mike</x:v>
      </x:c>
      <x:c r="M72" t="str"/>
      <x:c r="N72" t="str">
        <x:v>Supplied</x:v>
      </x:c>
      <x:c r="O72" t="str"/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122</x:v>
      </x:c>
      <x:c r="F73" s="2" t="str">
        <x:v>Mark</x:v>
      </x:c>
      <x:c r="G73" s="2" t="str">
        <x:v>wacky waving arms</x:v>
      </x:c>
      <x:c r="H73" s="15" t="n">
        <x:v>93</x:v>
      </x:c>
      <x:c r="I73" s="2" t="str">
        <x:f>IF(E73&gt;H73,C73,IF(E73&lt;H73,F73,"Tie"))</x:f>
        <x:v>Craig</x:v>
      </x:c>
      <x:c r="J73" s="2" t="str">
        <x:f>IF(E73&gt;H73,F73,IF(E73&lt;H73,C73,"Tie"))</x:f>
        <x:v>Mark</x:v>
      </x:c>
      <x:c r="K73" s="2" t="n">
        <x:f>IF(E73=H73,1,0)</x:f>
        <x:v>0</x:v>
      </x:c>
      <x:c r="L73" s="2" t="str">
        <x:v>Craig / Mark</x:v>
      </x:c>
      <x:c r="M73" t="str"/>
      <x:c r="N73" t="str">
        <x:v>Supplied</x:v>
      </x:c>
      <x:c r="O73" t="str"/>
    </x:row>
    <x:row r="74" ht="22" customHeight="1">
      <x:c r="A74" s="2" t="n">
        <x:v>9</x:v>
      </x:c>
      <x:c r="B74" s="2" t="str">
        <x:v>Regular</x:v>
      </x:c>
      <x:c r="C74" s="2" t="str">
        <x:v>Dave</x:v>
      </x:c>
      <x:c r="D74" s="2" t="str">
        <x:v>2 Girls 1 Kupp</x:v>
      </x:c>
      <x:c r="E74" s="15" t="n">
        <x:v>135</x:v>
      </x:c>
      <x:c r="F74" s="2" t="str">
        <x:v>Matt</x:v>
      </x:c>
      <x:c r="G74" s="2" t="str">
        <x:v>Mr.Montana</x:v>
      </x:c>
      <x:c r="H74" s="15" t="n">
        <x:v>99</x:v>
      </x:c>
      <x:c r="I74" s="2" t="str">
        <x:f>IF(E74&gt;H74,C74,IF(E74&lt;H74,F74,"Tie"))</x:f>
        <x:v>Dave</x:v>
      </x:c>
      <x:c r="J74" s="2" t="str">
        <x:f>IF(E74&gt;H74,F74,IF(E74&lt;H74,C74,"Tie"))</x:f>
        <x:v>Matt</x:v>
      </x:c>
      <x:c r="K74" s="2" t="n">
        <x:f>IF(E74=H74,1,0)</x:f>
        <x:v>0</x:v>
      </x:c>
      <x:c r="L74" s="2" t="str">
        <x:v>Dave / Matt</x:v>
      </x:c>
      <x:c r="M74" t="str"/>
      <x:c r="N74" t="str">
        <x:v>Supplied</x:v>
      </x:c>
      <x:c r="O74" t="str"/>
    </x:row>
    <x:row r="75" ht="22" customHeight="1">
      <x:c r="A75" s="2" t="n">
        <x:v>9</x:v>
      </x:c>
      <x:c r="B75" s="2" t="str">
        <x:v>Regular</x:v>
      </x:c>
      <x:c r="C75" s="2" t="str">
        <x:v>Ed</x:v>
      </x:c>
      <x:c r="D75" s="2" t="str">
        <x:v>Club Eroticas Finest</x:v>
      </x:c>
      <x:c r="E75" s="15" t="n">
        <x:v>109</x:v>
      </x:c>
      <x:c r="F75" s="2" t="str">
        <x:v>Ben</x:v>
      </x:c>
      <x:c r="G75" s="2" t="str">
        <x:v>NebGilum</x:v>
      </x:c>
      <x:c r="H75" s="15" t="n">
        <x:v>61</x:v>
      </x:c>
      <x:c r="I75" s="2" t="str">
        <x:f>IF(E75&gt;H75,C75,IF(E75&lt;H75,F75,"Tie"))</x:f>
        <x:v>Ed</x:v>
      </x:c>
      <x:c r="J75" s="2" t="str">
        <x:f>IF(E75&gt;H75,F75,IF(E75&lt;H75,C75,"Tie"))</x:f>
        <x:v>Ben</x:v>
      </x:c>
      <x:c r="K75" s="2" t="n">
        <x:f>IF(E75=H75,1,0)</x:f>
        <x:v>0</x:v>
      </x:c>
      <x:c r="L75" s="2" t="str">
        <x:v>Ben / Ed</x:v>
      </x:c>
      <x:c r="M75" t="str"/>
      <x:c r="N75" t="str">
        <x:v>Supplied</x:v>
      </x:c>
      <x:c r="O75" t="str"/>
    </x:row>
    <x:row r="76" ht="22" customHeight="1">
      <x:c r="A76" s="2" t="n">
        <x:v>9</x:v>
      </x:c>
      <x:c r="B76" s="2" t="str">
        <x:v>Regular</x:v>
      </x:c>
      <x:c r="C76" s="2" t="str">
        <x:v>Frank</x:v>
      </x:c>
      <x:c r="D76" s="2" t="str">
        <x:v>Saquon Deez Nutz</x:v>
      </x:c>
      <x:c r="E76" s="15" t="n">
        <x:v>91</x:v>
      </x:c>
      <x:c r="F76" s="2" t="str">
        <x:v>Josh</x:v>
      </x:c>
      <x:c r="G76" s="2" t="str">
        <x:v>Tier 2</x:v>
      </x:c>
      <x:c r="H76" s="15" t="n">
        <x:v>127</x:v>
      </x:c>
      <x:c r="I76" s="2" t="str">
        <x:f>IF(E76&gt;H76,C76,IF(E76&lt;H76,F76,"Tie"))</x:f>
        <x:v>Josh</x:v>
      </x:c>
      <x:c r="J76" s="2" t="str">
        <x:f>IF(E76&gt;H76,F76,IF(E76&lt;H76,C76,"Tie"))</x:f>
        <x:v>Frank</x:v>
      </x:c>
      <x:c r="K76" s="2" t="n">
        <x:f>IF(E76=H76,1,0)</x:f>
        <x:v>0</x:v>
      </x:c>
      <x:c r="L76" s="2" t="str">
        <x:v>Frank / Josh</x:v>
      </x:c>
      <x:c r="M76" t="str"/>
      <x:c r="N76" t="str">
        <x:v>Supplied</x:v>
      </x:c>
      <x:c r="O76" t="str"/>
    </x:row>
    <x:row r="77" ht="22" customHeight="1">
      <x:c r="A77" s="2" t="n">
        <x:v>9</x:v>
      </x:c>
      <x:c r="B77" s="2" t="str">
        <x:v>Regular</x:v>
      </x:c>
      <x:c r="C77" s="2" t="str">
        <x:v>Poker Dude</x:v>
      </x:c>
      <x:c r="D77" s="2" t="str">
        <x:v>james's Team</x:v>
      </x:c>
      <x:c r="E77" s="15" t="n">
        <x:v>141</x:v>
      </x:c>
      <x:c r="F77" s="2" t="str">
        <x:v>Paul</x:v>
      </x:c>
      <x:c r="G77" s="2" t="str">
        <x:v>Space Dogs</x:v>
      </x:c>
      <x:c r="H77" s="15" t="n">
        <x:v>140</x:v>
      </x:c>
      <x:c r="I77" s="2" t="str">
        <x:f>IF(E77&gt;H77,C77,IF(E77&lt;H77,F77,"Tie"))</x:f>
        <x:v>Poker Dude</x:v>
      </x:c>
      <x:c r="J77" s="2" t="str">
        <x:f>IF(E77&gt;H77,F77,IF(E77&lt;H77,C77,"Tie"))</x:f>
        <x:v>Paul</x:v>
      </x:c>
      <x:c r="K77" s="2" t="n">
        <x:f>IF(E77=H77,1,0)</x:f>
        <x:v>0</x:v>
      </x:c>
      <x:c r="L77" s="2" t="str">
        <x:v>Paul / Poker Dude</x:v>
      </x:c>
      <x:c r="M77" t="str"/>
      <x:c r="N77" t="str">
        <x:v>Supplied</x:v>
      </x:c>
      <x:c r="O77" t="str"/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77</x:v>
      </x:c>
      <x:c r="F78" s="2" t="str">
        <x:v>Craig</x:v>
      </x:c>
      <x:c r="G78" s="2" t="str">
        <x:v>The Ants Marching</x:v>
      </x:c>
      <x:c r="H78" s="15" t="n">
        <x:v>107</x:v>
      </x:c>
      <x:c r="I78" s="2" t="str">
        <x:f>IF(E78&gt;H78,C78,IF(E78&lt;H78,F78,"Tie"))</x:f>
        <x:v>Craig</x:v>
      </x:c>
      <x:c r="J78" s="2" t="str">
        <x:f>IF(E78&gt;H78,F78,IF(E78&lt;H78,C78,"Tie"))</x:f>
        <x:v>Bruce</x:v>
      </x:c>
      <x:c r="K78" s="2" t="n">
        <x:f>IF(E78=H78,1,0)</x:f>
        <x:v>0</x:v>
      </x:c>
      <x:c r="L78" s="2" t="str">
        <x:v>Bruce / Craig</x:v>
      </x:c>
      <x:c r="M78" t="str"/>
      <x:c r="N78" t="str">
        <x:v>Supplied</x:v>
      </x:c>
      <x:c r="O78" t="str"/>
    </x:row>
    <x:row r="79" ht="22" customHeight="1">
      <x:c r="A79" s="2" t="n">
        <x:v>10</x:v>
      </x:c>
      <x:c r="B79" s="2" t="str">
        <x:v>Regular</x:v>
      </x:c>
      <x:c r="C79" s="2" t="str">
        <x:v>Dave</x:v>
      </x:c>
      <x:c r="D79" s="2" t="str">
        <x:v>2 Girls 1 Kupp</x:v>
      </x:c>
      <x:c r="E79" s="15" t="n">
        <x:v>114</x:v>
      </x:c>
      <x:c r="F79" s="2" t="str">
        <x:v>Josh</x:v>
      </x:c>
      <x:c r="G79" s="2" t="str">
        <x:v>Tier 2</x:v>
      </x:c>
      <x:c r="H79" s="15" t="n">
        <x:v>114</x:v>
      </x:c>
      <x:c r="I79" s="2" t="str">
        <x:f>IF(E79&gt;H79,C79,IF(E79&lt;H79,F79,"Tie"))</x:f>
        <x:v>Tie</x:v>
      </x:c>
      <x:c r="J79" s="2" t="str">
        <x:f>IF(E79&gt;H79,F79,IF(E79&lt;H79,C79,"Tie"))</x:f>
        <x:v>Tie</x:v>
      </x:c>
      <x:c r="K79" s="2" t="n">
        <x:f>IF(E79=H79,1,0)</x:f>
        <x:v>1</x:v>
      </x:c>
      <x:c r="L79" s="2" t="str">
        <x:v>Dave / Josh</x:v>
      </x:c>
      <x:c r="M79" t="str"/>
      <x:c r="N79" t="str">
        <x:v>Supplied</x:v>
      </x:c>
      <x:c r="O79" t="str"/>
    </x:row>
    <x:row r="80" ht="22" customHeight="1">
      <x:c r="A80" s="2" t="n">
        <x:v>10</x:v>
      </x:c>
      <x:c r="B80" s="2" t="str">
        <x:v>Regular</x:v>
      </x:c>
      <x:c r="C80" s="2" t="str">
        <x:v>Ed</x:v>
      </x:c>
      <x:c r="D80" s="2" t="str">
        <x:v>Club Eroticas Finest</x:v>
      </x:c>
      <x:c r="E80" s="15" t="n">
        <x:v>111</x:v>
      </x:c>
      <x:c r="F80" s="2" t="str">
        <x:v>Paul</x:v>
      </x:c>
      <x:c r="G80" s="2" t="str">
        <x:v>Space Dogs</x:v>
      </x:c>
      <x:c r="H80" s="15" t="n">
        <x:v>116</x:v>
      </x:c>
      <x:c r="I80" s="2" t="str">
        <x:f>IF(E80&gt;H80,C80,IF(E80&lt;H80,F80,"Tie"))</x:f>
        <x:v>Paul</x:v>
      </x:c>
      <x:c r="J80" s="2" t="str">
        <x:f>IF(E80&gt;H80,F80,IF(E80&lt;H80,C80,"Tie"))</x:f>
        <x:v>Ed</x:v>
      </x:c>
      <x:c r="K80" s="2" t="n">
        <x:f>IF(E80=H80,1,0)</x:f>
        <x:v>0</x:v>
      </x:c>
      <x:c r="L80" s="2" t="str">
        <x:v>Ed / Paul</x:v>
      </x:c>
      <x:c r="M80" t="str"/>
      <x:c r="N80" t="str">
        <x:v>Supplied</x:v>
      </x:c>
      <x:c r="O80" t="str"/>
    </x:row>
    <x:row r="81" ht="22" customHeight="1">
      <x:c r="A81" s="2" t="n">
        <x:v>10</x:v>
      </x:c>
      <x:c r="B81" s="2" t="str">
        <x:v>Regular</x:v>
      </x:c>
      <x:c r="C81" s="2" t="str">
        <x:v>Frank</x:v>
      </x:c>
      <x:c r="D81" s="2" t="str">
        <x:v>Saquon Deez Nutz</x:v>
      </x:c>
      <x:c r="E81" s="15" t="n">
        <x:v>111</x:v>
      </x:c>
      <x:c r="F81" s="2" t="str">
        <x:v>Mike</x:v>
      </x:c>
      <x:c r="G81" s="2" t="str">
        <x:v>Daniel’s Discount</x:v>
      </x:c>
      <x:c r="H81" s="15" t="n">
        <x:v>126</x:v>
      </x:c>
      <x:c r="I81" s="2" t="str">
        <x:f>IF(E81&gt;H81,C81,IF(E81&lt;H81,F81,"Tie"))</x:f>
        <x:v>Mike</x:v>
      </x:c>
      <x:c r="J81" s="2" t="str">
        <x:f>IF(E81&gt;H81,F81,IF(E81&lt;H81,C81,"Tie"))</x:f>
        <x:v>Frank</x:v>
      </x:c>
      <x:c r="K81" s="2" t="n">
        <x:f>IF(E81=H81,1,0)</x:f>
        <x:v>0</x:v>
      </x:c>
      <x:c r="L81" s="2" t="str">
        <x:v>Frank / Mike</x:v>
      </x:c>
      <x:c r="M81" t="str"/>
      <x:c r="N81" t="str">
        <x:v>Supplied</x:v>
      </x:c>
      <x:c r="O81" t="str"/>
    </x:row>
    <x:row r="82" ht="22" customHeight="1">
      <x:c r="A82" s="2" t="n">
        <x:v>10</x:v>
      </x:c>
      <x:c r="B82" s="2" t="str">
        <x:v>Regular</x:v>
      </x:c>
      <x:c r="C82" s="2" t="str">
        <x:v>Mark</x:v>
      </x:c>
      <x:c r="D82" s="2" t="str">
        <x:v>wacky waving arms</x:v>
      </x:c>
      <x:c r="E82" s="15" t="n">
        <x:v>74</x:v>
      </x:c>
      <x:c r="F82" s="2" t="str">
        <x:v>Poker Dude</x:v>
      </x:c>
      <x:c r="G82" s="2" t="str">
        <x:v>james's Team</x:v>
      </x:c>
      <x:c r="H82" s="15" t="n">
        <x:v>82</x:v>
      </x:c>
      <x:c r="I82" s="2" t="str">
        <x:f>IF(E82&gt;H82,C82,IF(E82&lt;H82,F82,"Tie"))</x:f>
        <x:v>Poker Dude</x:v>
      </x:c>
      <x:c r="J82" s="2" t="str">
        <x:f>IF(E82&gt;H82,F82,IF(E82&lt;H82,C82,"Tie"))</x:f>
        <x:v>Mark</x:v>
      </x:c>
      <x:c r="K82" s="2" t="n">
        <x:f>IF(E82=H82,1,0)</x:f>
        <x:v>0</x:v>
      </x:c>
      <x:c r="L82" s="2" t="str">
        <x:v>Mark / Poker Dude</x:v>
      </x:c>
      <x:c r="M82" t="str"/>
      <x:c r="N82" t="str">
        <x:v>Supplied</x:v>
      </x:c>
      <x:c r="O82" t="str"/>
    </x:row>
    <x:row r="83" ht="22" customHeight="1">
      <x:c r="A83" s="2" t="n">
        <x:v>10</x:v>
      </x:c>
      <x:c r="B83" s="2" t="str">
        <x:v>Regular</x:v>
      </x:c>
      <x:c r="C83" s="2" t="str">
        <x:v>Ben</x:v>
      </x:c>
      <x:c r="D83" s="2" t="str">
        <x:v>NebGilum</x:v>
      </x:c>
      <x:c r="E83" s="15" t="n">
        <x:v>97</x:v>
      </x:c>
      <x:c r="F83" s="2" t="str">
        <x:v>Matt</x:v>
      </x:c>
      <x:c r="G83" s="2" t="str">
        <x:v>Mr.Montana</x:v>
      </x:c>
      <x:c r="H83" s="15" t="n">
        <x:v>90</x:v>
      </x:c>
      <x:c r="I83" s="2" t="str">
        <x:f>IF(E83&gt;H83,C83,IF(E83&lt;H83,F83,"Tie"))</x:f>
        <x:v>Ben</x:v>
      </x:c>
      <x:c r="J83" s="2" t="str">
        <x:f>IF(E83&gt;H83,F83,IF(E83&lt;H83,C83,"Tie"))</x:f>
        <x:v>Matt</x:v>
      </x:c>
      <x:c r="K83" s="2" t="n">
        <x:f>IF(E83=H83,1,0)</x:f>
        <x:v>0</x:v>
      </x:c>
      <x:c r="L83" s="2" t="str">
        <x:v>Ben / Matt</x:v>
      </x:c>
      <x:c r="M83" t="str"/>
      <x:c r="N83" t="str">
        <x:v>Supplied</x:v>
      </x:c>
      <x:c r="O83" t="str"/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106</x:v>
      </x:c>
      <x:c r="F84" s="2" t="str">
        <x:v>Poker Dude</x:v>
      </x:c>
      <x:c r="G84" s="2" t="str">
        <x:v>james's Team</x:v>
      </x:c>
      <x:c r="H84" s="15" t="n">
        <x:v>142</x:v>
      </x:c>
      <x:c r="I84" s="2" t="str">
        <x:f>IF(E84&gt;H84,C84,IF(E84&lt;H84,F84,"Tie"))</x:f>
        <x:v>Poker Dude</x:v>
      </x:c>
      <x:c r="J84" s="2" t="str">
        <x:f>IF(E84&gt;H84,F84,IF(E84&lt;H84,C84,"Tie"))</x:f>
        <x:v>Bruce</x:v>
      </x:c>
      <x:c r="K84" s="2" t="n">
        <x:f>IF(E84=H84,1,0)</x:f>
        <x:v>0</x:v>
      </x:c>
      <x:c r="L84" s="2" t="str">
        <x:v>Bruce / Poker Dude</x:v>
      </x:c>
      <x:c r="M84" t="str"/>
      <x:c r="N84" t="str">
        <x:v>Supplied</x:v>
      </x:c>
      <x:c r="O84" t="str"/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118</x:v>
      </x:c>
      <x:c r="F85" s="2" t="str">
        <x:v>Ben</x:v>
      </x:c>
      <x:c r="G85" s="2" t="str">
        <x:v>NebGilum</x:v>
      </x:c>
      <x:c r="H85" s="15" t="n">
        <x:v>123</x:v>
      </x:c>
      <x:c r="I85" s="2" t="str">
        <x:f>IF(E85&gt;H85,C85,IF(E85&lt;H85,F85,"Tie"))</x:f>
        <x:v>Ben</x:v>
      </x:c>
      <x:c r="J85" s="2" t="str">
        <x:f>IF(E85&gt;H85,F85,IF(E85&lt;H85,C85,"Tie"))</x:f>
        <x:v>Craig</x:v>
      </x:c>
      <x:c r="K85" s="2" t="n">
        <x:f>IF(E85=H85,1,0)</x:f>
        <x:v>0</x:v>
      </x:c>
      <x:c r="L85" s="2" t="str">
        <x:v>Ben / Craig</x:v>
      </x:c>
      <x:c r="M85" t="str"/>
      <x:c r="N85" t="str">
        <x:v>Supplied</x:v>
      </x:c>
      <x:c r="O85" t="str"/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2 Girls 1 Kupp</x:v>
      </x:c>
      <x:c r="E86" s="15" t="n">
        <x:v>119</x:v>
      </x:c>
      <x:c r="F86" s="2" t="str">
        <x:v>Paul</x:v>
      </x:c>
      <x:c r="G86" s="2" t="str">
        <x:v>Space Dogs</x:v>
      </x:c>
      <x:c r="H86" s="15" t="n">
        <x:v>86</x:v>
      </x:c>
      <x:c r="I86" s="2" t="str">
        <x:f>IF(E86&gt;H86,C86,IF(E86&lt;H86,F86,"Tie"))</x:f>
        <x:v>Dave</x:v>
      </x:c>
      <x:c r="J86" s="2" t="str">
        <x:f>IF(E86&gt;H86,F86,IF(E86&lt;H86,C86,"Tie"))</x:f>
        <x:v>Paul</x:v>
      </x:c>
      <x:c r="K86" s="2" t="n">
        <x:f>IF(E86=H86,1,0)</x:f>
        <x:v>0</x:v>
      </x:c>
      <x:c r="L86" s="2" t="str">
        <x:v>Dave / Paul</x:v>
      </x:c>
      <x:c r="M86" t="str"/>
      <x:c r="N86" t="str">
        <x:v>Supplied</x:v>
      </x:c>
      <x:c r="O86" t="str"/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Club Eroticas Finest</x:v>
      </x:c>
      <x:c r="E87" s="15" t="n">
        <x:v>91</x:v>
      </x:c>
      <x:c r="F87" s="2" t="str">
        <x:v>Mike</x:v>
      </x:c>
      <x:c r="G87" s="2" t="str">
        <x:v>Daniel’s Discount</x:v>
      </x:c>
      <x:c r="H87" s="15" t="n">
        <x:v>150</x:v>
      </x:c>
      <x:c r="I87" s="2" t="str">
        <x:f>IF(E87&gt;H87,C87,IF(E87&lt;H87,F87,"Tie"))</x:f>
        <x:v>Mike</x:v>
      </x:c>
      <x:c r="J87" s="2" t="str">
        <x:f>IF(E87&gt;H87,F87,IF(E87&lt;H87,C87,"Tie"))</x:f>
        <x:v>Ed</x:v>
      </x:c>
      <x:c r="K87" s="2" t="n">
        <x:f>IF(E87=H87,1,0)</x:f>
        <x:v>0</x:v>
      </x:c>
      <x:c r="L87" s="2" t="str">
        <x:v>Ed / Mike</x:v>
      </x:c>
      <x:c r="M87" t="str"/>
      <x:c r="N87" t="str">
        <x:v>Supplied</x:v>
      </x:c>
      <x:c r="O87" t="str"/>
    </x:row>
    <x:row r="88" ht="22" customHeight="1">
      <x:c r="A88" s="2" t="n">
        <x:v>11</x:v>
      </x:c>
      <x:c r="B88" s="2" t="str">
        <x:v>Regular</x:v>
      </x:c>
      <x:c r="C88" s="2" t="str">
        <x:v>Frank</x:v>
      </x:c>
      <x:c r="D88" s="2" t="str">
        <x:v>Saquon Deez Nutz</x:v>
      </x:c>
      <x:c r="E88" s="15" t="n">
        <x:v>108</x:v>
      </x:c>
      <x:c r="F88" s="2" t="str">
        <x:v>Mark</x:v>
      </x:c>
      <x:c r="G88" s="2" t="str">
        <x:v>wacky waving arms</x:v>
      </x:c>
      <x:c r="H88" s="15" t="n">
        <x:v>148</x:v>
      </x:c>
      <x:c r="I88" s="2" t="str">
        <x:f>IF(E88&gt;H88,C88,IF(E88&lt;H88,F88,"Tie"))</x:f>
        <x:v>Mark</x:v>
      </x:c>
      <x:c r="J88" s="2" t="str">
        <x:f>IF(E88&gt;H88,F88,IF(E88&lt;H88,C88,"Tie"))</x:f>
        <x:v>Frank</x:v>
      </x:c>
      <x:c r="K88" s="2" t="n">
        <x:f>IF(E88=H88,1,0)</x:f>
        <x:v>0</x:v>
      </x:c>
      <x:c r="L88" s="2" t="str">
        <x:v>Frank / Mark</x:v>
      </x:c>
      <x:c r="M88" t="str"/>
      <x:c r="N88" t="str">
        <x:v>Supplied</x:v>
      </x:c>
      <x:c r="O88" t="str"/>
    </x:row>
    <x:row r="89" ht="22" customHeight="1">
      <x:c r="A89" s="2" t="n">
        <x:v>11</x:v>
      </x:c>
      <x:c r="B89" s="2" t="str">
        <x:v>Regular</x:v>
      </x:c>
      <x:c r="C89" s="2" t="str">
        <x:v>Josh</x:v>
      </x:c>
      <x:c r="D89" s="2" t="str">
        <x:v>Tier 2</x:v>
      </x:c>
      <x:c r="E89" s="15" t="n">
        <x:v>131</x:v>
      </x:c>
      <x:c r="F89" s="2" t="str">
        <x:v>Matt</x:v>
      </x:c>
      <x:c r="G89" s="2" t="str">
        <x:v>Mr.Montana</x:v>
      </x:c>
      <x:c r="H89" s="15" t="n">
        <x:v>113</x:v>
      </x:c>
      <x:c r="I89" s="2" t="str">
        <x:f>IF(E89&gt;H89,C89,IF(E89&lt;H89,F89,"Tie"))</x:f>
        <x:v>Josh</x:v>
      </x:c>
      <x:c r="J89" s="2" t="str">
        <x:f>IF(E89&gt;H89,F89,IF(E89&lt;H89,C89,"Tie"))</x:f>
        <x:v>Matt</x:v>
      </x:c>
      <x:c r="K89" s="2" t="n">
        <x:f>IF(E89=H89,1,0)</x:f>
        <x:v>0</x:v>
      </x:c>
      <x:c r="L89" s="2" t="str">
        <x:v>Josh / Matt</x:v>
      </x:c>
      <x:c r="M89" t="str"/>
      <x:c r="N89" t="str">
        <x:v>Supplied</x:v>
      </x:c>
      <x:c r="O89" t="str"/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155</x:v>
      </x:c>
      <x:c r="F90" s="2" t="str">
        <x:v>Ben</x:v>
      </x:c>
      <x:c r="G90" s="2" t="str">
        <x:v>NebGilum</x:v>
      </x:c>
      <x:c r="H90" s="15" t="n">
        <x:v>124</x:v>
      </x:c>
      <x:c r="I90" s="2" t="str">
        <x:f>IF(E90&gt;H90,C90,IF(E90&lt;H90,F90,"Tie"))</x:f>
        <x:v>Bruce</x:v>
      </x:c>
      <x:c r="J90" s="2" t="str">
        <x:f>IF(E90&gt;H90,F90,IF(E90&lt;H90,C90,"Tie"))</x:f>
        <x:v>Ben</x:v>
      </x:c>
      <x:c r="K90" s="2" t="n">
        <x:f>IF(E90=H90,1,0)</x:f>
        <x:v>0</x:v>
      </x:c>
      <x:c r="L90" s="2" t="str">
        <x:v>Ben / Bruce</x:v>
      </x:c>
      <x:c r="M90" t="str"/>
      <x:c r="N90" t="str">
        <x:v>Supplied</x:v>
      </x:c>
      <x:c r="O90" t="str"/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100</x:v>
      </x:c>
      <x:c r="F91" s="2" t="str">
        <x:v>Ed</x:v>
      </x:c>
      <x:c r="G91" s="2" t="str">
        <x:v>Club Eroticas Finest</x:v>
      </x:c>
      <x:c r="H91" s="15" t="n">
        <x:v>106</x:v>
      </x:c>
      <x:c r="I91" s="2" t="str">
        <x:f>IF(E91&gt;H91,C91,IF(E91&lt;H91,F91,"Tie"))</x:f>
        <x:v>Ed</x:v>
      </x:c>
      <x:c r="J91" s="2" t="str">
        <x:f>IF(E91&gt;H91,F91,IF(E91&lt;H91,C91,"Tie"))</x:f>
        <x:v>Craig</x:v>
      </x:c>
      <x:c r="K91" s="2" t="n">
        <x:f>IF(E91=H91,1,0)</x:f>
        <x:v>0</x:v>
      </x:c>
      <x:c r="L91" s="2" t="str">
        <x:v>Craig / Ed</x:v>
      </x:c>
      <x:c r="M91" t="str"/>
      <x:c r="N91" t="str">
        <x:v>Supplied</x:v>
      </x:c>
      <x:c r="O91" t="str"/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2 Girls 1 Kupp</x:v>
      </x:c>
      <x:c r="E92" s="15" t="n">
        <x:v>141</x:v>
      </x:c>
      <x:c r="F92" s="2" t="str">
        <x:v>Frank</x:v>
      </x:c>
      <x:c r="G92" s="2" t="str">
        <x:v>Saquon Deez Nutz</x:v>
      </x:c>
      <x:c r="H92" s="15" t="n">
        <x:v>123</x:v>
      </x:c>
      <x:c r="I92" s="2" t="str">
        <x:f>IF(E92&gt;H92,C92,IF(E92&lt;H92,F92,"Tie"))</x:f>
        <x:v>Dave</x:v>
      </x:c>
      <x:c r="J92" s="2" t="str">
        <x:f>IF(E92&gt;H92,F92,IF(E92&lt;H92,C92,"Tie"))</x:f>
        <x:v>Frank</x:v>
      </x:c>
      <x:c r="K92" s="2" t="n">
        <x:f>IF(E92=H92,1,0)</x:f>
        <x:v>0</x:v>
      </x:c>
      <x:c r="L92" s="2" t="str">
        <x:v>Dave / Frank</x:v>
      </x:c>
      <x:c r="M92" t="str"/>
      <x:c r="N92" t="str">
        <x:v>Supplied</x:v>
      </x:c>
      <x:c r="O92" t="str"/>
    </x:row>
    <x:row r="93" ht="22" customHeight="1">
      <x:c r="A93" s="2" t="n">
        <x:v>12</x:v>
      </x:c>
      <x:c r="B93" s="2" t="str">
        <x:v>Regular</x:v>
      </x:c>
      <x:c r="C93" s="2" t="str">
        <x:v>Mike</x:v>
      </x:c>
      <x:c r="D93" s="2" t="str">
        <x:v>Daniel’s Discount</x:v>
      </x:c>
      <x:c r="E93" s="15" t="n">
        <x:v>135</x:v>
      </x:c>
      <x:c r="F93" s="2" t="str">
        <x:v>Paul</x:v>
      </x:c>
      <x:c r="G93" s="2" t="str">
        <x:v>Space Dogs</x:v>
      </x:c>
      <x:c r="H93" s="15" t="n">
        <x:v>97</x:v>
      </x:c>
      <x:c r="I93" s="2" t="str">
        <x:f>IF(E93&gt;H93,C93,IF(E93&lt;H93,F93,"Tie"))</x:f>
        <x:v>Mike</x:v>
      </x:c>
      <x:c r="J93" s="2" t="str">
        <x:f>IF(E93&gt;H93,F93,IF(E93&lt;H93,C93,"Tie"))</x:f>
        <x:v>Paul</x:v>
      </x:c>
      <x:c r="K93" s="2" t="n">
        <x:f>IF(E93=H93,1,0)</x:f>
        <x:v>0</x:v>
      </x:c>
      <x:c r="L93" s="2" t="str">
        <x:v>Mike / Paul</x:v>
      </x:c>
      <x:c r="M93" t="str"/>
      <x:c r="N93" t="str">
        <x:v>Supplied</x:v>
      </x:c>
      <x:c r="O93" t="str"/>
    </x:row>
    <x:row r="94" ht="22" customHeight="1">
      <x:c r="A94" s="2" t="n">
        <x:v>12</x:v>
      </x:c>
      <x:c r="B94" s="2" t="str">
        <x:v>Regular</x:v>
      </x:c>
      <x:c r="C94" s="2" t="str">
        <x:v>Josh</x:v>
      </x:c>
      <x:c r="D94" s="2" t="str">
        <x:v>Tier 2</x:v>
      </x:c>
      <x:c r="E94" s="15" t="n">
        <x:v>98</x:v>
      </x:c>
      <x:c r="F94" s="2" t="str">
        <x:v>Mark</x:v>
      </x:c>
      <x:c r="G94" s="2" t="str">
        <x:v>wacky waving arms</x:v>
      </x:c>
      <x:c r="H94" s="15" t="n">
        <x:v>75</x:v>
      </x:c>
      <x:c r="I94" s="2" t="str">
        <x:f>IF(E94&gt;H94,C94,IF(E94&lt;H94,F94,"Tie"))</x:f>
        <x:v>Josh</x:v>
      </x:c>
      <x:c r="J94" s="2" t="str">
        <x:f>IF(E94&gt;H94,F94,IF(E94&lt;H94,C94,"Tie"))</x:f>
        <x:v>Mark</x:v>
      </x:c>
      <x:c r="K94" s="2" t="n">
        <x:f>IF(E94=H94,1,0)</x:f>
        <x:v>0</x:v>
      </x:c>
      <x:c r="L94" s="2" t="str">
        <x:v>Josh / Mark</x:v>
      </x:c>
      <x:c r="M94" t="str"/>
      <x:c r="N94" t="str">
        <x:v>Supplied</x:v>
      </x:c>
      <x:c r="O94" t="str"/>
    </x:row>
    <x:row r="95" ht="22" customHeight="1">
      <x:c r="A95" s="2" t="n">
        <x:v>12</x:v>
      </x:c>
      <x:c r="B95" s="2" t="str">
        <x:v>Regular</x:v>
      </x:c>
      <x:c r="C95" s="2" t="str">
        <x:v>Poker Dude</x:v>
      </x:c>
      <x:c r="D95" s="2" t="str">
        <x:v>james's Team</x:v>
      </x:c>
      <x:c r="E95" s="15" t="n">
        <x:v>117</x:v>
      </x:c>
      <x:c r="F95" s="2" t="str">
        <x:v>Matt</x:v>
      </x:c>
      <x:c r="G95" s="2" t="str">
        <x:v>Mr.Montana</x:v>
      </x:c>
      <x:c r="H95" s="15" t="n">
        <x:v>154</x:v>
      </x:c>
      <x:c r="I95" s="2" t="str">
        <x:f>IF(E95&gt;H95,C95,IF(E95&lt;H95,F95,"Tie"))</x:f>
        <x:v>Matt</x:v>
      </x:c>
      <x:c r="J95" s="2" t="str">
        <x:f>IF(E95&gt;H95,F95,IF(E95&lt;H95,C95,"Tie"))</x:f>
        <x:v>Poker Dude</x:v>
      </x:c>
      <x:c r="K95" s="2" t="n">
        <x:f>IF(E95=H95,1,0)</x:f>
        <x:v>0</x:v>
      </x:c>
      <x:c r="L95" s="2" t="str">
        <x:v>Matt / Poker Dude</x:v>
      </x:c>
      <x:c r="M95" t="str"/>
      <x:c r="N95" t="str">
        <x:v>Supplied</x:v>
      </x:c>
      <x:c r="O95" t="str"/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91</x:v>
      </x:c>
      <x:c r="F96" s="2" t="str">
        <x:v>Mark</x:v>
      </x:c>
      <x:c r="G96" s="2" t="str">
        <x:v>wacky waving arms</x:v>
      </x:c>
      <x:c r="H96" s="15" t="n">
        <x:v>130</x:v>
      </x:c>
      <x:c r="I96" s="2" t="str">
        <x:f>IF(E96&gt;H96,C96,IF(E96&lt;H96,F96,"Tie"))</x:f>
        <x:v>Mark</x:v>
      </x:c>
      <x:c r="J96" s="2" t="str">
        <x:f>IF(E96&gt;H96,F96,IF(E96&lt;H96,C96,"Tie"))</x:f>
        <x:v>Bruce</x:v>
      </x:c>
      <x:c r="K96" s="2" t="n">
        <x:f>IF(E96=H96,1,0)</x:f>
        <x:v>0</x:v>
      </x:c>
      <x:c r="L96" s="2" t="str">
        <x:v>Bruce / Mark</x:v>
      </x:c>
      <x:c r="M96" t="str"/>
      <x:c r="N96" t="str">
        <x:v>Supplied</x:v>
      </x:c>
      <x:c r="O96" t="str"/>
    </x:row>
    <x:row r="97" ht="22" customHeight="1">
      <x:c r="A97" s="2" t="n">
        <x:v>13</x:v>
      </x:c>
      <x:c r="B97" s="2" t="str">
        <x:v>Regular</x:v>
      </x:c>
      <x:c r="C97" s="2" t="str">
        <x:v>Craig</x:v>
      </x:c>
      <x:c r="D97" s="2" t="str">
        <x:v>The Ants Marching</x:v>
      </x:c>
      <x:c r="E97" s="15" t="n">
        <x:v>111</x:v>
      </x:c>
      <x:c r="F97" s="2" t="str">
        <x:v>Matt</x:v>
      </x:c>
      <x:c r="G97" s="2" t="str">
        <x:v>Mr.Montana</x:v>
      </x:c>
      <x:c r="H97" s="15" t="n">
        <x:v>181</x:v>
      </x:c>
      <x:c r="I97" s="2" t="str">
        <x:f>IF(E97&gt;H97,C97,IF(E97&lt;H97,F97,"Tie"))</x:f>
        <x:v>Matt</x:v>
      </x:c>
      <x:c r="J97" s="2" t="str">
        <x:f>IF(E97&gt;H97,F97,IF(E97&lt;H97,C97,"Tie"))</x:f>
        <x:v>Craig</x:v>
      </x:c>
      <x:c r="K97" s="2" t="n">
        <x:f>IF(E97=H97,1,0)</x:f>
        <x:v>0</x:v>
      </x:c>
      <x:c r="L97" s="2" t="str">
        <x:v>Craig / Matt</x:v>
      </x:c>
      <x:c r="M97" t="str"/>
      <x:c r="N97" t="str">
        <x:v>Supplied</x:v>
      </x:c>
      <x:c r="O97" t="str"/>
    </x:row>
    <x:row r="98" ht="22" customHeight="1">
      <x:c r="A98" s="2" t="n">
        <x:v>13</x:v>
      </x:c>
      <x:c r="B98" s="2" t="str">
        <x:v>Regular</x:v>
      </x:c>
      <x:c r="C98" s="2" t="str">
        <x:v>Dave</x:v>
      </x:c>
      <x:c r="D98" s="2" t="str">
        <x:v>2 Girls 1 Kupp</x:v>
      </x:c>
      <x:c r="E98" s="15" t="n">
        <x:v>85</x:v>
      </x:c>
      <x:c r="F98" s="2" t="str">
        <x:v>Ben</x:v>
      </x:c>
      <x:c r="G98" s="2" t="str">
        <x:v>NebGilum</x:v>
      </x:c>
      <x:c r="H98" s="15" t="n">
        <x:v>113</x:v>
      </x:c>
      <x:c r="I98" s="2" t="str">
        <x:f>IF(E98&gt;H98,C98,IF(E98&lt;H98,F98,"Tie"))</x:f>
        <x:v>Ben</x:v>
      </x:c>
      <x:c r="J98" s="2" t="str">
        <x:f>IF(E98&gt;H98,F98,IF(E98&lt;H98,C98,"Tie"))</x:f>
        <x:v>Dave</x:v>
      </x:c>
      <x:c r="K98" s="2" t="n">
        <x:f>IF(E98=H98,1,0)</x:f>
        <x:v>0</x:v>
      </x:c>
      <x:c r="L98" s="2" t="str">
        <x:v>Ben / Dave</x:v>
      </x:c>
      <x:c r="M98" t="str"/>
      <x:c r="N98" t="str">
        <x:v>Supplied</x:v>
      </x:c>
      <x:c r="O98" t="str"/>
    </x:row>
    <x:row r="99" ht="22" customHeight="1">
      <x:c r="A99" s="2" t="n">
        <x:v>13</x:v>
      </x:c>
      <x:c r="B99" s="2" t="str">
        <x:v>Regular</x:v>
      </x:c>
      <x:c r="C99" s="2" t="str">
        <x:v>Ed</x:v>
      </x:c>
      <x:c r="D99" s="2" t="str">
        <x:v>Club Eroticas Finest</x:v>
      </x:c>
      <x:c r="E99" s="15" t="n">
        <x:v>122</x:v>
      </x:c>
      <x:c r="F99" s="2" t="str">
        <x:v>Josh</x:v>
      </x:c>
      <x:c r="G99" s="2" t="str">
        <x:v>Tier 2</x:v>
      </x:c>
      <x:c r="H99" s="15" t="n">
        <x:v>104</x:v>
      </x:c>
      <x:c r="I99" s="2" t="str">
        <x:f>IF(E99&gt;H99,C99,IF(E99&lt;H99,F99,"Tie"))</x:f>
        <x:v>Ed</x:v>
      </x:c>
      <x:c r="J99" s="2" t="str">
        <x:f>IF(E99&gt;H99,F99,IF(E99&lt;H99,C99,"Tie"))</x:f>
        <x:v>Josh</x:v>
      </x:c>
      <x:c r="K99" s="2" t="n">
        <x:f>IF(E99=H99,1,0)</x:f>
        <x:v>0</x:v>
      </x:c>
      <x:c r="L99" s="2" t="str">
        <x:v>Ed / Josh</x:v>
      </x:c>
      <x:c r="M99" t="str"/>
      <x:c r="N99" t="str">
        <x:v>Supplied</x:v>
      </x:c>
      <x:c r="O99" t="str"/>
    </x:row>
    <x:row r="100" ht="22" customHeight="1">
      <x:c r="A100" s="2" t="n">
        <x:v>13</x:v>
      </x:c>
      <x:c r="B100" s="2" t="str">
        <x:v>Regular</x:v>
      </x:c>
      <x:c r="C100" s="2" t="str">
        <x:v>Frank</x:v>
      </x:c>
      <x:c r="D100" s="2" t="str">
        <x:v>Saquon Deez Nutz</x:v>
      </x:c>
      <x:c r="E100" s="15" t="n">
        <x:v>119</x:v>
      </x:c>
      <x:c r="F100" s="2" t="str">
        <x:v>Paul</x:v>
      </x:c>
      <x:c r="G100" s="2" t="str">
        <x:v>Space Dogs</x:v>
      </x:c>
      <x:c r="H100" s="15" t="n">
        <x:v>130</x:v>
      </x:c>
      <x:c r="I100" s="2" t="str">
        <x:f>IF(E100&gt;H100,C100,IF(E100&lt;H100,F100,"Tie"))</x:f>
        <x:v>Paul</x:v>
      </x:c>
      <x:c r="J100" s="2" t="str">
        <x:f>IF(E100&gt;H100,F100,IF(E100&lt;H100,C100,"Tie"))</x:f>
        <x:v>Frank</x:v>
      </x:c>
      <x:c r="K100" s="2" t="n">
        <x:f>IF(E100=H100,1,0)</x:f>
        <x:v>0</x:v>
      </x:c>
      <x:c r="L100" s="2" t="str">
        <x:v>Frank / Paul</x:v>
      </x:c>
      <x:c r="M100" t="str"/>
      <x:c r="N100" t="str">
        <x:v>Supplied</x:v>
      </x:c>
      <x:c r="O100" t="str"/>
    </x:row>
    <x:row r="101" ht="22" customHeight="1">
      <x:c r="A101" s="2" t="n">
        <x:v>13</x:v>
      </x:c>
      <x:c r="B101" s="2" t="str">
        <x:v>Regular</x:v>
      </x:c>
      <x:c r="C101" s="2" t="str">
        <x:v>Mike</x:v>
      </x:c>
      <x:c r="D101" s="2" t="str">
        <x:v>Daniel’s Discount</x:v>
      </x:c>
      <x:c r="E101" s="15" t="n">
        <x:v>113</x:v>
      </x:c>
      <x:c r="F101" s="2" t="str">
        <x:v>Poker Dude</x:v>
      </x:c>
      <x:c r="G101" s="2" t="str">
        <x:v>james's Team</x:v>
      </x:c>
      <x:c r="H101" s="15" t="n">
        <x:v>91</x:v>
      </x:c>
      <x:c r="I101" s="2" t="str">
        <x:f>IF(E101&gt;H101,C101,IF(E101&lt;H101,F101,"Tie"))</x:f>
        <x:v>Mike</x:v>
      </x:c>
      <x:c r="J101" s="2" t="str">
        <x:f>IF(E101&gt;H101,F101,IF(E101&lt;H101,C101,"Tie"))</x:f>
        <x:v>Poker Dude</x:v>
      </x:c>
      <x:c r="K101" s="2" t="n">
        <x:f>IF(E101=H101,1,0)</x:f>
        <x:v>0</x:v>
      </x:c>
      <x:c r="L101" s="2" t="str">
        <x:v>Mike / Poker Dude</x:v>
      </x:c>
      <x:c r="M101" t="str"/>
      <x:c r="N101" t="str">
        <x:v>Supplied</x:v>
      </x:c>
      <x:c r="O101" t="str"/>
    </x:row>
    <x:row r="102" ht="22" customHeight="1">
      <x:c r="A102" s="2" t="n">
        <x:v>14</x:v>
      </x:c>
      <x:c r="B102" s="2" t="str">
        <x:v>Playoffs</x:v>
      </x:c>
      <x:c r="C102" s="2" t="str">
        <x:v>Ed</x:v>
      </x:c>
      <x:c r="D102" s="2" t="str">
        <x:v>Club Eroticas Finest</x:v>
      </x:c>
      <x:c r="E102" s="15" t="n">
        <x:v>77</x:v>
      </x:c>
      <x:c r="F102" s="2" t="str">
        <x:v>Matt</x:v>
      </x:c>
      <x:c r="G102" s="2" t="str">
        <x:v>Mr.Montana</x:v>
      </x:c>
      <x:c r="H102" s="15" t="n">
        <x:v>86</x:v>
      </x:c>
      <x:c r="I102" s="2" t="str">
        <x:f>IF(E102&gt;H102,C102,IF(E102&lt;H102,F102,"Tie"))</x:f>
        <x:v>Matt</x:v>
      </x:c>
      <x:c r="J102" s="2" t="str">
        <x:f>IF(E102&gt;H102,F102,IF(E102&lt;H102,C102,"Tie"))</x:f>
        <x:v>Ed</x:v>
      </x:c>
      <x:c r="K102" s="2" t="n">
        <x:f>IF(E102=H102,1,0)</x:f>
        <x:v>0</x:v>
      </x:c>
      <x:c r="L102" s="2" t="str">
        <x:v>Ed / Matt</x:v>
      </x:c>
      <x:c r="M102" t="str">
        <x:v>Quarterfinal</x:v>
      </x:c>
      <x:c r="N102" t="str">
        <x:v>Supplied</x:v>
      </x:c>
      <x:c r="O102" t="str"/>
    </x:row>
    <x:row r="103" ht="22" customHeight="1">
      <x:c r="A103" s="2" t="n">
        <x:v>14</x:v>
      </x:c>
      <x:c r="B103" s="2" t="str">
        <x:v>Playoffs</x:v>
      </x:c>
      <x:c r="C103" s="2" t="str">
        <x:v>Mike</x:v>
      </x:c>
      <x:c r="D103" s="2" t="str">
        <x:v>Daniel’s Discount</x:v>
      </x:c>
      <x:c r="E103" s="15" t="n">
        <x:v>70</x:v>
      </x:c>
      <x:c r="F103" s="2" t="str">
        <x:v>Dave</x:v>
      </x:c>
      <x:c r="G103" s="2" t="str">
        <x:v>2 Girls 1 Kupp</x:v>
      </x:c>
      <x:c r="H103" s="15" t="n">
        <x:v>108</x:v>
      </x:c>
      <x:c r="I103" s="2" t="str">
        <x:f>IF(E103&gt;H103,C103,IF(E103&lt;H103,F103,"Tie"))</x:f>
        <x:v>Dave</x:v>
      </x:c>
      <x:c r="J103" s="2" t="str">
        <x:f>IF(E103&gt;H103,F103,IF(E103&lt;H103,C103,"Tie"))</x:f>
        <x:v>Mike</x:v>
      </x:c>
      <x:c r="K103" s="2" t="n">
        <x:f>IF(E103=H103,1,0)</x:f>
        <x:v>0</x:v>
      </x:c>
      <x:c r="L103" s="2" t="str">
        <x:v>Dave / Mike</x:v>
      </x:c>
      <x:c r="M103" t="str">
        <x:v>Quarterfinal</x:v>
      </x:c>
      <x:c r="N103" t="str">
        <x:v>Supplied</x:v>
      </x:c>
      <x:c r="O103" t="str"/>
    </x:row>
    <x:row r="104" ht="22" customHeight="1">
      <x:c r="A104" s="2" t="n">
        <x:v>15</x:v>
      </x:c>
      <x:c r="B104" s="2" t="str">
        <x:v>Playoffs</x:v>
      </x:c>
      <x:c r="C104" s="2" t="str">
        <x:v>Josh</x:v>
      </x:c>
      <x:c r="D104" s="2" t="str">
        <x:v>Tier 2</x:v>
      </x:c>
      <x:c r="E104" s="15" t="n">
        <x:v>99</x:v>
      </x:c>
      <x:c r="F104" s="2" t="str">
        <x:v>Matt</x:v>
      </x:c>
      <x:c r="G104" s="2" t="str">
        <x:v>Mr.Montana</x:v>
      </x:c>
      <x:c r="H104" s="15" t="n">
        <x:v>172</x:v>
      </x:c>
      <x:c r="I104" s="2" t="str">
        <x:f>IF(E104&gt;H104,C104,IF(E104&lt;H104,F104,"Tie"))</x:f>
        <x:v>Matt</x:v>
      </x:c>
      <x:c r="J104" s="2" t="str">
        <x:f>IF(E104&gt;H104,F104,IF(E104&lt;H104,C104,"Tie"))</x:f>
        <x:v>Josh</x:v>
      </x:c>
      <x:c r="K104" s="2" t="n">
        <x:f>IF(E104=H104,1,0)</x:f>
        <x:v>0</x:v>
      </x:c>
      <x:c r="L104" s="2" t="str">
        <x:v>Josh / Matt</x:v>
      </x:c>
      <x:c r="M104" t="str">
        <x:v>Semifinal</x:v>
      </x:c>
      <x:c r="N104" t="str">
        <x:v>Supplied</x:v>
      </x:c>
      <x:c r="O104" t="str"/>
    </x:row>
    <x:row r="105" ht="22" customHeight="1">
      <x:c r="A105" s="2" t="n">
        <x:v>15</x:v>
      </x:c>
      <x:c r="B105" s="2" t="str">
        <x:v>Playoffs</x:v>
      </x:c>
      <x:c r="C105" s="2" t="str">
        <x:v>Ben</x:v>
      </x:c>
      <x:c r="D105" s="2" t="str">
        <x:v>NebGilum</x:v>
      </x:c>
      <x:c r="E105" s="15" t="n">
        <x:v>150</x:v>
      </x:c>
      <x:c r="F105" s="2" t="str">
        <x:v>Dave</x:v>
      </x:c>
      <x:c r="G105" s="2" t="str">
        <x:v>2 Girls 1 Kupp</x:v>
      </x:c>
      <x:c r="H105" s="15" t="n">
        <x:v>101</x:v>
      </x:c>
      <x:c r="I105" s="2" t="str">
        <x:f>IF(E105&gt;H105,C105,IF(E105&lt;H105,F105,"Tie"))</x:f>
        <x:v>Ben</x:v>
      </x:c>
      <x:c r="J105" s="2" t="str">
        <x:f>IF(E105&gt;H105,F105,IF(E105&lt;H105,C105,"Tie"))</x:f>
        <x:v>Dave</x:v>
      </x:c>
      <x:c r="K105" s="2" t="n">
        <x:f>IF(E105=H105,1,0)</x:f>
        <x:v>0</x:v>
      </x:c>
      <x:c r="L105" s="2" t="str">
        <x:v>Ben / Dave</x:v>
      </x:c>
      <x:c r="M105" t="str">
        <x:v>Semifinal</x:v>
      </x:c>
      <x:c r="N105" t="str">
        <x:v>Supplied</x:v>
      </x:c>
      <x:c r="O105" t="str"/>
    </x:row>
    <x:row r="106" ht="22" customHeight="1">
      <x:c r="A106" s="2" t="n">
        <x:v>16</x:v>
      </x:c>
      <x:c r="B106" s="2" t="str">
        <x:v>Playoffs</x:v>
      </x:c>
      <x:c r="C106" s="2" t="str">
        <x:v>Ben</x:v>
      </x:c>
      <x:c r="D106" s="2" t="str">
        <x:v>NebGilum</x:v>
      </x:c>
      <x:c r="E106" s="15" t="n">
        <x:v>137</x:v>
      </x:c>
      <x:c r="F106" s="2" t="str">
        <x:v>Matt</x:v>
      </x:c>
      <x:c r="G106" s="2" t="str">
        <x:v>Mr.Montana</x:v>
      </x:c>
      <x:c r="H106" s="15" t="n">
        <x:v>150</x:v>
      </x:c>
      <x:c r="I106" s="2" t="str">
        <x:f>IF(E106&gt;H106,C106,IF(E106&lt;H106,F106,"Tie"))</x:f>
        <x:v>Matt</x:v>
      </x:c>
      <x:c r="J106" s="2" t="str">
        <x:f>IF(E106&gt;H106,F106,IF(E106&lt;H106,C106,"Tie"))</x:f>
        <x:v>Ben</x:v>
      </x:c>
      <x:c r="K106" s="2" t="n">
        <x:f>IF(E106=H106,1,0)</x:f>
        <x:v>0</x:v>
      </x:c>
      <x:c r="L106" s="2" t="str">
        <x:v>Ben / Matt</x:v>
      </x:c>
      <x:c r="M106" t="str">
        <x:v>Final</x:v>
      </x:c>
      <x:c r="N106" t="str">
        <x:v>Supplied</x:v>
      </x:c>
      <x:c r="O106" t="str"/>
    </x:row>
  </x:sheetData>
  <x:pageMargins left="0.7" right="0.7" top="0.75" bottom="0.75" header="0.3" footer="0.3"/>
  <x:tableParts count="1">
    <x:tablePart xmlns:r="http://schemas.openxmlformats.org/officeDocument/2006/relationships" r:id="R3ddcb9a1dcd0484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2021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Poker Dude</x:v>
      </x:c>
      <x:c r="C4" s="2"/>
      <x:c r="D4" s="2" t="str">
        <x:v>Runner-up</x:v>
      </x:c>
      <x:c r="E4" s="2" t="str">
        <x:v>Paul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18" t="str">
        <x:v>Manager</x:v>
      </x:c>
      <x:c r="B6" s="18" t="str">
        <x:v>Team</x:v>
      </x:c>
      <x:c r="C6" s="18" t="str">
        <x:v>W</x:v>
      </x:c>
      <x:c r="D6" s="18" t="str">
        <x:v>L</x:v>
      </x:c>
      <x:c r="E6" s="18" t="str">
        <x:v>T</x:v>
      </x:c>
      <x:c r="F6" s="18" t="str">
        <x:v>Games</x:v>
      </x:c>
      <x:c r="G6" s="18" t="str">
        <x:v>Win %</x:v>
      </x:c>
      <x:c r="H6" s="18" t="str">
        <x:v>PF</x:v>
      </x:c>
      <x:c r="I6" s="18" t="str">
        <x:v>PA</x:v>
      </x:c>
      <x:c r="J6" s="18" t="str">
        <x:v>Moves</x:v>
      </x:c>
      <x:c r="K6" s="18" t="str">
        <x:v>Trades</x:v>
      </x:c>
      <x:c r="L6" s="18" t="str">
        <x:v>Waiver</x:v>
      </x:c>
    </x:row>
    <x:row r="7" ht="22" customHeight="1">
      <x:c r="A7" s="2" t="str">
        <x:v>Bruce</x:v>
      </x:c>
      <x:c r="B7" s="2" t="str">
        <x:v>The Storm</x:v>
      </x:c>
      <x:c r="C7" s="2" t="n">
        <x:f>COUNTIFS('2021'!$I$24:$I$112,A7,'2021'!$B$24:$B$112,"&lt;&gt;Playoffs")</x:f>
        <x:v>7</x:v>
      </x:c>
      <x:c r="D7" s="2" t="n">
        <x:f>COUNTIFS('2021'!$J$24:$J$112,A7,'2021'!$B$24:$B$112,"&lt;&gt;Playoffs")</x:f>
        <x:v>7</x:v>
      </x:c>
      <x:c r="E7" s="2" t="n">
        <x:f>COUNTIFS('2021'!$C$24:$C$112,A7,'2021'!$K$24:$K$112,1,'2021'!$B$24:$B$112,"&lt;&gt;Playoffs")+COUNTIFS('2021'!$F$24:$F$112,A7,'2021'!$K$24:$K$112,1,'2021'!$B$24:$B$112,"&lt;&gt;Playoffs")</x:f>
        <x:v>0</x:v>
      </x:c>
      <x:c r="F7" s="2" t="n">
        <x:f>SUM(C7:E7)</x:f>
        <x:v>14</x:v>
      </x:c>
      <x:c r="G7" s="11" t="n">
        <x:f>IF(F7=0,0,(C7+0.5*E7)/F7)</x:f>
        <x:v>0.5</x:v>
      </x:c>
      <x:c r="H7" s="25" t="n">
        <x:f>SUMIFS('2021'!$E$24:$E$112,'2021'!$C$24:$C$112,A7,'2021'!$B$24:$B$112,"&lt;&gt;Playoffs")+SUMIFS('2021'!$H$24:$H$112,'2021'!$F$24:$F$112,A7,'2021'!$B$24:$B$112,"&lt;&gt;Playoffs")</x:f>
        <x:v>1774.75</x:v>
      </x:c>
      <x:c r="I7" s="25" t="n">
        <x:f>SUMIFS('2021'!$H$24:$H$112,'2021'!$C$24:$C$112,A7,'2021'!$B$24:$B$112,"&lt;&gt;Playoffs")+SUMIFS('2021'!$E$24:$E$112,'2021'!$F$24:$F$112,A7,'2021'!$B$24:$B$112,"&lt;&gt;Playoffs")</x:f>
        <x:v>1789.1</x:v>
      </x:c>
      <x:c r="J7" s="2" t="n">
        <x:v>9</x:v>
      </x:c>
      <x:c r="K7" s="2" t="n">
        <x:v>1</x:v>
      </x:c>
      <x:c r="L7" s="2" t="n">
        <x:v>6</x:v>
      </x:c>
    </x:row>
    <x:row r="8" ht="22" customHeight="1">
      <x:c r="A8" s="22" t="str">
        <x:v>Craig</x:v>
      </x:c>
      <x:c r="B8" s="22" t="str">
        <x:v>The Ants Marching</x:v>
      </x:c>
      <x:c r="C8" s="22" t="n">
        <x:f>COUNTIFS('2021'!$I$24:$I$112,A8,'2021'!$B$24:$B$112,"&lt;&gt;Playoffs")</x:f>
        <x:v>7</x:v>
      </x:c>
      <x:c r="D8" s="22" t="n">
        <x:f>COUNTIFS('2021'!$J$24:$J$112,A8,'2021'!$B$24:$B$112,"&lt;&gt;Playoffs")</x:f>
        <x:v>7</x:v>
      </x:c>
      <x:c r="E8" s="22" t="n">
        <x:f>COUNTIFS('2021'!$C$24:$C$112,A8,'2021'!$K$24:$K$112,1,'2021'!$B$24:$B$112,"&lt;&gt;Playoffs")+COUNTIFS('2021'!$F$24:$F$112,A8,'2021'!$K$24:$K$112,1,'2021'!$B$24:$B$112,"&lt;&gt;Playoffs")</x:f>
        <x:v>0</x:v>
      </x:c>
      <x:c r="F8" s="22" t="n">
        <x:f>SUM(C8:E8)</x:f>
        <x:v>14</x:v>
      </x:c>
      <x:c r="G8" s="23" t="n">
        <x:f>IF(F8=0,0,(C8+0.5*E8)/F8)</x:f>
        <x:v>0.5</x:v>
      </x:c>
      <x:c r="H8" s="26" t="n">
        <x:f>SUMIFS('2021'!$E$24:$E$112,'2021'!$C$24:$C$112,A8,'2021'!$B$24:$B$112,"&lt;&gt;Playoffs")+SUMIFS('2021'!$H$24:$H$112,'2021'!$F$24:$F$112,A8,'2021'!$B$24:$B$112,"&lt;&gt;Playoffs")</x:f>
        <x:v>1690.6000000000001</x:v>
      </x:c>
      <x:c r="I8" s="26" t="n">
        <x:f>SUMIFS('2021'!$H$24:$H$112,'2021'!$C$24:$C$112,A8,'2021'!$B$24:$B$112,"&lt;&gt;Playoffs")+SUMIFS('2021'!$E$24:$E$112,'2021'!$F$24:$F$112,A8,'2021'!$B$24:$B$112,"&lt;&gt;Playoffs")</x:f>
        <x:v>1651.0000000000002</x:v>
      </x:c>
      <x:c r="J8" s="22" t="n">
        <x:v>13</x:v>
      </x:c>
      <x:c r="K8" s="22" t="n">
        <x:v>1</x:v>
      </x:c>
      <x:c r="L8" s="22" t="n">
        <x:v>3</x:v>
      </x:c>
    </x:row>
    <x:row r="9" ht="22" customHeight="1">
      <x:c r="A9" s="2" t="str">
        <x:v>Dave</x:v>
      </x:c>
      <x:c r="B9" s="2" t="str">
        <x:v>2 Girls 1 Kupp</x:v>
      </x:c>
      <x:c r="C9" s="2" t="n">
        <x:f>COUNTIFS('2021'!$I$24:$I$112,A9,'2021'!$B$24:$B$112,"&lt;&gt;Playoffs")</x:f>
        <x:v>4</x:v>
      </x:c>
      <x:c r="D9" s="2" t="n">
        <x:f>COUNTIFS('2021'!$J$24:$J$112,A9,'2021'!$B$24:$B$112,"&lt;&gt;Playoffs")</x:f>
        <x:v>10</x:v>
      </x:c>
      <x:c r="E9" s="2" t="n">
        <x:f>COUNTIFS('2021'!$C$24:$C$112,A9,'2021'!$K$24:$K$112,1,'2021'!$B$24:$B$112,"&lt;&gt;Playoffs")+COUNTIFS('2021'!$F$24:$F$112,A9,'2021'!$K$24:$K$112,1,'2021'!$B$24:$B$112,"&lt;&gt;Playoffs")</x:f>
        <x:v>0</x:v>
      </x:c>
      <x:c r="F9" s="2" t="n">
        <x:f>SUM(C9:E9)</x:f>
        <x:v>14</x:v>
      </x:c>
      <x:c r="G9" s="11" t="n">
        <x:f>IF(F9=0,0,(C9+0.5*E9)/F9)</x:f>
        <x:v>0.2857142857142857</x:v>
      </x:c>
      <x:c r="H9" s="25" t="n">
        <x:f>SUMIFS('2021'!$E$24:$E$112,'2021'!$C$24:$C$112,A9,'2021'!$B$24:$B$112,"&lt;&gt;Playoffs")+SUMIFS('2021'!$H$24:$H$112,'2021'!$F$24:$F$112,A9,'2021'!$B$24:$B$112,"&lt;&gt;Playoffs")</x:f>
        <x:v>1514.8</x:v>
      </x:c>
      <x:c r="I9" s="25" t="n">
        <x:f>SUMIFS('2021'!$H$24:$H$112,'2021'!$C$24:$C$112,A9,'2021'!$B$24:$B$112,"&lt;&gt;Playoffs")+SUMIFS('2021'!$E$24:$E$112,'2021'!$F$24:$F$112,A9,'2021'!$B$24:$B$112,"&lt;&gt;Playoffs")</x:f>
        <x:v>1736.95</x:v>
      </x:c>
      <x:c r="J9" s="2" t="n">
        <x:v>12</x:v>
      </x:c>
      <x:c r="K9" s="2" t="n">
        <x:v>2</x:v>
      </x:c>
      <x:c r="L9" s="2" t="n">
        <x:v>2</x:v>
      </x:c>
    </x:row>
    <x:row r="10" ht="22" customHeight="1">
      <x:c r="A10" s="22" t="str">
        <x:v>Ed</x:v>
      </x:c>
      <x:c r="B10" s="22" t="str">
        <x:v>Club Eroticas Finest</x:v>
      </x:c>
      <x:c r="C10" s="22" t="n">
        <x:f>COUNTIFS('2021'!$I$24:$I$112,A10,'2021'!$B$24:$B$112,"&lt;&gt;Playoffs")</x:f>
        <x:v>7</x:v>
      </x:c>
      <x:c r="D10" s="22" t="n">
        <x:f>COUNTIFS('2021'!$J$24:$J$112,A10,'2021'!$B$24:$B$112,"&lt;&gt;Playoffs")</x:f>
        <x:v>7</x:v>
      </x:c>
      <x:c r="E10" s="22" t="n">
        <x:f>COUNTIFS('2021'!$C$24:$C$112,A10,'2021'!$K$24:$K$112,1,'2021'!$B$24:$B$112,"&lt;&gt;Playoffs")+COUNTIFS('2021'!$F$24:$F$112,A10,'2021'!$K$24:$K$112,1,'2021'!$B$24:$B$112,"&lt;&gt;Playoffs")</x:f>
        <x:v>0</x:v>
      </x:c>
      <x:c r="F10" s="22" t="n">
        <x:f>SUM(C10:E10)</x:f>
        <x:v>14</x:v>
      </x:c>
      <x:c r="G10" s="23" t="n">
        <x:f>IF(F10=0,0,(C10+0.5*E10)/F10)</x:f>
        <x:v>0.5</x:v>
      </x:c>
      <x:c r="H10" s="26" t="n">
        <x:f>SUMIFS('2021'!$E$24:$E$112,'2021'!$C$24:$C$112,A10,'2021'!$B$24:$B$112,"&lt;&gt;Playoffs")+SUMIFS('2021'!$H$24:$H$112,'2021'!$F$24:$F$112,A10,'2021'!$B$24:$B$112,"&lt;&gt;Playoffs")</x:f>
        <x:v>1723.1999999999998</x:v>
      </x:c>
      <x:c r="I10" s="26" t="n">
        <x:f>SUMIFS('2021'!$H$24:$H$112,'2021'!$C$24:$C$112,A10,'2021'!$B$24:$B$112,"&lt;&gt;Playoffs")+SUMIFS('2021'!$E$24:$E$112,'2021'!$F$24:$F$112,A10,'2021'!$B$24:$B$112,"&lt;&gt;Playoffs")</x:f>
        <x:v>1646.65</x:v>
      </x:c>
      <x:c r="J10" s="22" t="n">
        <x:v>8</x:v>
      </x:c>
      <x:c r="K10" s="22" t="n">
        <x:v>2</x:v>
      </x:c>
      <x:c r="L10" s="22" t="n">
        <x:v>4</x:v>
      </x:c>
    </x:row>
    <x:row r="11" ht="22" customHeight="1">
      <x:c r="A11" s="2" t="str">
        <x:v>Frank</x:v>
      </x:c>
      <x:c r="B11" s="2" t="str">
        <x:v>Saquon Deez Nutz</x:v>
      </x:c>
      <x:c r="C11" s="2" t="n">
        <x:f>COUNTIFS('2021'!$I$24:$I$112,A11,'2021'!$B$24:$B$112,"&lt;&gt;Playoffs")</x:f>
        <x:v>8</x:v>
      </x:c>
      <x:c r="D11" s="2" t="n">
        <x:f>COUNTIFS('2021'!$J$24:$J$112,A11,'2021'!$B$24:$B$112,"&lt;&gt;Playoffs")</x:f>
        <x:v>6</x:v>
      </x:c>
      <x:c r="E11" s="2" t="n">
        <x:f>COUNTIFS('2021'!$C$24:$C$112,A11,'2021'!$K$24:$K$112,1,'2021'!$B$24:$B$112,"&lt;&gt;Playoffs")+COUNTIFS('2021'!$F$24:$F$112,A11,'2021'!$K$24:$K$112,1,'2021'!$B$24:$B$112,"&lt;&gt;Playoffs")</x:f>
        <x:v>0</x:v>
      </x:c>
      <x:c r="F11" s="2" t="n">
        <x:f>SUM(C11:E11)</x:f>
        <x:v>14</x:v>
      </x:c>
      <x:c r="G11" s="11" t="n">
        <x:f>IF(F11=0,0,(C11+0.5*E11)/F11)</x:f>
        <x:v>0.5714285714285714</x:v>
      </x:c>
      <x:c r="H11" s="25" t="n">
        <x:f>SUMIFS('2021'!$E$24:$E$112,'2021'!$C$24:$C$112,A11,'2021'!$B$24:$B$112,"&lt;&gt;Playoffs")+SUMIFS('2021'!$H$24:$H$112,'2021'!$F$24:$F$112,A11,'2021'!$B$24:$B$112,"&lt;&gt;Playoffs")</x:f>
        <x:v>1643.35</x:v>
      </x:c>
      <x:c r="I11" s="25" t="n">
        <x:f>SUMIFS('2021'!$H$24:$H$112,'2021'!$C$24:$C$112,A11,'2021'!$B$24:$B$112,"&lt;&gt;Playoffs")+SUMIFS('2021'!$E$24:$E$112,'2021'!$F$24:$F$112,A11,'2021'!$B$24:$B$112,"&lt;&gt;Playoffs")</x:f>
        <x:v>1736.75</x:v>
      </x:c>
      <x:c r="J11" s="2" t="n">
        <x:v>4</x:v>
      </x:c>
      <x:c r="K11" s="2" t="n">
        <x:v>0</x:v>
      </x:c>
      <x:c r="L11" s="2" t="n">
        <x:v>7</x:v>
      </x:c>
    </x:row>
    <x:row r="12" ht="22" customHeight="1">
      <x:c r="A12" s="22" t="str">
        <x:v>Josh</x:v>
      </x:c>
      <x:c r="B12" s="22" t="str">
        <x:v>Jackson Mahomos</x:v>
      </x:c>
      <x:c r="C12" s="22" t="n">
        <x:f>COUNTIFS('2021'!$I$24:$I$112,A12,'2021'!$B$24:$B$112,"&lt;&gt;Playoffs")</x:f>
        <x:v>8</x:v>
      </x:c>
      <x:c r="D12" s="22" t="n">
        <x:f>COUNTIFS('2021'!$J$24:$J$112,A12,'2021'!$B$24:$B$112,"&lt;&gt;Playoffs")</x:f>
        <x:v>6</x:v>
      </x:c>
      <x:c r="E12" s="22" t="n">
        <x:f>COUNTIFS('2021'!$C$24:$C$112,A12,'2021'!$K$24:$K$112,1,'2021'!$B$24:$B$112,"&lt;&gt;Playoffs")+COUNTIFS('2021'!$F$24:$F$112,A12,'2021'!$K$24:$K$112,1,'2021'!$B$24:$B$112,"&lt;&gt;Playoffs")</x:f>
        <x:v>0</x:v>
      </x:c>
      <x:c r="F12" s="22" t="n">
        <x:f>SUM(C12:E12)</x:f>
        <x:v>14</x:v>
      </x:c>
      <x:c r="G12" s="23" t="n">
        <x:f>IF(F12=0,0,(C12+0.5*E12)/F12)</x:f>
        <x:v>0.5714285714285714</x:v>
      </x:c>
      <x:c r="H12" s="26" t="n">
        <x:f>SUMIFS('2021'!$E$24:$E$112,'2021'!$C$24:$C$112,A12,'2021'!$B$24:$B$112,"&lt;&gt;Playoffs")+SUMIFS('2021'!$H$24:$H$112,'2021'!$F$24:$F$112,A12,'2021'!$B$24:$B$112,"&lt;&gt;Playoffs")</x:f>
        <x:v>1728.2</x:v>
      </x:c>
      <x:c r="I12" s="26" t="n">
        <x:f>SUMIFS('2021'!$H$24:$H$112,'2021'!$C$24:$C$112,A12,'2021'!$B$24:$B$112,"&lt;&gt;Playoffs")+SUMIFS('2021'!$E$24:$E$112,'2021'!$F$24:$F$112,A12,'2021'!$B$24:$B$112,"&lt;&gt;Playoffs")</x:f>
        <x:v>1714.65</x:v>
      </x:c>
      <x:c r="J12" s="22" t="n">
        <x:v>34</x:v>
      </x:c>
      <x:c r="K12" s="22" t="n">
        <x:v>1</x:v>
      </x:c>
      <x:c r="L12" s="22" t="n">
        <x:v>8</x:v>
      </x:c>
    </x:row>
    <x:row r="13" ht="22" customHeight="1">
      <x:c r="A13" s="2" t="str">
        <x:v>Mark</x:v>
      </x:c>
      <x:c r="B13" s="2" t="str">
        <x:v>wacky waving arms</x:v>
      </x:c>
      <x:c r="C13" s="2" t="n">
        <x:f>COUNTIFS('2021'!$I$24:$I$112,A13,'2021'!$B$24:$B$112,"&lt;&gt;Playoffs")</x:f>
        <x:v>7</x:v>
      </x:c>
      <x:c r="D13" s="2" t="n">
        <x:f>COUNTIFS('2021'!$J$24:$J$112,A13,'2021'!$B$24:$B$112,"&lt;&gt;Playoffs")</x:f>
        <x:v>7</x:v>
      </x:c>
      <x:c r="E13" s="2" t="n">
        <x:f>COUNTIFS('2021'!$C$24:$C$112,A13,'2021'!$K$24:$K$112,1,'2021'!$B$24:$B$112,"&lt;&gt;Playoffs")+COUNTIFS('2021'!$F$24:$F$112,A13,'2021'!$K$24:$K$112,1,'2021'!$B$24:$B$112,"&lt;&gt;Playoffs")</x:f>
        <x:v>0</x:v>
      </x:c>
      <x:c r="F13" s="2" t="n">
        <x:f>SUM(C13:E13)</x:f>
        <x:v>14</x:v>
      </x:c>
      <x:c r="G13" s="11" t="n">
        <x:f>IF(F13=0,0,(C13+0.5*E13)/F13)</x:f>
        <x:v>0.5</x:v>
      </x:c>
      <x:c r="H13" s="25" t="n">
        <x:f>SUMIFS('2021'!$E$24:$E$112,'2021'!$C$24:$C$112,A13,'2021'!$B$24:$B$112,"&lt;&gt;Playoffs")+SUMIFS('2021'!$H$24:$H$112,'2021'!$F$24:$F$112,A13,'2021'!$B$24:$B$112,"&lt;&gt;Playoffs")</x:f>
        <x:v>1735.25</x:v>
      </x:c>
      <x:c r="I13" s="25" t="n">
        <x:f>SUMIFS('2021'!$H$24:$H$112,'2021'!$C$24:$C$112,A13,'2021'!$B$24:$B$112,"&lt;&gt;Playoffs")+SUMIFS('2021'!$E$24:$E$112,'2021'!$F$24:$F$112,A13,'2021'!$B$24:$B$112,"&lt;&gt;Playoffs")</x:f>
        <x:v>1568.5499999999997</x:v>
      </x:c>
      <x:c r="J13" s="2" t="n">
        <x:v>18</x:v>
      </x:c>
      <x:c r="K13" s="2" t="n">
        <x:v>0</x:v>
      </x:c>
      <x:c r="L13" s="2" t="n">
        <x:v>5</x:v>
      </x:c>
    </x:row>
    <x:row r="14" ht="22" customHeight="1">
      <x:c r="A14" s="22" t="str">
        <x:v>Matt</x:v>
      </x:c>
      <x:c r="B14" s="22" t="str">
        <x:v>Mr.Montana</x:v>
      </x:c>
      <x:c r="C14" s="22" t="n">
        <x:f>COUNTIFS('2021'!$I$24:$I$112,A14,'2021'!$B$24:$B$112,"&lt;&gt;Playoffs")</x:f>
        <x:v>9</x:v>
      </x:c>
      <x:c r="D14" s="22" t="n">
        <x:f>COUNTIFS('2021'!$J$24:$J$112,A14,'2021'!$B$24:$B$112,"&lt;&gt;Playoffs")</x:f>
        <x:v>5</x:v>
      </x:c>
      <x:c r="E14" s="22" t="n">
        <x:f>COUNTIFS('2021'!$C$24:$C$112,A14,'2021'!$K$24:$K$112,1,'2021'!$B$24:$B$112,"&lt;&gt;Playoffs")+COUNTIFS('2021'!$F$24:$F$112,A14,'2021'!$K$24:$K$112,1,'2021'!$B$24:$B$112,"&lt;&gt;Playoffs")</x:f>
        <x:v>0</x:v>
      </x:c>
      <x:c r="F14" s="22" t="n">
        <x:f>SUM(C14:E14)</x:f>
        <x:v>14</x:v>
      </x:c>
      <x:c r="G14" s="23" t="n">
        <x:f>IF(F14=0,0,(C14+0.5*E14)/F14)</x:f>
        <x:v>0.6428571428571429</x:v>
      </x:c>
      <x:c r="H14" s="26" t="n">
        <x:f>SUMIFS('2021'!$E$24:$E$112,'2021'!$C$24:$C$112,A14,'2021'!$B$24:$B$112,"&lt;&gt;Playoffs")+SUMIFS('2021'!$H$24:$H$112,'2021'!$F$24:$F$112,A14,'2021'!$B$24:$B$112,"&lt;&gt;Playoffs")</x:f>
        <x:v>1669.5999999999997</x:v>
      </x:c>
      <x:c r="I14" s="26" t="n">
        <x:f>SUMIFS('2021'!$H$24:$H$112,'2021'!$C$24:$C$112,A14,'2021'!$B$24:$B$112,"&lt;&gt;Playoffs")+SUMIFS('2021'!$E$24:$E$112,'2021'!$F$24:$F$112,A14,'2021'!$B$24:$B$112,"&lt;&gt;Playoffs")</x:f>
        <x:v>1534.2500000000005</x:v>
      </x:c>
      <x:c r="J14" s="22" t="n">
        <x:v>25</x:v>
      </x:c>
      <x:c r="K14" s="22" t="n">
        <x:v>2</x:v>
      </x:c>
      <x:c r="L14" s="22" t="n">
        <x:v>9</x:v>
      </x:c>
    </x:row>
    <x:row r="15" ht="22" customHeight="1">
      <x:c r="A15" s="2" t="str">
        <x:v>Mike</x:v>
      </x:c>
      <x:c r="B15" s="2" t="str">
        <x:v>Fractional Mike</x:v>
      </x:c>
      <x:c r="C15" s="2" t="n">
        <x:f>COUNTIFS('2021'!$I$24:$I$112,A15,'2021'!$B$24:$B$112,"&lt;&gt;Playoffs")</x:f>
        <x:v>9</x:v>
      </x:c>
      <x:c r="D15" s="2" t="n">
        <x:f>COUNTIFS('2021'!$J$24:$J$112,A15,'2021'!$B$24:$B$112,"&lt;&gt;Playoffs")</x:f>
        <x:v>5</x:v>
      </x:c>
      <x:c r="E15" s="2" t="n">
        <x:f>COUNTIFS('2021'!$C$24:$C$112,A15,'2021'!$K$24:$K$112,1,'2021'!$B$24:$B$112,"&lt;&gt;Playoffs")+COUNTIFS('2021'!$F$24:$F$112,A15,'2021'!$K$24:$K$112,1,'2021'!$B$24:$B$112,"&lt;&gt;Playoffs")</x:f>
        <x:v>0</x:v>
      </x:c>
      <x:c r="F15" s="2" t="n">
        <x:f>SUM(C15:E15)</x:f>
        <x:v>14</x:v>
      </x:c>
      <x:c r="G15" s="11" t="n">
        <x:f>IF(F15=0,0,(C15+0.5*E15)/F15)</x:f>
        <x:v>0.6428571428571429</x:v>
      </x:c>
      <x:c r="H15" s="25" t="n">
        <x:f>SUMIFS('2021'!$E$24:$E$112,'2021'!$C$24:$C$112,A15,'2021'!$B$24:$B$112,"&lt;&gt;Playoffs")+SUMIFS('2021'!$H$24:$H$112,'2021'!$F$24:$F$112,A15,'2021'!$B$24:$B$112,"&lt;&gt;Playoffs")</x:f>
        <x:v>1667.2</x:v>
      </x:c>
      <x:c r="I15" s="25" t="n">
        <x:f>SUMIFS('2021'!$H$24:$H$112,'2021'!$C$24:$C$112,A15,'2021'!$B$24:$B$112,"&lt;&gt;Playoffs")+SUMIFS('2021'!$E$24:$E$112,'2021'!$F$24:$F$112,A15,'2021'!$B$24:$B$112,"&lt;&gt;Playoffs")</x:f>
        <x:v>1664.5500000000002</x:v>
      </x:c>
      <x:c r="J15" s="2" t="n">
        <x:v>22</x:v>
      </x:c>
      <x:c r="K15" s="2" t="n">
        <x:v>1</x:v>
      </x:c>
      <x:c r="L15" s="2" t="n">
        <x:v>10</x:v>
      </x:c>
    </x:row>
    <x:row r="16" ht="22" customHeight="1">
      <x:c r="A16" s="22" t="str">
        <x:v>Nick</x:v>
      </x:c>
      <x:c r="B16" s="22" t="str">
        <x:v>Team Scoops</x:v>
      </x:c>
      <x:c r="C16" s="22" t="n">
        <x:f>COUNTIFS('2021'!$I$24:$I$112,A16,'2021'!$B$24:$B$112,"&lt;&gt;Playoffs")</x:f>
        <x:v>2</x:v>
      </x:c>
      <x:c r="D16" s="22" t="n">
        <x:f>COUNTIFS('2021'!$J$24:$J$112,A16,'2021'!$B$24:$B$112,"&lt;&gt;Playoffs")</x:f>
        <x:v>12</x:v>
      </x:c>
      <x:c r="E16" s="22" t="n">
        <x:f>COUNTIFS('2021'!$C$24:$C$112,A16,'2021'!$K$24:$K$112,1,'2021'!$B$24:$B$112,"&lt;&gt;Playoffs")+COUNTIFS('2021'!$F$24:$F$112,A16,'2021'!$K$24:$K$112,1,'2021'!$B$24:$B$112,"&lt;&gt;Playoffs")</x:f>
        <x:v>0</x:v>
      </x:c>
      <x:c r="F16" s="22" t="n">
        <x:f>SUM(C16:E16)</x:f>
        <x:v>14</x:v>
      </x:c>
      <x:c r="G16" s="23" t="n">
        <x:f>IF(F16=0,0,(C16+0.5*E16)/F16)</x:f>
        <x:v>0.14285714285714285</x:v>
      </x:c>
      <x:c r="H16" s="26" t="n">
        <x:f>SUMIFS('2021'!$E$24:$E$112,'2021'!$C$24:$C$112,A16,'2021'!$B$24:$B$112,"&lt;&gt;Playoffs")+SUMIFS('2021'!$H$24:$H$112,'2021'!$F$24:$F$112,A16,'2021'!$B$24:$B$112,"&lt;&gt;Playoffs")</x:f>
        <x:v>1656.55</x:v>
      </x:c>
      <x:c r="I16" s="26" t="n">
        <x:f>SUMIFS('2021'!$H$24:$H$112,'2021'!$C$24:$C$112,A16,'2021'!$B$24:$B$112,"&lt;&gt;Playoffs")+SUMIFS('2021'!$E$24:$E$112,'2021'!$F$24:$F$112,A16,'2021'!$B$24:$B$112,"&lt;&gt;Playoffs")</x:f>
        <x:v>1830.8</x:v>
      </x:c>
      <x:c r="J16" s="22" t="n">
        <x:v>6</x:v>
      </x:c>
      <x:c r="K16" s="22" t="n">
        <x:v>0</x:v>
      </x:c>
      <x:c r="L16" s="22" t="n">
        <x:v>1</x:v>
      </x:c>
    </x:row>
    <x:row r="17" ht="22" customHeight="1">
      <x:c r="A17" s="2" t="str">
        <x:v>Paul</x:v>
      </x:c>
      <x:c r="B17" s="2" t="str">
        <x:v>Space Dogs</x:v>
      </x:c>
      <x:c r="C17" s="2" t="n">
        <x:f>COUNTIFS('2021'!$I$24:$I$112,A17,'2021'!$B$24:$B$112,"&lt;&gt;Playoffs")</x:f>
        <x:v>7</x:v>
      </x:c>
      <x:c r="D17" s="2" t="n">
        <x:f>COUNTIFS('2021'!$J$24:$J$112,A17,'2021'!$B$24:$B$112,"&lt;&gt;Playoffs")</x:f>
        <x:v>7</x:v>
      </x:c>
      <x:c r="E17" s="2" t="n">
        <x:f>COUNTIFS('2021'!$C$24:$C$112,A17,'2021'!$K$24:$K$112,1,'2021'!$B$24:$B$112,"&lt;&gt;Playoffs")+COUNTIFS('2021'!$F$24:$F$112,A17,'2021'!$K$24:$K$112,1,'2021'!$B$24:$B$112,"&lt;&gt;Playoffs")</x:f>
        <x:v>0</x:v>
      </x:c>
      <x:c r="F17" s="2" t="n">
        <x:f>SUM(C17:E17)</x:f>
        <x:v>14</x:v>
      </x:c>
      <x:c r="G17" s="11" t="n">
        <x:f>IF(F17=0,0,(C17+0.5*E17)/F17)</x:f>
        <x:v>0.5</x:v>
      </x:c>
      <x:c r="H17" s="25" t="n">
        <x:f>SUMIFS('2021'!$E$24:$E$112,'2021'!$C$24:$C$112,A17,'2021'!$B$24:$B$112,"&lt;&gt;Playoffs")+SUMIFS('2021'!$H$24:$H$112,'2021'!$F$24:$F$112,A17,'2021'!$B$24:$B$112,"&lt;&gt;Playoffs")</x:f>
        <x:v>1887.4</x:v>
      </x:c>
      <x:c r="I17" s="25" t="n">
        <x:f>SUMIFS('2021'!$H$24:$H$112,'2021'!$C$24:$C$112,A17,'2021'!$B$24:$B$112,"&lt;&gt;Playoffs")+SUMIFS('2021'!$E$24:$E$112,'2021'!$F$24:$F$112,A17,'2021'!$B$24:$B$112,"&lt;&gt;Playoffs")</x:f>
        <x:v>1887.4500000000003</x:v>
      </x:c>
      <x:c r="J17" s="2" t="n">
        <x:v>16</x:v>
      </x:c>
      <x:c r="K17" s="2" t="n">
        <x:v>0</x:v>
      </x:c>
      <x:c r="L17" s="2" t="n">
        <x:v>11</x:v>
      </x:c>
    </x:row>
    <x:row r="18" ht="22" customHeight="1">
      <x:c r="A18" s="22" t="str">
        <x:v>Poker Dude</x:v>
      </x:c>
      <x:c r="B18" s="22" t="str">
        <x:v>james's Team</x:v>
      </x:c>
      <x:c r="C18" s="22" t="n">
        <x:f>COUNTIFS('2021'!$I$24:$I$112,A18,'2021'!$B$24:$B$112,"&lt;&gt;Playoffs")</x:f>
        <x:v>9</x:v>
      </x:c>
      <x:c r="D18" s="22" t="n">
        <x:f>COUNTIFS('2021'!$J$24:$J$112,A18,'2021'!$B$24:$B$112,"&lt;&gt;Playoffs")</x:f>
        <x:v>5</x:v>
      </x:c>
      <x:c r="E18" s="22" t="n">
        <x:f>COUNTIFS('2021'!$C$24:$C$112,A18,'2021'!$K$24:$K$112,1,'2021'!$B$24:$B$112,"&lt;&gt;Playoffs")+COUNTIFS('2021'!$F$24:$F$112,A18,'2021'!$K$24:$K$112,1,'2021'!$B$24:$B$112,"&lt;&gt;Playoffs")</x:f>
        <x:v>0</x:v>
      </x:c>
      <x:c r="F18" s="22" t="n">
        <x:f>SUM(C18:E18)</x:f>
        <x:v>14</x:v>
      </x:c>
      <x:c r="G18" s="23" t="n">
        <x:f>IF(F18=0,0,(C18+0.5*E18)/F18)</x:f>
        <x:v>0.6428571428571429</x:v>
      </x:c>
      <x:c r="H18" s="26" t="n">
        <x:f>SUMIFS('2021'!$E$24:$E$112,'2021'!$C$24:$C$112,A18,'2021'!$B$24:$B$112,"&lt;&gt;Playoffs")+SUMIFS('2021'!$H$24:$H$112,'2021'!$F$24:$F$112,A18,'2021'!$B$24:$B$112,"&lt;&gt;Playoffs")</x:f>
        <x:v>1676.8500000000001</x:v>
      </x:c>
      <x:c r="I18" s="26" t="n">
        <x:f>SUMIFS('2021'!$H$24:$H$112,'2021'!$C$24:$C$112,A18,'2021'!$B$24:$B$112,"&lt;&gt;Playoffs")+SUMIFS('2021'!$E$24:$E$112,'2021'!$F$24:$F$112,A18,'2021'!$B$24:$B$112,"&lt;&gt;Playoffs")</x:f>
        <x:v>1607.05</x:v>
      </x:c>
      <x:c r="J18" s="22" t="n">
        <x:v>38</x:v>
      </x:c>
      <x:c r="K18" s="22" t="n">
        <x:v>0</x:v>
      </x:c>
      <x:c r="L18" s="22" t="n">
        <x:v>12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18" t="str">
        <x:v>Week</x:v>
      </x:c>
      <x:c r="B23" s="18" t="str">
        <x:v>Phase</x:v>
      </x:c>
      <x:c r="C23" s="18" t="str">
        <x:v>Manager A</x:v>
      </x:c>
      <x:c r="D23" s="18" t="str">
        <x:v>Team A</x:v>
      </x:c>
      <x:c r="E23" s="18" t="str">
        <x:v>Score A</x:v>
      </x:c>
      <x:c r="F23" s="18" t="str">
        <x:v>Manager B</x:v>
      </x:c>
      <x:c r="G23" s="18" t="str">
        <x:v>Team B</x:v>
      </x:c>
      <x:c r="H23" s="18" t="str">
        <x:v>Score B</x:v>
      </x:c>
      <x:c r="I23" s="18" t="str">
        <x:v>Winner</x:v>
      </x:c>
      <x:c r="J23" s="18" t="str">
        <x:v>Loser</x:v>
      </x:c>
      <x:c r="K23" s="18" t="str">
        <x:v>Tie</x:v>
      </x:c>
      <x:c r="L23" s="18" t="str">
        <x:v>Pair</x:v>
      </x:c>
      <x:c r="M23" s="21" t="str">
        <x:v>Round</x:v>
      </x:c>
      <x:c r="N23" s="21" t="str">
        <x:v>Week source</x:v>
      </x:c>
      <x:c r="O23" s="21" t="str">
        <x:v>Source marker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125.8</x:v>
      </x:c>
      <x:c r="F24" s="2" t="str">
        <x:v>Mike</x:v>
      </x:c>
      <x:c r="G24" s="2" t="str">
        <x:v>Fractional Mike</x:v>
      </x:c>
      <x:c r="H24" s="15" t="n">
        <x:v>152.5</x:v>
      </x:c>
      <x:c r="I24" s="2" t="str">
        <x:f>IF(E24&gt;H24,C24,IF(E24&lt;H24,F24,"Tie"))</x:f>
        <x:v>Mike</x:v>
      </x:c>
      <x:c r="J24" s="2" t="str">
        <x:f>IF(E24&gt;H24,F24,IF(E24&lt;H24,C24,"Tie"))</x:f>
        <x:v>Bruce</x:v>
      </x:c>
      <x:c r="K24" s="2" t="n">
        <x:f>IF(E24=H24,1,0)</x:f>
        <x:v>0</x:v>
      </x:c>
      <x:c r="L24" s="2" t="str">
        <x:v>Bruce / Mike</x:v>
      </x:c>
      <x:c r="M24" t="str"/>
      <x:c r="N24" t="str">
        <x:v>Supplied</x:v>
      </x:c>
      <x:c r="O24" t="str"/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174.75</x:v>
      </x:c>
      <x:c r="F25" s="2" t="str">
        <x:v>Frank</x:v>
      </x:c>
      <x:c r="G25" s="2" t="str">
        <x:v>Saquon Deez Nutz</x:v>
      </x:c>
      <x:c r="H25" s="15" t="n">
        <x:v>76.75</x:v>
      </x:c>
      <x:c r="I25" s="2" t="str">
        <x:f>IF(E25&gt;H25,C25,IF(E25&lt;H25,F25,"Tie"))</x:f>
        <x:v>Craig</x:v>
      </x:c>
      <x:c r="J25" s="2" t="str">
        <x:f>IF(E25&gt;H25,F25,IF(E25&lt;H25,C25,"Tie"))</x:f>
        <x:v>Frank</x:v>
      </x:c>
      <x:c r="K25" s="2" t="n">
        <x:f>IF(E25=H25,1,0)</x:f>
        <x:v>0</x:v>
      </x:c>
      <x:c r="L25" s="2" t="str">
        <x:v>Craig / Frank</x:v>
      </x:c>
      <x:c r="M25" t="str"/>
      <x:c r="N25" t="str">
        <x:v>Supplied</x:v>
      </x:c>
      <x:c r="O25" t="str"/>
    </x:row>
    <x:row r="26" ht="22" customHeight="1">
      <x:c r="A26" s="2" t="n">
        <x:v>1</x:v>
      </x:c>
      <x:c r="B26" s="2" t="str">
        <x:v>Regular</x:v>
      </x:c>
      <x:c r="C26" s="2" t="str">
        <x:v>Dave</x:v>
      </x:c>
      <x:c r="D26" s="2" t="str">
        <x:v>2 Girls 1 Kupp</x:v>
      </x:c>
      <x:c r="E26" s="15" t="n">
        <x:v>101.95</x:v>
      </x:c>
      <x:c r="F26" s="2" t="str">
        <x:v>Poker Dude</x:v>
      </x:c>
      <x:c r="G26" s="2" t="str">
        <x:v>james's Team</x:v>
      </x:c>
      <x:c r="H26" s="15" t="n">
        <x:v>167.25</x:v>
      </x:c>
      <x:c r="I26" s="2" t="str">
        <x:f>IF(E26&gt;H26,C26,IF(E26&lt;H26,F26,"Tie"))</x:f>
        <x:v>Poker Dude</x:v>
      </x:c>
      <x:c r="J26" s="2" t="str">
        <x:f>IF(E26&gt;H26,F26,IF(E26&lt;H26,C26,"Tie"))</x:f>
        <x:v>Dave</x:v>
      </x:c>
      <x:c r="K26" s="2" t="n">
        <x:f>IF(E26=H26,1,0)</x:f>
        <x:v>0</x:v>
      </x:c>
      <x:c r="L26" s="2" t="str">
        <x:v>Dave / Poker Dude</x:v>
      </x:c>
      <x:c r="M26" t="str"/>
      <x:c r="N26" t="str">
        <x:v>Supplied</x:v>
      </x:c>
      <x:c r="O26" t="str"/>
    </x:row>
    <x:row r="27" ht="22" customHeight="1">
      <x:c r="A27" s="2" t="n">
        <x:v>1</x:v>
      </x:c>
      <x:c r="B27" s="2" t="str">
        <x:v>Regular</x:v>
      </x:c>
      <x:c r="C27" s="2" t="str">
        <x:v>Ed</x:v>
      </x:c>
      <x:c r="D27" s="2" t="str">
        <x:v>Club Eroticas Finest</x:v>
      </x:c>
      <x:c r="E27" s="15" t="n">
        <x:v>110.45</x:v>
      </x:c>
      <x:c r="F27" s="2" t="str">
        <x:v>Josh</x:v>
      </x:c>
      <x:c r="G27" s="2" t="str">
        <x:v>Jackson Mahomos</x:v>
      </x:c>
      <x:c r="H27" s="15" t="n">
        <x:v>126.55</x:v>
      </x:c>
      <x:c r="I27" s="2" t="str">
        <x:f>IF(E27&gt;H27,C27,IF(E27&lt;H27,F27,"Tie"))</x:f>
        <x:v>Josh</x:v>
      </x:c>
      <x:c r="J27" s="2" t="str">
        <x:f>IF(E27&gt;H27,F27,IF(E27&lt;H27,C27,"Tie"))</x:f>
        <x:v>Ed</x:v>
      </x:c>
      <x:c r="K27" s="2" t="n">
        <x:f>IF(E27=H27,1,0)</x:f>
        <x:v>0</x:v>
      </x:c>
      <x:c r="L27" s="2" t="str">
        <x:v>Ed / Josh</x:v>
      </x:c>
      <x:c r="M27" t="str"/>
      <x:c r="N27" t="str">
        <x:v>Supplied</x:v>
      </x:c>
      <x:c r="O27" t="str"/>
    </x:row>
    <x:row r="28" ht="22" customHeight="1">
      <x:c r="A28" s="2" t="n">
        <x:v>1</x:v>
      </x:c>
      <x:c r="B28" s="2" t="str">
        <x:v>Regular</x:v>
      </x:c>
      <x:c r="C28" s="2" t="str">
        <x:v>Mark</x:v>
      </x:c>
      <x:c r="D28" s="2" t="str">
        <x:v>wacky waving arms</x:v>
      </x:c>
      <x:c r="E28" s="15" t="n">
        <x:v>167.25</x:v>
      </x:c>
      <x:c r="F28" s="2" t="str">
        <x:v>Paul</x:v>
      </x:c>
      <x:c r="G28" s="2" t="str">
        <x:v>Space Dogs</x:v>
      </x:c>
      <x:c r="H28" s="15" t="n">
        <x:v>113.65</x:v>
      </x:c>
      <x:c r="I28" s="2" t="str">
        <x:f>IF(E28&gt;H28,C28,IF(E28&lt;H28,F28,"Tie"))</x:f>
        <x:v>Mark</x:v>
      </x:c>
      <x:c r="J28" s="2" t="str">
        <x:f>IF(E28&gt;H28,F28,IF(E28&lt;H28,C28,"Tie"))</x:f>
        <x:v>Paul</x:v>
      </x:c>
      <x:c r="K28" s="2" t="n">
        <x:f>IF(E28=H28,1,0)</x:f>
        <x:v>0</x:v>
      </x:c>
      <x:c r="L28" s="2" t="str">
        <x:v>Mark / Paul</x:v>
      </x:c>
      <x:c r="M28" t="str"/>
      <x:c r="N28" t="str">
        <x:v>Supplied</x:v>
      </x:c>
      <x:c r="O28" t="str"/>
    </x:row>
    <x:row r="29" ht="22" customHeight="1">
      <x:c r="A29" s="2" t="n">
        <x:v>1</x:v>
      </x:c>
      <x:c r="B29" s="2" t="str">
        <x:v>Regular</x:v>
      </x:c>
      <x:c r="C29" s="2" t="str">
        <x:v>Nick</x:v>
      </x:c>
      <x:c r="D29" s="2" t="str">
        <x:v>Team Scoops</x:v>
      </x:c>
      <x:c r="E29" s="15" t="n">
        <x:v>95.75</x:v>
      </x:c>
      <x:c r="F29" s="2" t="str">
        <x:v>Matt</x:v>
      </x:c>
      <x:c r="G29" s="2" t="str">
        <x:v>Mr.Montana</x:v>
      </x:c>
      <x:c r="H29" s="15" t="n">
        <x:v>140.9</x:v>
      </x:c>
      <x:c r="I29" s="2" t="str">
        <x:f>IF(E29&gt;H29,C29,IF(E29&lt;H29,F29,"Tie"))</x:f>
        <x:v>Matt</x:v>
      </x:c>
      <x:c r="J29" s="2" t="str">
        <x:f>IF(E29&gt;H29,F29,IF(E29&lt;H29,C29,"Tie"))</x:f>
        <x:v>Nick</x:v>
      </x:c>
      <x:c r="K29" s="2" t="n">
        <x:f>IF(E29=H29,1,0)</x:f>
        <x:v>0</x:v>
      </x:c>
      <x:c r="L29" s="2" t="str">
        <x:v>Matt / Nick</x:v>
      </x:c>
      <x:c r="M29" t="str"/>
      <x:c r="N29" t="str">
        <x:v>Supplied</x:v>
      </x:c>
      <x:c r="O29" t="str"/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122.9</x:v>
      </x:c>
      <x:c r="F30" s="2" t="str">
        <x:v>Ed</x:v>
      </x:c>
      <x:c r="G30" s="2" t="str">
        <x:v>Club Eroticas Finest</x:v>
      </x:c>
      <x:c r="H30" s="15" t="n">
        <x:v>168.95</x:v>
      </x:c>
      <x:c r="I30" s="2" t="str">
        <x:f>IF(E30&gt;H30,C30,IF(E30&lt;H30,F30,"Tie"))</x:f>
        <x:v>Ed</x:v>
      </x:c>
      <x:c r="J30" s="2" t="str">
        <x:f>IF(E30&gt;H30,F30,IF(E30&lt;H30,C30,"Tie"))</x:f>
        <x:v>Bruce</x:v>
      </x:c>
      <x:c r="K30" s="2" t="n">
        <x:f>IF(E30=H30,1,0)</x:f>
        <x:v>0</x:v>
      </x:c>
      <x:c r="L30" s="2" t="str">
        <x:v>Bruce / Ed</x:v>
      </x:c>
      <x:c r="M30" t="str"/>
      <x:c r="N30" t="str">
        <x:v>Supplied</x:v>
      </x:c>
      <x:c r="O30" t="str"/>
    </x:row>
    <x:row r="31" ht="22" customHeight="1">
      <x:c r="A31" s="2" t="n">
        <x:v>2</x:v>
      </x:c>
      <x:c r="B31" s="2" t="str">
        <x:v>Regular</x:v>
      </x:c>
      <x:c r="C31" s="2" t="str">
        <x:v>Craig</x:v>
      </x:c>
      <x:c r="D31" s="2" t="str">
        <x:v>The Ants Marching</x:v>
      </x:c>
      <x:c r="E31" s="15" t="n">
        <x:v>73.95</x:v>
      </x:c>
      <x:c r="F31" s="2" t="str">
        <x:v>Dave</x:v>
      </x:c>
      <x:c r="G31" s="2" t="str">
        <x:v>2 Girls 1 Kupp</x:v>
      </x:c>
      <x:c r="H31" s="15" t="n">
        <x:v>138.9</x:v>
      </x:c>
      <x:c r="I31" s="2" t="str">
        <x:f>IF(E31&gt;H31,C31,IF(E31&lt;H31,F31,"Tie"))</x:f>
        <x:v>Dave</x:v>
      </x:c>
      <x:c r="J31" s="2" t="str">
        <x:f>IF(E31&gt;H31,F31,IF(E31&lt;H31,C31,"Tie"))</x:f>
        <x:v>Craig</x:v>
      </x:c>
      <x:c r="K31" s="2" t="n">
        <x:f>IF(E31=H31,1,0)</x:f>
        <x:v>0</x:v>
      </x:c>
      <x:c r="L31" s="2" t="str">
        <x:v>Craig / Dave</x:v>
      </x:c>
      <x:c r="M31" t="str"/>
      <x:c r="N31" t="str">
        <x:v>Supplied</x:v>
      </x:c>
      <x:c r="O31" t="str"/>
    </x:row>
    <x:row r="32" ht="22" customHeight="1">
      <x:c r="A32" s="2" t="n">
        <x:v>2</x:v>
      </x:c>
      <x:c r="B32" s="2" t="str">
        <x:v>Regular</x:v>
      </x:c>
      <x:c r="C32" s="2" t="str">
        <x:v>Frank</x:v>
      </x:c>
      <x:c r="D32" s="2" t="str">
        <x:v>Saquon Deez Nutz</x:v>
      </x:c>
      <x:c r="E32" s="15" t="n">
        <x:v>130.85</x:v>
      </x:c>
      <x:c r="F32" s="2" t="str">
        <x:v>Josh</x:v>
      </x:c>
      <x:c r="G32" s="2" t="str">
        <x:v>Jackson Mahomos</x:v>
      </x:c>
      <x:c r="H32" s="15" t="n">
        <x:v>112.9</x:v>
      </x:c>
      <x:c r="I32" s="2" t="str">
        <x:f>IF(E32&gt;H32,C32,IF(E32&lt;H32,F32,"Tie"))</x:f>
        <x:v>Frank</x:v>
      </x:c>
      <x:c r="J32" s="2" t="str">
        <x:f>IF(E32&gt;H32,F32,IF(E32&lt;H32,C32,"Tie"))</x:f>
        <x:v>Josh</x:v>
      </x:c>
      <x:c r="K32" s="2" t="n">
        <x:f>IF(E32=H32,1,0)</x:f>
        <x:v>0</x:v>
      </x:c>
      <x:c r="L32" s="2" t="str">
        <x:v>Frank / Josh</x:v>
      </x:c>
      <x:c r="M32" t="str"/>
      <x:c r="N32" t="str">
        <x:v>Supplied</x:v>
      </x:c>
      <x:c r="O32" t="str"/>
    </x:row>
    <x:row r="33" ht="22" customHeight="1">
      <x:c r="A33" s="2" t="n">
        <x:v>2</x:v>
      </x:c>
      <x:c r="B33" s="2" t="str">
        <x:v>Regular</x:v>
      </x:c>
      <x:c r="C33" s="2" t="str">
        <x:v>Mike</x:v>
      </x:c>
      <x:c r="D33" s="2" t="str">
        <x:v>Fractional Mike</x:v>
      </x:c>
      <x:c r="E33" s="15" t="n">
        <x:v>132.95</x:v>
      </x:c>
      <x:c r="F33" s="2" t="str">
        <x:v>Matt</x:v>
      </x:c>
      <x:c r="G33" s="2" t="str">
        <x:v>Mr.Montana</x:v>
      </x:c>
      <x:c r="H33" s="15" t="n">
        <x:v>131.7</x:v>
      </x:c>
      <x:c r="I33" s="2" t="str">
        <x:f>IF(E33&gt;H33,C33,IF(E33&lt;H33,F33,"Tie"))</x:f>
        <x:v>Mike</x:v>
      </x:c>
      <x:c r="J33" s="2" t="str">
        <x:f>IF(E33&gt;H33,F33,IF(E33&lt;H33,C33,"Tie"))</x:f>
        <x:v>Matt</x:v>
      </x:c>
      <x:c r="K33" s="2" t="n">
        <x:f>IF(E33=H33,1,0)</x:f>
        <x:v>0</x:v>
      </x:c>
      <x:c r="L33" s="2" t="str">
        <x:v>Matt / Mike</x:v>
      </x:c>
      <x:c r="M33" t="str"/>
      <x:c r="N33" t="str">
        <x:v>Supplied</x:v>
      </x:c>
      <x:c r="O33" t="str"/>
    </x:row>
    <x:row r="34" ht="22" customHeight="1">
      <x:c r="A34" s="2" t="n">
        <x:v>2</x:v>
      </x:c>
      <x:c r="B34" s="2" t="str">
        <x:v>Regular</x:v>
      </x:c>
      <x:c r="C34" s="2" t="str">
        <x:v>Mark</x:v>
      </x:c>
      <x:c r="D34" s="2" t="str">
        <x:v>wacky waving arms</x:v>
      </x:c>
      <x:c r="E34" s="15" t="n">
        <x:v>107.95</x:v>
      </x:c>
      <x:c r="F34" s="2" t="str">
        <x:v>Poker Dude</x:v>
      </x:c>
      <x:c r="G34" s="2" t="str">
        <x:v>james's Team</x:v>
      </x:c>
      <x:c r="H34" s="15" t="n">
        <x:v>119.1</x:v>
      </x:c>
      <x:c r="I34" s="2" t="str">
        <x:f>IF(E34&gt;H34,C34,IF(E34&lt;H34,F34,"Tie"))</x:f>
        <x:v>Poker Dude</x:v>
      </x:c>
      <x:c r="J34" s="2" t="str">
        <x:f>IF(E34&gt;H34,F34,IF(E34&lt;H34,C34,"Tie"))</x:f>
        <x:v>Mark</x:v>
      </x:c>
      <x:c r="K34" s="2" t="n">
        <x:f>IF(E34=H34,1,0)</x:f>
        <x:v>0</x:v>
      </x:c>
      <x:c r="L34" s="2" t="str">
        <x:v>Mark / Poker Dude</x:v>
      </x:c>
      <x:c r="M34" t="str"/>
      <x:c r="N34" t="str">
        <x:v>Supplied</x:v>
      </x:c>
      <x:c r="O34" t="str"/>
    </x:row>
    <x:row r="35" ht="22" customHeight="1">
      <x:c r="A35" s="2" t="n">
        <x:v>2</x:v>
      </x:c>
      <x:c r="B35" s="2" t="str">
        <x:v>Regular</x:v>
      </x:c>
      <x:c r="C35" s="2" t="str">
        <x:v>Paul</x:v>
      </x:c>
      <x:c r="D35" s="2" t="str">
        <x:v>Space Dogs</x:v>
      </x:c>
      <x:c r="E35" s="15" t="n">
        <x:v>116</x:v>
      </x:c>
      <x:c r="F35" s="2" t="str">
        <x:v>Nick</x:v>
      </x:c>
      <x:c r="G35" s="2" t="str">
        <x:v>Team Scoops</x:v>
      </x:c>
      <x:c r="H35" s="15" t="n">
        <x:v>178.45</x:v>
      </x:c>
      <x:c r="I35" s="2" t="str">
        <x:f>IF(E35&gt;H35,C35,IF(E35&lt;H35,F35,"Tie"))</x:f>
        <x:v>Nick</x:v>
      </x:c>
      <x:c r="J35" s="2" t="str">
        <x:f>IF(E35&gt;H35,F35,IF(E35&lt;H35,C35,"Tie"))</x:f>
        <x:v>Paul</x:v>
      </x:c>
      <x:c r="K35" s="2" t="n">
        <x:f>IF(E35=H35,1,0)</x:f>
        <x:v>0</x:v>
      </x:c>
      <x:c r="L35" s="2" t="str">
        <x:v>Nick / Paul</x:v>
      </x:c>
      <x:c r="M35" t="str"/>
      <x:c r="N35" t="str">
        <x:v>Supplied</x:v>
      </x:c>
      <x:c r="O35" t="str"/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163</x:v>
      </x:c>
      <x:c r="F36" s="2" t="str">
        <x:v>Nick</x:v>
      </x:c>
      <x:c r="G36" s="2" t="str">
        <x:v>Team Scoops</x:v>
      </x:c>
      <x:c r="H36" s="15" t="n">
        <x:v>156.15</x:v>
      </x:c>
      <x:c r="I36" s="2" t="str">
        <x:f>IF(E36&gt;H36,C36,IF(E36&lt;H36,F36,"Tie"))</x:f>
        <x:v>Bruce</x:v>
      </x:c>
      <x:c r="J36" s="2" t="str">
        <x:f>IF(E36&gt;H36,F36,IF(E36&lt;H36,C36,"Tie"))</x:f>
        <x:v>Nick</x:v>
      </x:c>
      <x:c r="K36" s="2" t="n">
        <x:f>IF(E36=H36,1,0)</x:f>
        <x:v>0</x:v>
      </x:c>
      <x:c r="L36" s="2" t="str">
        <x:v>Bruce / Nick</x:v>
      </x:c>
      <x:c r="M36" t="str"/>
      <x:c r="N36" t="str">
        <x:v>Supplied</x:v>
      </x:c>
      <x:c r="O36" t="str"/>
    </x:row>
    <x:row r="37" ht="22" customHeight="1">
      <x:c r="A37" s="2" t="n">
        <x:v>3</x:v>
      </x:c>
      <x:c r="B37" s="2" t="str">
        <x:v>Regular</x:v>
      </x:c>
      <x:c r="C37" s="2" t="str">
        <x:v>Craig</x:v>
      </x:c>
      <x:c r="D37" s="2" t="str">
        <x:v>The Ants Marching</x:v>
      </x:c>
      <x:c r="E37" s="15" t="n">
        <x:v>115</x:v>
      </x:c>
      <x:c r="F37" s="2" t="str">
        <x:v>Poker Dude</x:v>
      </x:c>
      <x:c r="G37" s="2" t="str">
        <x:v>james's Team</x:v>
      </x:c>
      <x:c r="H37" s="15" t="n">
        <x:v>83.95</x:v>
      </x:c>
      <x:c r="I37" s="2" t="str">
        <x:f>IF(E37&gt;H37,C37,IF(E37&lt;H37,F37,"Tie"))</x:f>
        <x:v>Craig</x:v>
      </x:c>
      <x:c r="J37" s="2" t="str">
        <x:f>IF(E37&gt;H37,F37,IF(E37&lt;H37,C37,"Tie"))</x:f>
        <x:v>Poker Dude</x:v>
      </x:c>
      <x:c r="K37" s="2" t="n">
        <x:f>IF(E37=H37,1,0)</x:f>
        <x:v>0</x:v>
      </x:c>
      <x:c r="L37" s="2" t="str">
        <x:v>Craig / Poker Dude</x:v>
      </x:c>
      <x:c r="M37" t="str"/>
      <x:c r="N37" t="str">
        <x:v>Supplied</x:v>
      </x:c>
      <x:c r="O37" t="str"/>
    </x:row>
    <x:row r="38" ht="22" customHeight="1">
      <x:c r="A38" s="2" t="n">
        <x:v>3</x:v>
      </x:c>
      <x:c r="B38" s="2" t="str">
        <x:v>Regular</x:v>
      </x:c>
      <x:c r="C38" s="2" t="str">
        <x:v>Dave</x:v>
      </x:c>
      <x:c r="D38" s="2" t="str">
        <x:v>2 Girls 1 Kupp</x:v>
      </x:c>
      <x:c r="E38" s="15" t="n">
        <x:v>106.5</x:v>
      </x:c>
      <x:c r="F38" s="2" t="str">
        <x:v>Paul</x:v>
      </x:c>
      <x:c r="G38" s="2" t="str">
        <x:v>Space Dogs</x:v>
      </x:c>
      <x:c r="H38" s="15" t="n">
        <x:v>181.85</x:v>
      </x:c>
      <x:c r="I38" s="2" t="str">
        <x:f>IF(E38&gt;H38,C38,IF(E38&lt;H38,F38,"Tie"))</x:f>
        <x:v>Paul</x:v>
      </x:c>
      <x:c r="J38" s="2" t="str">
        <x:f>IF(E38&gt;H38,F38,IF(E38&lt;H38,C38,"Tie"))</x:f>
        <x:v>Dave</x:v>
      </x:c>
      <x:c r="K38" s="2" t="n">
        <x:f>IF(E38=H38,1,0)</x:f>
        <x:v>0</x:v>
      </x:c>
      <x:c r="L38" s="2" t="str">
        <x:v>Dave / Paul</x:v>
      </x:c>
      <x:c r="M38" t="str"/>
      <x:c r="N38" t="str">
        <x:v>Supplied</x:v>
      </x:c>
      <x:c r="O38" t="str"/>
    </x:row>
    <x:row r="39" ht="22" customHeight="1">
      <x:c r="A39" s="2" t="n">
        <x:v>3</x:v>
      </x:c>
      <x:c r="B39" s="2" t="str">
        <x:v>Regular</x:v>
      </x:c>
      <x:c r="C39" s="2" t="str">
        <x:v>Ed</x:v>
      </x:c>
      <x:c r="D39" s="2" t="str">
        <x:v>Club Eroticas Finest</x:v>
      </x:c>
      <x:c r="E39" s="15" t="n">
        <x:v>108.2</x:v>
      </x:c>
      <x:c r="F39" s="2" t="str">
        <x:v>Frank</x:v>
      </x:c>
      <x:c r="G39" s="2" t="str">
        <x:v>Saquon Deez Nutz</x:v>
      </x:c>
      <x:c r="H39" s="15" t="n">
        <x:v>135.85</x:v>
      </x:c>
      <x:c r="I39" s="2" t="str">
        <x:f>IF(E39&gt;H39,C39,IF(E39&lt;H39,F39,"Tie"))</x:f>
        <x:v>Frank</x:v>
      </x:c>
      <x:c r="J39" s="2" t="str">
        <x:f>IF(E39&gt;H39,F39,IF(E39&lt;H39,C39,"Tie"))</x:f>
        <x:v>Ed</x:v>
      </x:c>
      <x:c r="K39" s="2" t="n">
        <x:f>IF(E39=H39,1,0)</x:f>
        <x:v>0</x:v>
      </x:c>
      <x:c r="L39" s="2" t="str">
        <x:v>Ed / Frank</x:v>
      </x:c>
      <x:c r="M39" t="str"/>
      <x:c r="N39" t="str">
        <x:v>Supplied</x:v>
      </x:c>
      <x:c r="O39" t="str"/>
    </x:row>
    <x:row r="40" ht="22" customHeight="1">
      <x:c r="A40" s="2" t="n">
        <x:v>3</x:v>
      </x:c>
      <x:c r="B40" s="2" t="str">
        <x:v>Regular</x:v>
      </x:c>
      <x:c r="C40" s="2" t="str">
        <x:v>Mike</x:v>
      </x:c>
      <x:c r="D40" s="2" t="str">
        <x:v>Fractional Mike</x:v>
      </x:c>
      <x:c r="E40" s="15" t="n">
        <x:v>72.7</x:v>
      </x:c>
      <x:c r="F40" s="2" t="str">
        <x:v>Josh</x:v>
      </x:c>
      <x:c r="G40" s="2" t="str">
        <x:v>Jackson Mahomos</x:v>
      </x:c>
      <x:c r="H40" s="15" t="n">
        <x:v>131.65</x:v>
      </x:c>
      <x:c r="I40" s="2" t="str">
        <x:f>IF(E40&gt;H40,C40,IF(E40&lt;H40,F40,"Tie"))</x:f>
        <x:v>Josh</x:v>
      </x:c>
      <x:c r="J40" s="2" t="str">
        <x:f>IF(E40&gt;H40,F40,IF(E40&lt;H40,C40,"Tie"))</x:f>
        <x:v>Mike</x:v>
      </x:c>
      <x:c r="K40" s="2" t="n">
        <x:f>IF(E40=H40,1,0)</x:f>
        <x:v>0</x:v>
      </x:c>
      <x:c r="L40" s="2" t="str">
        <x:v>Josh / Mike</x:v>
      </x:c>
      <x:c r="M40" t="str"/>
      <x:c r="N40" t="str">
        <x:v>Supplied</x:v>
      </x:c>
      <x:c r="O40" t="str"/>
    </x:row>
    <x:row r="41" ht="22" customHeight="1">
      <x:c r="A41" s="2" t="n">
        <x:v>3</x:v>
      </x:c>
      <x:c r="B41" s="2" t="str">
        <x:v>Regular</x:v>
      </x:c>
      <x:c r="C41" s="2" t="str">
        <x:v>Mark</x:v>
      </x:c>
      <x:c r="D41" s="2" t="str">
        <x:v>wacky waving arms</x:v>
      </x:c>
      <x:c r="E41" s="15" t="n">
        <x:v>112.4</x:v>
      </x:c>
      <x:c r="F41" s="2" t="str">
        <x:v>Matt</x:v>
      </x:c>
      <x:c r="G41" s="2" t="str">
        <x:v>Mr.Montana</x:v>
      </x:c>
      <x:c r="H41" s="15" t="n">
        <x:v>129.8</x:v>
      </x:c>
      <x:c r="I41" s="2" t="str">
        <x:f>IF(E41&gt;H41,C41,IF(E41&lt;H41,F41,"Tie"))</x:f>
        <x:v>Matt</x:v>
      </x:c>
      <x:c r="J41" s="2" t="str">
        <x:f>IF(E41&gt;H41,F41,IF(E41&lt;H41,C41,"Tie"))</x:f>
        <x:v>Mark</x:v>
      </x:c>
      <x:c r="K41" s="2" t="n">
        <x:f>IF(E41=H41,1,0)</x:f>
        <x:v>0</x:v>
      </x:c>
      <x:c r="L41" s="2" t="str">
        <x:v>Mark / Matt</x:v>
      </x:c>
      <x:c r="M41" t="str"/>
      <x:c r="N41" t="str">
        <x:v>Supplied</x:v>
      </x:c>
      <x:c r="O41" t="str"/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139.45</x:v>
      </x:c>
      <x:c r="F42" s="2" t="str">
        <x:v>Paul</x:v>
      </x:c>
      <x:c r="G42" s="2" t="str">
        <x:v>Space Dogs</x:v>
      </x:c>
      <x:c r="H42" s="15" t="n">
        <x:v>121.9</x:v>
      </x:c>
      <x:c r="I42" s="2" t="str">
        <x:f>IF(E42&gt;H42,C42,IF(E42&lt;H42,F42,"Tie"))</x:f>
        <x:v>Bruce</x:v>
      </x:c>
      <x:c r="J42" s="2" t="str">
        <x:f>IF(E42&gt;H42,F42,IF(E42&lt;H42,C42,"Tie"))</x:f>
        <x:v>Paul</x:v>
      </x:c>
      <x:c r="K42" s="2" t="n">
        <x:f>IF(E42=H42,1,0)</x:f>
        <x:v>0</x:v>
      </x:c>
      <x:c r="L42" s="2" t="str">
        <x:v>Bruce / Paul</x:v>
      </x:c>
      <x:c r="M42" t="str"/>
      <x:c r="N42" t="str">
        <x:v>Supplied</x:v>
      </x:c>
      <x:c r="O42" t="str"/>
    </x:row>
    <x:row r="43" ht="22" customHeight="1">
      <x:c r="A43" s="2" t="n">
        <x:v>4</x:v>
      </x:c>
      <x:c r="B43" s="2" t="str">
        <x:v>Regular</x:v>
      </x:c>
      <x:c r="C43" s="2" t="str">
        <x:v>Craig</x:v>
      </x:c>
      <x:c r="D43" s="2" t="str">
        <x:v>The Ants Marching</x:v>
      </x:c>
      <x:c r="E43" s="15" t="n">
        <x:v>108.1</x:v>
      </x:c>
      <x:c r="F43" s="2" t="str">
        <x:v>Matt</x:v>
      </x:c>
      <x:c r="G43" s="2" t="str">
        <x:v>Mr.Montana</x:v>
      </x:c>
      <x:c r="H43" s="15" t="n">
        <x:v>137.55</x:v>
      </x:c>
      <x:c r="I43" s="2" t="str">
        <x:f>IF(E43&gt;H43,C43,IF(E43&lt;H43,F43,"Tie"))</x:f>
        <x:v>Matt</x:v>
      </x:c>
      <x:c r="J43" s="2" t="str">
        <x:f>IF(E43&gt;H43,F43,IF(E43&lt;H43,C43,"Tie"))</x:f>
        <x:v>Craig</x:v>
      </x:c>
      <x:c r="K43" s="2" t="n">
        <x:f>IF(E43=H43,1,0)</x:f>
        <x:v>0</x:v>
      </x:c>
      <x:c r="L43" s="2" t="str">
        <x:v>Craig / Matt</x:v>
      </x:c>
      <x:c r="M43" t="str"/>
      <x:c r="N43" t="str">
        <x:v>Supplied</x:v>
      </x:c>
      <x:c r="O43" t="str"/>
    </x:row>
    <x:row r="44" ht="22" customHeight="1">
      <x:c r="A44" s="2" t="n">
        <x:v>4</x:v>
      </x:c>
      <x:c r="B44" s="2" t="str">
        <x:v>Regular</x:v>
      </x:c>
      <x:c r="C44" s="2" t="str">
        <x:v>Dave</x:v>
      </x:c>
      <x:c r="D44" s="2" t="str">
        <x:v>2 Girls 1 Kupp</x:v>
      </x:c>
      <x:c r="E44" s="15" t="n">
        <x:v>81</x:v>
      </x:c>
      <x:c r="F44" s="2" t="str">
        <x:v>Frank</x:v>
      </x:c>
      <x:c r="G44" s="2" t="str">
        <x:v>Saquon Deez Nutz</x:v>
      </x:c>
      <x:c r="H44" s="15" t="n">
        <x:v>93.6</x:v>
      </x:c>
      <x:c r="I44" s="2" t="str">
        <x:f>IF(E44&gt;H44,C44,IF(E44&lt;H44,F44,"Tie"))</x:f>
        <x:v>Frank</x:v>
      </x:c>
      <x:c r="J44" s="2" t="str">
        <x:f>IF(E44&gt;H44,F44,IF(E44&lt;H44,C44,"Tie"))</x:f>
        <x:v>Dave</x:v>
      </x:c>
      <x:c r="K44" s="2" t="n">
        <x:f>IF(E44=H44,1,0)</x:f>
        <x:v>0</x:v>
      </x:c>
      <x:c r="L44" s="2" t="str">
        <x:v>Dave / Frank</x:v>
      </x:c>
      <x:c r="M44" t="str"/>
      <x:c r="N44" t="str">
        <x:v>Supplied</x:v>
      </x:c>
      <x:c r="O44" t="str"/>
    </x:row>
    <x:row r="45" ht="22" customHeight="1">
      <x:c r="A45" s="2" t="n">
        <x:v>4</x:v>
      </x:c>
      <x:c r="B45" s="2" t="str">
        <x:v>Regular</x:v>
      </x:c>
      <x:c r="C45" s="2" t="str">
        <x:v>Ed</x:v>
      </x:c>
      <x:c r="D45" s="2" t="str">
        <x:v>Club Eroticas Finest</x:v>
      </x:c>
      <x:c r="E45" s="15" t="n">
        <x:v>98.05</x:v>
      </x:c>
      <x:c r="F45" s="2" t="str">
        <x:v>Mark</x:v>
      </x:c>
      <x:c r="G45" s="2" t="str">
        <x:v>wacky waving arms</x:v>
      </x:c>
      <x:c r="H45" s="15" t="n">
        <x:v>156.9</x:v>
      </x:c>
      <x:c r="I45" s="2" t="str">
        <x:f>IF(E45&gt;H45,C45,IF(E45&lt;H45,F45,"Tie"))</x:f>
        <x:v>Mark</x:v>
      </x:c>
      <x:c r="J45" s="2" t="str">
        <x:f>IF(E45&gt;H45,F45,IF(E45&lt;H45,C45,"Tie"))</x:f>
        <x:v>Ed</x:v>
      </x:c>
      <x:c r="K45" s="2" t="n">
        <x:f>IF(E45=H45,1,0)</x:f>
        <x:v>0</x:v>
      </x:c>
      <x:c r="L45" s="2" t="str">
        <x:v>Ed / Mark</x:v>
      </x:c>
      <x:c r="M45" t="str"/>
      <x:c r="N45" t="str">
        <x:v>Supplied</x:v>
      </x:c>
      <x:c r="O45" t="str"/>
    </x:row>
    <x:row r="46" ht="22" customHeight="1">
      <x:c r="A46" s="2" t="n">
        <x:v>4</x:v>
      </x:c>
      <x:c r="B46" s="2" t="str">
        <x:v>Regular</x:v>
      </x:c>
      <x:c r="C46" s="2" t="str">
        <x:v>Mike</x:v>
      </x:c>
      <x:c r="D46" s="2" t="str">
        <x:v>Fractional Mike</x:v>
      </x:c>
      <x:c r="E46" s="15" t="n">
        <x:v>127.15</x:v>
      </x:c>
      <x:c r="F46" s="2" t="str">
        <x:v>Nick</x:v>
      </x:c>
      <x:c r="G46" s="2" t="str">
        <x:v>Team Scoops</x:v>
      </x:c>
      <x:c r="H46" s="15" t="n">
        <x:v>127</x:v>
      </x:c>
      <x:c r="I46" s="2" t="str">
        <x:f>IF(E46&gt;H46,C46,IF(E46&lt;H46,F46,"Tie"))</x:f>
        <x:v>Mike</x:v>
      </x:c>
      <x:c r="J46" s="2" t="str">
        <x:f>IF(E46&gt;H46,F46,IF(E46&lt;H46,C46,"Tie"))</x:f>
        <x:v>Nick</x:v>
      </x:c>
      <x:c r="K46" s="2" t="n">
        <x:f>IF(E46=H46,1,0)</x:f>
        <x:v>0</x:v>
      </x:c>
      <x:c r="L46" s="2" t="str">
        <x:v>Mike / Nick</x:v>
      </x:c>
      <x:c r="M46" t="str"/>
      <x:c r="N46" t="str">
        <x:v>Supplied</x:v>
      </x:c>
      <x:c r="O46" t="str"/>
    </x:row>
    <x:row r="47" ht="22" customHeight="1">
      <x:c r="A47" s="2" t="n">
        <x:v>4</x:v>
      </x:c>
      <x:c r="B47" s="2" t="str">
        <x:v>Regular</x:v>
      </x:c>
      <x:c r="C47" s="2" t="str">
        <x:v>Josh</x:v>
      </x:c>
      <x:c r="D47" s="2" t="str">
        <x:v>Jackson Mahomos</x:v>
      </x:c>
      <x:c r="E47" s="15" t="n">
        <x:v>119.45</x:v>
      </x:c>
      <x:c r="F47" s="2" t="str">
        <x:v>Poker Dude</x:v>
      </x:c>
      <x:c r="G47" s="2" t="str">
        <x:v>james's Team</x:v>
      </x:c>
      <x:c r="H47" s="15" t="n">
        <x:v>104.75</x:v>
      </x:c>
      <x:c r="I47" s="2" t="str">
        <x:f>IF(E47&gt;H47,C47,IF(E47&lt;H47,F47,"Tie"))</x:f>
        <x:v>Josh</x:v>
      </x:c>
      <x:c r="J47" s="2" t="str">
        <x:f>IF(E47&gt;H47,F47,IF(E47&lt;H47,C47,"Tie"))</x:f>
        <x:v>Poker Dude</x:v>
      </x:c>
      <x:c r="K47" s="2" t="n">
        <x:f>IF(E47=H47,1,0)</x:f>
        <x:v>0</x:v>
      </x:c>
      <x:c r="L47" s="2" t="str">
        <x:v>Josh / Poker Dude</x:v>
      </x:c>
      <x:c r="M47" t="str"/>
      <x:c r="N47" t="str">
        <x:v>Supplied</x:v>
      </x:c>
      <x:c r="O47" t="str"/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113.05</x:v>
      </x:c>
      <x:c r="F48" s="2" t="str">
        <x:v>Matt</x:v>
      </x:c>
      <x:c r="G48" s="2" t="str">
        <x:v>Mr.Montana</x:v>
      </x:c>
      <x:c r="H48" s="15" t="n">
        <x:v>149.2</x:v>
      </x:c>
      <x:c r="I48" s="2" t="str">
        <x:f>IF(E48&gt;H48,C48,IF(E48&lt;H48,F48,"Tie"))</x:f>
        <x:v>Matt</x:v>
      </x:c>
      <x:c r="J48" s="2" t="str">
        <x:f>IF(E48&gt;H48,F48,IF(E48&lt;H48,C48,"Tie"))</x:f>
        <x:v>Bruce</x:v>
      </x:c>
      <x:c r="K48" s="2" t="n">
        <x:f>IF(E48=H48,1,0)</x:f>
        <x:v>0</x:v>
      </x:c>
      <x:c r="L48" s="2" t="str">
        <x:v>Bruce / Matt</x:v>
      </x:c>
      <x:c r="M48" t="str"/>
      <x:c r="N48" t="str">
        <x:v>Supplied</x:v>
      </x:c>
      <x:c r="O48" t="str"/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136.9</x:v>
      </x:c>
      <x:c r="F49" s="2" t="str">
        <x:v>Nick</x:v>
      </x:c>
      <x:c r="G49" s="2" t="str">
        <x:v>Team Scoops</x:v>
      </x:c>
      <x:c r="H49" s="15" t="n">
        <x:v>174.3</x:v>
      </x:c>
      <x:c r="I49" s="2" t="str">
        <x:f>IF(E49&gt;H49,C49,IF(E49&lt;H49,F49,"Tie"))</x:f>
        <x:v>Nick</x:v>
      </x:c>
      <x:c r="J49" s="2" t="str">
        <x:f>IF(E49&gt;H49,F49,IF(E49&lt;H49,C49,"Tie"))</x:f>
        <x:v>Craig</x:v>
      </x:c>
      <x:c r="K49" s="2" t="n">
        <x:f>IF(E49=H49,1,0)</x:f>
        <x:v>0</x:v>
      </x:c>
      <x:c r="L49" s="2" t="str">
        <x:v>Craig / Nick</x:v>
      </x:c>
      <x:c r="M49" t="str"/>
      <x:c r="N49" t="str">
        <x:v>Supplied</x:v>
      </x:c>
      <x:c r="O49" t="str"/>
    </x:row>
    <x:row r="50" ht="22" customHeight="1">
      <x:c r="A50" s="2" t="n">
        <x:v>5</x:v>
      </x:c>
      <x:c r="B50" s="2" t="str">
        <x:v>Regular</x:v>
      </x:c>
      <x:c r="C50" s="2" t="str">
        <x:v>Dave</x:v>
      </x:c>
      <x:c r="D50" s="2" t="str">
        <x:v>2 Girls 1 Kupp</x:v>
      </x:c>
      <x:c r="E50" s="15" t="n">
        <x:v>153.45</x:v>
      </x:c>
      <x:c r="F50" s="2" t="str">
        <x:v>Ed</x:v>
      </x:c>
      <x:c r="G50" s="2" t="str">
        <x:v>Club Eroticas Finest</x:v>
      </x:c>
      <x:c r="H50" s="15" t="n">
        <x:v>115.1</x:v>
      </x:c>
      <x:c r="I50" s="2" t="str">
        <x:f>IF(E50&gt;H50,C50,IF(E50&lt;H50,F50,"Tie"))</x:f>
        <x:v>Dave</x:v>
      </x:c>
      <x:c r="J50" s="2" t="str">
        <x:f>IF(E50&gt;H50,F50,IF(E50&lt;H50,C50,"Tie"))</x:f>
        <x:v>Ed</x:v>
      </x:c>
      <x:c r="K50" s="2" t="n">
        <x:f>IF(E50=H50,1,0)</x:f>
        <x:v>0</x:v>
      </x:c>
      <x:c r="L50" s="2" t="str">
        <x:v>Dave / Ed</x:v>
      </x:c>
      <x:c r="M50" t="str"/>
      <x:c r="N50" t="str">
        <x:v>Supplied</x:v>
      </x:c>
      <x:c r="O50" t="str"/>
    </x:row>
    <x:row r="51" ht="22" customHeight="1">
      <x:c r="A51" s="2" t="n">
        <x:v>5</x:v>
      </x:c>
      <x:c r="B51" s="2" t="str">
        <x:v>Regular</x:v>
      </x:c>
      <x:c r="C51" s="2" t="str">
        <x:v>Frank</x:v>
      </x:c>
      <x:c r="D51" s="2" t="str">
        <x:v>Saquon Deez Nutz</x:v>
      </x:c>
      <x:c r="E51" s="15" t="n">
        <x:v>113.1</x:v>
      </x:c>
      <x:c r="F51" s="2" t="str">
        <x:v>Poker Dude</x:v>
      </x:c>
      <x:c r="G51" s="2" t="str">
        <x:v>james's Team</x:v>
      </x:c>
      <x:c r="H51" s="15" t="n">
        <x:v>117</x:v>
      </x:c>
      <x:c r="I51" s="2" t="str">
        <x:f>IF(E51&gt;H51,C51,IF(E51&lt;H51,F51,"Tie"))</x:f>
        <x:v>Poker Dude</x:v>
      </x:c>
      <x:c r="J51" s="2" t="str">
        <x:f>IF(E51&gt;H51,F51,IF(E51&lt;H51,C51,"Tie"))</x:f>
        <x:v>Frank</x:v>
      </x:c>
      <x:c r="K51" s="2" t="n">
        <x:f>IF(E51=H51,1,0)</x:f>
        <x:v>0</x:v>
      </x:c>
      <x:c r="L51" s="2" t="str">
        <x:v>Frank / Poker Dude</x:v>
      </x:c>
      <x:c r="M51" t="str"/>
      <x:c r="N51" t="str">
        <x:v>Supplied</x:v>
      </x:c>
      <x:c r="O51" t="str"/>
    </x:row>
    <x:row r="52" ht="22" customHeight="1">
      <x:c r="A52" s="2" t="n">
        <x:v>5</x:v>
      </x:c>
      <x:c r="B52" s="2" t="str">
        <x:v>Regular</x:v>
      </x:c>
      <x:c r="C52" s="2" t="str">
        <x:v>Mike</x:v>
      </x:c>
      <x:c r="D52" s="2" t="str">
        <x:v>Fractional Mike</x:v>
      </x:c>
      <x:c r="E52" s="15" t="n">
        <x:v>98.45</x:v>
      </x:c>
      <x:c r="F52" s="2" t="str">
        <x:v>Mark</x:v>
      </x:c>
      <x:c r="G52" s="2" t="str">
        <x:v>wacky waving arms</x:v>
      </x:c>
      <x:c r="H52" s="15" t="n">
        <x:v>129.4</x:v>
      </x:c>
      <x:c r="I52" s="2" t="str">
        <x:f>IF(E52&gt;H52,C52,IF(E52&lt;H52,F52,"Tie"))</x:f>
        <x:v>Mark</x:v>
      </x:c>
      <x:c r="J52" s="2" t="str">
        <x:f>IF(E52&gt;H52,F52,IF(E52&lt;H52,C52,"Tie"))</x:f>
        <x:v>Mike</x:v>
      </x:c>
      <x:c r="K52" s="2" t="n">
        <x:f>IF(E52=H52,1,0)</x:f>
        <x:v>0</x:v>
      </x:c>
      <x:c r="L52" s="2" t="str">
        <x:v>Mark / Mike</x:v>
      </x:c>
      <x:c r="M52" t="str"/>
      <x:c r="N52" t="str">
        <x:v>Supplied</x:v>
      </x:c>
      <x:c r="O52" t="str"/>
    </x:row>
    <x:row r="53" ht="22" customHeight="1">
      <x:c r="A53" s="2" t="n">
        <x:v>5</x:v>
      </x:c>
      <x:c r="B53" s="2" t="str">
        <x:v>Regular</x:v>
      </x:c>
      <x:c r="C53" s="2" t="str">
        <x:v>Josh</x:v>
      </x:c>
      <x:c r="D53" s="2" t="str">
        <x:v>Jackson Mahomos</x:v>
      </x:c>
      <x:c r="E53" s="15" t="n">
        <x:v>150</x:v>
      </x:c>
      <x:c r="F53" s="2" t="str">
        <x:v>Paul</x:v>
      </x:c>
      <x:c r="G53" s="2" t="str">
        <x:v>Space Dogs</x:v>
      </x:c>
      <x:c r="H53" s="15" t="n">
        <x:v>170.85</x:v>
      </x:c>
      <x:c r="I53" s="2" t="str">
        <x:f>IF(E53&gt;H53,C53,IF(E53&lt;H53,F53,"Tie"))</x:f>
        <x:v>Paul</x:v>
      </x:c>
      <x:c r="J53" s="2" t="str">
        <x:f>IF(E53&gt;H53,F53,IF(E53&lt;H53,C53,"Tie"))</x:f>
        <x:v>Josh</x:v>
      </x:c>
      <x:c r="K53" s="2" t="n">
        <x:f>IF(E53=H53,1,0)</x:f>
        <x:v>0</x:v>
      </x:c>
      <x:c r="L53" s="2" t="str">
        <x:v>Josh / Paul</x:v>
      </x:c>
      <x:c r="M53" t="str"/>
      <x:c r="N53" t="str">
        <x:v>Supplied</x:v>
      </x:c>
      <x:c r="O53" t="str"/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161.85</x:v>
      </x:c>
      <x:c r="F54" s="2" t="str">
        <x:v>Josh</x:v>
      </x:c>
      <x:c r="G54" s="2" t="str">
        <x:v>Jackson Mahomos</x:v>
      </x:c>
      <x:c r="H54" s="15" t="n">
        <x:v>116.35</x:v>
      </x:c>
      <x:c r="I54" s="2" t="str">
        <x:f>IF(E54&gt;H54,C54,IF(E54&lt;H54,F54,"Tie"))</x:f>
        <x:v>Bruce</x:v>
      </x:c>
      <x:c r="J54" s="2" t="str">
        <x:f>IF(E54&gt;H54,F54,IF(E54&lt;H54,C54,"Tie"))</x:f>
        <x:v>Josh</x:v>
      </x:c>
      <x:c r="K54" s="2" t="n">
        <x:f>IF(E54=H54,1,0)</x:f>
        <x:v>0</x:v>
      </x:c>
      <x:c r="L54" s="2" t="str">
        <x:v>Bruce / Josh</x:v>
      </x:c>
      <x:c r="M54" t="str"/>
      <x:c r="N54" t="str">
        <x:v>Supplied</x:v>
      </x:c>
      <x:c r="O54" t="str"/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130.65</x:v>
      </x:c>
      <x:c r="F55" s="2" t="str">
        <x:v>Mark</x:v>
      </x:c>
      <x:c r="G55" s="2" t="str">
        <x:v>wacky waving arms</x:v>
      </x:c>
      <x:c r="H55" s="15" t="n">
        <x:v>116.85</x:v>
      </x:c>
      <x:c r="I55" s="2" t="str">
        <x:f>IF(E55&gt;H55,C55,IF(E55&lt;H55,F55,"Tie"))</x:f>
        <x:v>Craig</x:v>
      </x:c>
      <x:c r="J55" s="2" t="str">
        <x:f>IF(E55&gt;H55,F55,IF(E55&lt;H55,C55,"Tie"))</x:f>
        <x:v>Mark</x:v>
      </x:c>
      <x:c r="K55" s="2" t="n">
        <x:f>IF(E55=H55,1,0)</x:f>
        <x:v>0</x:v>
      </x:c>
      <x:c r="L55" s="2" t="str">
        <x:v>Craig / Mark</x:v>
      </x:c>
      <x:c r="M55" t="str"/>
      <x:c r="N55" t="str">
        <x:v>Supplied</x:v>
      </x:c>
      <x:c r="O55" t="str"/>
    </x:row>
    <x:row r="56" ht="22" customHeight="1">
      <x:c r="A56" s="2" t="n">
        <x:v>6</x:v>
      </x:c>
      <x:c r="B56" s="2" t="str">
        <x:v>Regular</x:v>
      </x:c>
      <x:c r="C56" s="2" t="str">
        <x:v>Dave</x:v>
      </x:c>
      <x:c r="D56" s="2" t="str">
        <x:v>2 Girls 1 Kupp</x:v>
      </x:c>
      <x:c r="E56" s="15" t="n">
        <x:v>134.75</x:v>
      </x:c>
      <x:c r="F56" s="2" t="str">
        <x:v>Nick</x:v>
      </x:c>
      <x:c r="G56" s="2" t="str">
        <x:v>Team Scoops</x:v>
      </x:c>
      <x:c r="H56" s="15" t="n">
        <x:v>96.55</x:v>
      </x:c>
      <x:c r="I56" s="2" t="str">
        <x:f>IF(E56&gt;H56,C56,IF(E56&lt;H56,F56,"Tie"))</x:f>
        <x:v>Dave</x:v>
      </x:c>
      <x:c r="J56" s="2" t="str">
        <x:f>IF(E56&gt;H56,F56,IF(E56&lt;H56,C56,"Tie"))</x:f>
        <x:v>Nick</x:v>
      </x:c>
      <x:c r="K56" s="2" t="n">
        <x:f>IF(E56=H56,1,0)</x:f>
        <x:v>0</x:v>
      </x:c>
      <x:c r="L56" s="2" t="str">
        <x:v>Dave / Nick</x:v>
      </x:c>
      <x:c r="M56" t="str"/>
      <x:c r="N56" t="str">
        <x:v>Supplied</x:v>
      </x:c>
      <x:c r="O56" t="str"/>
    </x:row>
    <x:row r="57" ht="22" customHeight="1">
      <x:c r="A57" s="2" t="n">
        <x:v>6</x:v>
      </x:c>
      <x:c r="B57" s="2" t="str">
        <x:v>Regular</x:v>
      </x:c>
      <x:c r="C57" s="2" t="str">
        <x:v>Ed</x:v>
      </x:c>
      <x:c r="D57" s="2" t="str">
        <x:v>Club Eroticas Finest</x:v>
      </x:c>
      <x:c r="E57" s="15" t="n">
        <x:v>132.65</x:v>
      </x:c>
      <x:c r="F57" s="2" t="str">
        <x:v>Paul</x:v>
      </x:c>
      <x:c r="G57" s="2" t="str">
        <x:v>Space Dogs</x:v>
      </x:c>
      <x:c r="H57" s="15" t="n">
        <x:v>135.75</x:v>
      </x:c>
      <x:c r="I57" s="2" t="str">
        <x:f>IF(E57&gt;H57,C57,IF(E57&lt;H57,F57,"Tie"))</x:f>
        <x:v>Paul</x:v>
      </x:c>
      <x:c r="J57" s="2" t="str">
        <x:f>IF(E57&gt;H57,F57,IF(E57&lt;H57,C57,"Tie"))</x:f>
        <x:v>Ed</x:v>
      </x:c>
      <x:c r="K57" s="2" t="n">
        <x:f>IF(E57=H57,1,0)</x:f>
        <x:v>0</x:v>
      </x:c>
      <x:c r="L57" s="2" t="str">
        <x:v>Ed / Paul</x:v>
      </x:c>
      <x:c r="M57" t="str"/>
      <x:c r="N57" t="str">
        <x:v>Supplied</x:v>
      </x:c>
      <x:c r="O57" t="str"/>
    </x:row>
    <x:row r="58" ht="22" customHeight="1">
      <x:c r="A58" s="2" t="n">
        <x:v>6</x:v>
      </x:c>
      <x:c r="B58" s="2" t="str">
        <x:v>Regular</x:v>
      </x:c>
      <x:c r="C58" s="2" t="str">
        <x:v>Frank</x:v>
      </x:c>
      <x:c r="D58" s="2" t="str">
        <x:v>Saquon Deez Nutz</x:v>
      </x:c>
      <x:c r="E58" s="15" t="n">
        <x:v>139.75</x:v>
      </x:c>
      <x:c r="F58" s="2" t="str">
        <x:v>Matt</x:v>
      </x:c>
      <x:c r="G58" s="2" t="str">
        <x:v>Mr.Montana</x:v>
      </x:c>
      <x:c r="H58" s="15" t="n">
        <x:v>132.75</x:v>
      </x:c>
      <x:c r="I58" s="2" t="str">
        <x:f>IF(E58&gt;H58,C58,IF(E58&lt;H58,F58,"Tie"))</x:f>
        <x:v>Frank</x:v>
      </x:c>
      <x:c r="J58" s="2" t="str">
        <x:f>IF(E58&gt;H58,F58,IF(E58&lt;H58,C58,"Tie"))</x:f>
        <x:v>Matt</x:v>
      </x:c>
      <x:c r="K58" s="2" t="n">
        <x:f>IF(E58=H58,1,0)</x:f>
        <x:v>0</x:v>
      </x:c>
      <x:c r="L58" s="2" t="str">
        <x:v>Frank / Matt</x:v>
      </x:c>
      <x:c r="M58" t="str"/>
      <x:c r="N58" t="str">
        <x:v>Supplied</x:v>
      </x:c>
      <x:c r="O58" t="str"/>
    </x:row>
    <x:row r="59" ht="22" customHeight="1">
      <x:c r="A59" s="2" t="n">
        <x:v>6</x:v>
      </x:c>
      <x:c r="B59" s="2" t="str">
        <x:v>Regular</x:v>
      </x:c>
      <x:c r="C59" s="2" t="str">
        <x:v>Mike</x:v>
      </x:c>
      <x:c r="D59" s="2" t="str">
        <x:v>Fractional Mike</x:v>
      </x:c>
      <x:c r="E59" s="15" t="n">
        <x:v>113.5</x:v>
      </x:c>
      <x:c r="F59" s="2" t="str">
        <x:v>Poker Dude</x:v>
      </x:c>
      <x:c r="G59" s="2" t="str">
        <x:v>james's Team</x:v>
      </x:c>
      <x:c r="H59" s="15" t="n">
        <x:v>128.75</x:v>
      </x:c>
      <x:c r="I59" s="2" t="str">
        <x:f>IF(E59&gt;H59,C59,IF(E59&lt;H59,F59,"Tie"))</x:f>
        <x:v>Poker Dude</x:v>
      </x:c>
      <x:c r="J59" s="2" t="str">
        <x:f>IF(E59&gt;H59,F59,IF(E59&lt;H59,C59,"Tie"))</x:f>
        <x:v>Mike</x:v>
      </x:c>
      <x:c r="K59" s="2" t="n">
        <x:f>IF(E59=H59,1,0)</x:f>
        <x:v>0</x:v>
      </x:c>
      <x:c r="L59" s="2" t="str">
        <x:v>Mike / Poker Dude</x:v>
      </x:c>
      <x:c r="M59" t="str"/>
      <x:c r="N59" t="str">
        <x:v>Supplied</x:v>
      </x:c>
      <x:c r="O59" t="str"/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118.95</x:v>
      </x:c>
      <x:c r="F60" s="2" t="str">
        <x:v>Dave</x:v>
      </x:c>
      <x:c r="G60" s="2" t="str">
        <x:v>2 Girls 1 Kupp</x:v>
      </x:c>
      <x:c r="H60" s="15" t="n">
        <x:v>92.25</x:v>
      </x:c>
      <x:c r="I60" s="2" t="str">
        <x:f>IF(E60&gt;H60,C60,IF(E60&lt;H60,F60,"Tie"))</x:f>
        <x:v>Bruce</x:v>
      </x:c>
      <x:c r="J60" s="2" t="str">
        <x:f>IF(E60&gt;H60,F60,IF(E60&lt;H60,C60,"Tie"))</x:f>
        <x:v>Dave</x:v>
      </x:c>
      <x:c r="K60" s="2" t="n">
        <x:f>IF(E60=H60,1,0)</x:f>
        <x:v>0</x:v>
      </x:c>
      <x:c r="L60" s="2" t="str">
        <x:v>Bruce / Dave</x:v>
      </x:c>
      <x:c r="M60" t="str"/>
      <x:c r="N60" t="str">
        <x:v>Supplied</x:v>
      </x:c>
      <x:c r="O60" t="str"/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136.3</x:v>
      </x:c>
      <x:c r="F61" s="2" t="str">
        <x:v>Paul</x:v>
      </x:c>
      <x:c r="G61" s="2" t="str">
        <x:v>Space Dogs</x:v>
      </x:c>
      <x:c r="H61" s="15" t="n">
        <x:v>152.9</x:v>
      </x:c>
      <x:c r="I61" s="2" t="str">
        <x:f>IF(E61&gt;H61,C61,IF(E61&lt;H61,F61,"Tie"))</x:f>
        <x:v>Paul</x:v>
      </x:c>
      <x:c r="J61" s="2" t="str">
        <x:f>IF(E61&gt;H61,F61,IF(E61&lt;H61,C61,"Tie"))</x:f>
        <x:v>Craig</x:v>
      </x:c>
      <x:c r="K61" s="2" t="n">
        <x:f>IF(E61=H61,1,0)</x:f>
        <x:v>0</x:v>
      </x:c>
      <x:c r="L61" s="2" t="str">
        <x:v>Craig / Paul</x:v>
      </x:c>
      <x:c r="M61" t="str"/>
      <x:c r="N61" t="str">
        <x:v>Supplied</x:v>
      </x:c>
      <x:c r="O61" t="str"/>
    </x:row>
    <x:row r="62" ht="22" customHeight="1">
      <x:c r="A62" s="2" t="n">
        <x:v>7</x:v>
      </x:c>
      <x:c r="B62" s="2" t="str">
        <x:v>Regular</x:v>
      </x:c>
      <x:c r="C62" s="2" t="str">
        <x:v>Ed</x:v>
      </x:c>
      <x:c r="D62" s="2" t="str">
        <x:v>Club Eroticas Finest</x:v>
      </x:c>
      <x:c r="E62" s="15" t="n">
        <x:v>109.05</x:v>
      </x:c>
      <x:c r="F62" s="2" t="str">
        <x:v>Mike</x:v>
      </x:c>
      <x:c r="G62" s="2" t="str">
        <x:v>Fractional Mike</x:v>
      </x:c>
      <x:c r="H62" s="15" t="n">
        <x:v>126.65</x:v>
      </x:c>
      <x:c r="I62" s="2" t="str">
        <x:f>IF(E62&gt;H62,C62,IF(E62&lt;H62,F62,"Tie"))</x:f>
        <x:v>Mike</x:v>
      </x:c>
      <x:c r="J62" s="2" t="str">
        <x:f>IF(E62&gt;H62,F62,IF(E62&lt;H62,C62,"Tie"))</x:f>
        <x:v>Ed</x:v>
      </x:c>
      <x:c r="K62" s="2" t="n">
        <x:f>IF(E62=H62,1,0)</x:f>
        <x:v>0</x:v>
      </x:c>
      <x:c r="L62" s="2" t="str">
        <x:v>Ed / Mike</x:v>
      </x:c>
      <x:c r="M62" t="str"/>
      <x:c r="N62" t="str">
        <x:v>Supplied</x:v>
      </x:c>
      <x:c r="O62" t="str"/>
    </x:row>
    <x:row r="63" ht="22" customHeight="1">
      <x:c r="A63" s="2" t="n">
        <x:v>7</x:v>
      </x:c>
      <x:c r="B63" s="2" t="str">
        <x:v>Regular</x:v>
      </x:c>
      <x:c r="C63" s="2" t="str">
        <x:v>Frank</x:v>
      </x:c>
      <x:c r="D63" s="2" t="str">
        <x:v>Saquon Deez Nutz</x:v>
      </x:c>
      <x:c r="E63" s="15" t="n">
        <x:v>130.8</x:v>
      </x:c>
      <x:c r="F63" s="2" t="str">
        <x:v>Nick</x:v>
      </x:c>
      <x:c r="G63" s="2" t="str">
        <x:v>Team Scoops</x:v>
      </x:c>
      <x:c r="H63" s="15" t="n">
        <x:v>128.25</x:v>
      </x:c>
      <x:c r="I63" s="2" t="str">
        <x:f>IF(E63&gt;H63,C63,IF(E63&lt;H63,F63,"Tie"))</x:f>
        <x:v>Frank</x:v>
      </x:c>
      <x:c r="J63" s="2" t="str">
        <x:f>IF(E63&gt;H63,F63,IF(E63&lt;H63,C63,"Tie"))</x:f>
        <x:v>Nick</x:v>
      </x:c>
      <x:c r="K63" s="2" t="n">
        <x:f>IF(E63=H63,1,0)</x:f>
        <x:v>0</x:v>
      </x:c>
      <x:c r="L63" s="2" t="str">
        <x:v>Frank / Nick</x:v>
      </x:c>
      <x:c r="M63" t="str"/>
      <x:c r="N63" t="str">
        <x:v>Supplied</x:v>
      </x:c>
      <x:c r="O63" t="str"/>
    </x:row>
    <x:row r="64" ht="22" customHeight="1">
      <x:c r="A64" s="2" t="n">
        <x:v>7</x:v>
      </x:c>
      <x:c r="B64" s="2" t="str">
        <x:v>Regular</x:v>
      </x:c>
      <x:c r="C64" s="2" t="str">
        <x:v>Josh</x:v>
      </x:c>
      <x:c r="D64" s="2" t="str">
        <x:v>Jackson Mahomos</x:v>
      </x:c>
      <x:c r="E64" s="15" t="n">
        <x:v>135.25</x:v>
      </x:c>
      <x:c r="F64" s="2" t="str">
        <x:v>Mark</x:v>
      </x:c>
      <x:c r="G64" s="2" t="str">
        <x:v>wacky waving arms</x:v>
      </x:c>
      <x:c r="H64" s="15" t="n">
        <x:v>95.9</x:v>
      </x:c>
      <x:c r="I64" s="2" t="str">
        <x:f>IF(E64&gt;H64,C64,IF(E64&lt;H64,F64,"Tie"))</x:f>
        <x:v>Josh</x:v>
      </x:c>
      <x:c r="J64" s="2" t="str">
        <x:f>IF(E64&gt;H64,F64,IF(E64&lt;H64,C64,"Tie"))</x:f>
        <x:v>Mark</x:v>
      </x:c>
      <x:c r="K64" s="2" t="n">
        <x:f>IF(E64=H64,1,0)</x:f>
        <x:v>0</x:v>
      </x:c>
      <x:c r="L64" s="2" t="str">
        <x:v>Josh / Mark</x:v>
      </x:c>
      <x:c r="M64" t="str"/>
      <x:c r="N64" t="str">
        <x:v>Supplied</x:v>
      </x:c>
      <x:c r="O64" t="str"/>
    </x:row>
    <x:row r="65" ht="22" customHeight="1">
      <x:c r="A65" s="2" t="n">
        <x:v>7</x:v>
      </x:c>
      <x:c r="B65" s="2" t="str">
        <x:v>Regular</x:v>
      </x:c>
      <x:c r="C65" s="2" t="str">
        <x:v>Poker Dude</x:v>
      </x:c>
      <x:c r="D65" s="2" t="str">
        <x:v>james's Team</x:v>
      </x:c>
      <x:c r="E65" s="15" t="n">
        <x:v>124.15</x:v>
      </x:c>
      <x:c r="F65" s="2" t="str">
        <x:v>Matt</x:v>
      </x:c>
      <x:c r="G65" s="2" t="str">
        <x:v>Mr.Montana</x:v>
      </x:c>
      <x:c r="H65" s="15" t="n">
        <x:v>141.8</x:v>
      </x:c>
      <x:c r="I65" s="2" t="str">
        <x:f>IF(E65&gt;H65,C65,IF(E65&lt;H65,F65,"Tie"))</x:f>
        <x:v>Matt</x:v>
      </x:c>
      <x:c r="J65" s="2" t="str">
        <x:f>IF(E65&gt;H65,F65,IF(E65&lt;H65,C65,"Tie"))</x:f>
        <x:v>Poker Dude</x:v>
      </x:c>
      <x:c r="K65" s="2" t="n">
        <x:f>IF(E65=H65,1,0)</x:f>
        <x:v>0</x:v>
      </x:c>
      <x:c r="L65" s="2" t="str">
        <x:v>Matt / Poker Dude</x:v>
      </x:c>
      <x:c r="M65" t="str"/>
      <x:c r="N65" t="str">
        <x:v>Supplied</x:v>
      </x:c>
      <x:c r="O65" t="str"/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117.45</x:v>
      </x:c>
      <x:c r="F66" s="2" t="str">
        <x:v>Frank</x:v>
      </x:c>
      <x:c r="G66" s="2" t="str">
        <x:v>Saquon Deez Nutz</x:v>
      </x:c>
      <x:c r="H66" s="15" t="n">
        <x:v>134.6</x:v>
      </x:c>
      <x:c r="I66" s="2" t="str">
        <x:f>IF(E66&gt;H66,C66,IF(E66&lt;H66,F66,"Tie"))</x:f>
        <x:v>Frank</x:v>
      </x:c>
      <x:c r="J66" s="2" t="str">
        <x:f>IF(E66&gt;H66,F66,IF(E66&lt;H66,C66,"Tie"))</x:f>
        <x:v>Bruce</x:v>
      </x:c>
      <x:c r="K66" s="2" t="n">
        <x:f>IF(E66=H66,1,0)</x:f>
        <x:v>0</x:v>
      </x:c>
      <x:c r="L66" s="2" t="str">
        <x:v>Bruce / Frank</x:v>
      </x:c>
      <x:c r="M66" t="str"/>
      <x:c r="N66" t="str">
        <x:v>Supplied</x:v>
      </x:c>
      <x:c r="O66" t="str"/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127.25</x:v>
      </x:c>
      <x:c r="F67" s="2" t="str">
        <x:v>Josh</x:v>
      </x:c>
      <x:c r="G67" s="2" t="str">
        <x:v>Jackson Mahomos</x:v>
      </x:c>
      <x:c r="H67" s="15" t="n">
        <x:v>115.55</x:v>
      </x:c>
      <x:c r="I67" s="2" t="str">
        <x:f>IF(E67&gt;H67,C67,IF(E67&lt;H67,F67,"Tie"))</x:f>
        <x:v>Craig</x:v>
      </x:c>
      <x:c r="J67" s="2" t="str">
        <x:f>IF(E67&gt;H67,F67,IF(E67&lt;H67,C67,"Tie"))</x:f>
        <x:v>Josh</x:v>
      </x:c>
      <x:c r="K67" s="2" t="n">
        <x:f>IF(E67=H67,1,0)</x:f>
        <x:v>0</x:v>
      </x:c>
      <x:c r="L67" s="2" t="str">
        <x:v>Craig / Josh</x:v>
      </x:c>
      <x:c r="M67" t="str"/>
      <x:c r="N67" t="str">
        <x:v>Supplied</x:v>
      </x:c>
      <x:c r="O67" t="str"/>
    </x:row>
    <x:row r="68" ht="22" customHeight="1">
      <x:c r="A68" s="2" t="n">
        <x:v>8</x:v>
      </x:c>
      <x:c r="B68" s="2" t="str">
        <x:v>Regular</x:v>
      </x:c>
      <x:c r="C68" s="2" t="str">
        <x:v>Dave</x:v>
      </x:c>
      <x:c r="D68" s="2" t="str">
        <x:v>2 Girls 1 Kupp</x:v>
      </x:c>
      <x:c r="E68" s="15" t="n">
        <x:v>80.3</x:v>
      </x:c>
      <x:c r="F68" s="2" t="str">
        <x:v>Mark</x:v>
      </x:c>
      <x:c r="G68" s="2" t="str">
        <x:v>wacky waving arms</x:v>
      </x:c>
      <x:c r="H68" s="15" t="n">
        <x:v>125.25</x:v>
      </x:c>
      <x:c r="I68" s="2" t="str">
        <x:f>IF(E68&gt;H68,C68,IF(E68&lt;H68,F68,"Tie"))</x:f>
        <x:v>Mark</x:v>
      </x:c>
      <x:c r="J68" s="2" t="str">
        <x:f>IF(E68&gt;H68,F68,IF(E68&lt;H68,C68,"Tie"))</x:f>
        <x:v>Dave</x:v>
      </x:c>
      <x:c r="K68" s="2" t="n">
        <x:f>IF(E68=H68,1,0)</x:f>
        <x:v>0</x:v>
      </x:c>
      <x:c r="L68" s="2" t="str">
        <x:v>Dave / Mark</x:v>
      </x:c>
      <x:c r="M68" t="str"/>
      <x:c r="N68" t="str">
        <x:v>Supplied</x:v>
      </x:c>
      <x:c r="O68" t="str"/>
    </x:row>
    <x:row r="69" ht="22" customHeight="1">
      <x:c r="A69" s="2" t="n">
        <x:v>8</x:v>
      </x:c>
      <x:c r="B69" s="2" t="str">
        <x:v>Regular</x:v>
      </x:c>
      <x:c r="C69" s="2" t="str">
        <x:v>Ed</x:v>
      </x:c>
      <x:c r="D69" s="2" t="str">
        <x:v>Club Eroticas Finest</x:v>
      </x:c>
      <x:c r="E69" s="15" t="n">
        <x:v>102.35</x:v>
      </x:c>
      <x:c r="F69" s="2" t="str">
        <x:v>Matt</x:v>
      </x:c>
      <x:c r="G69" s="2" t="str">
        <x:v>Mr.Montana</x:v>
      </x:c>
      <x:c r="H69" s="15" t="n">
        <x:v>55.75</x:v>
      </x:c>
      <x:c r="I69" s="2" t="str">
        <x:f>IF(E69&gt;H69,C69,IF(E69&lt;H69,F69,"Tie"))</x:f>
        <x:v>Ed</x:v>
      </x:c>
      <x:c r="J69" s="2" t="str">
        <x:f>IF(E69&gt;H69,F69,IF(E69&lt;H69,C69,"Tie"))</x:f>
        <x:v>Matt</x:v>
      </x:c>
      <x:c r="K69" s="2" t="n">
        <x:f>IF(E69=H69,1,0)</x:f>
        <x:v>0</x:v>
      </x:c>
      <x:c r="L69" s="2" t="str">
        <x:v>Ed / Matt</x:v>
      </x:c>
      <x:c r="M69" t="str"/>
      <x:c r="N69" t="str">
        <x:v>Supplied</x:v>
      </x:c>
      <x:c r="O69" t="str"/>
    </x:row>
    <x:row r="70" ht="22" customHeight="1">
      <x:c r="A70" s="2" t="n">
        <x:v>8</x:v>
      </x:c>
      <x:c r="B70" s="2" t="str">
        <x:v>Regular</x:v>
      </x:c>
      <x:c r="C70" s="2" t="str">
        <x:v>Mike</x:v>
      </x:c>
      <x:c r="D70" s="2" t="str">
        <x:v>Fractional Mike</x:v>
      </x:c>
      <x:c r="E70" s="15" t="n">
        <x:v>107.45</x:v>
      </x:c>
      <x:c r="F70" s="2" t="str">
        <x:v>Paul</x:v>
      </x:c>
      <x:c r="G70" s="2" t="str">
        <x:v>Space Dogs</x:v>
      </x:c>
      <x:c r="H70" s="15" t="n">
        <x:v>93.25</x:v>
      </x:c>
      <x:c r="I70" s="2" t="str">
        <x:f>IF(E70&gt;H70,C70,IF(E70&lt;H70,F70,"Tie"))</x:f>
        <x:v>Mike</x:v>
      </x:c>
      <x:c r="J70" s="2" t="str">
        <x:f>IF(E70&gt;H70,F70,IF(E70&lt;H70,C70,"Tie"))</x:f>
        <x:v>Paul</x:v>
      </x:c>
      <x:c r="K70" s="2" t="n">
        <x:f>IF(E70=H70,1,0)</x:f>
        <x:v>0</x:v>
      </x:c>
      <x:c r="L70" s="2" t="str">
        <x:v>Mike / Paul</x:v>
      </x:c>
      <x:c r="M70" t="str"/>
      <x:c r="N70" t="str">
        <x:v>Supplied</x:v>
      </x:c>
      <x:c r="O70" t="str"/>
    </x:row>
    <x:row r="71" ht="22" customHeight="1">
      <x:c r="A71" s="2" t="n">
        <x:v>8</x:v>
      </x:c>
      <x:c r="B71" s="2" t="str">
        <x:v>Regular</x:v>
      </x:c>
      <x:c r="C71" s="2" t="str">
        <x:v>Poker Dude</x:v>
      </x:c>
      <x:c r="D71" s="2" t="str">
        <x:v>james's Team</x:v>
      </x:c>
      <x:c r="E71" s="15" t="n">
        <x:v>155.65</x:v>
      </x:c>
      <x:c r="F71" s="2" t="str">
        <x:v>Nick</x:v>
      </x:c>
      <x:c r="G71" s="2" t="str">
        <x:v>Team Scoops</x:v>
      </x:c>
      <x:c r="H71" s="15" t="n">
        <x:v>122.7</x:v>
      </x:c>
      <x:c r="I71" s="2" t="str">
        <x:f>IF(E71&gt;H71,C71,IF(E71&lt;H71,F71,"Tie"))</x:f>
        <x:v>Poker Dude</x:v>
      </x:c>
      <x:c r="J71" s="2" t="str">
        <x:f>IF(E71&gt;H71,F71,IF(E71&lt;H71,C71,"Tie"))</x:f>
        <x:v>Nick</x:v>
      </x:c>
      <x:c r="K71" s="2" t="n">
        <x:f>IF(E71=H71,1,0)</x:f>
        <x:v>0</x:v>
      </x:c>
      <x:c r="L71" s="2" t="str">
        <x:v>Nick / Poker Dude</x:v>
      </x:c>
      <x:c r="M71" t="str"/>
      <x:c r="N71" t="str">
        <x:v>Supplied</x:v>
      </x:c>
      <x:c r="O71" t="str"/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76.8</x:v>
      </x:c>
      <x:c r="F72" s="2" t="str">
        <x:v>Mark</x:v>
      </x:c>
      <x:c r="G72" s="2" t="str">
        <x:v>wacky waving arms</x:v>
      </x:c>
      <x:c r="H72" s="15" t="n">
        <x:v>116.7</x:v>
      </x:c>
      <x:c r="I72" s="2" t="str">
        <x:f>IF(E72&gt;H72,C72,IF(E72&lt;H72,F72,"Tie"))</x:f>
        <x:v>Mark</x:v>
      </x:c>
      <x:c r="J72" s="2" t="str">
        <x:f>IF(E72&gt;H72,F72,IF(E72&lt;H72,C72,"Tie"))</x:f>
        <x:v>Bruce</x:v>
      </x:c>
      <x:c r="K72" s="2" t="n">
        <x:f>IF(E72=H72,1,0)</x:f>
        <x:v>0</x:v>
      </x:c>
      <x:c r="L72" s="2" t="str">
        <x:v>Bruce / Mark</x:v>
      </x:c>
      <x:c r="M72" t="str"/>
      <x:c r="N72" t="str">
        <x:v>Supplied</x:v>
      </x:c>
      <x:c r="O72" t="str"/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109.5</x:v>
      </x:c>
      <x:c r="F73" s="2" t="str">
        <x:v>Ed</x:v>
      </x:c>
      <x:c r="G73" s="2" t="str">
        <x:v>Club Eroticas Finest</x:v>
      </x:c>
      <x:c r="H73" s="15" t="n">
        <x:v>128.3</x:v>
      </x:c>
      <x:c r="I73" s="2" t="str">
        <x:f>IF(E73&gt;H73,C73,IF(E73&lt;H73,F73,"Tie"))</x:f>
        <x:v>Ed</x:v>
      </x:c>
      <x:c r="J73" s="2" t="str">
        <x:f>IF(E73&gt;H73,F73,IF(E73&lt;H73,C73,"Tie"))</x:f>
        <x:v>Craig</x:v>
      </x:c>
      <x:c r="K73" s="2" t="n">
        <x:f>IF(E73=H73,1,0)</x:f>
        <x:v>0</x:v>
      </x:c>
      <x:c r="L73" s="2" t="str">
        <x:v>Craig / Ed</x:v>
      </x:c>
      <x:c r="M73" t="str"/>
      <x:c r="N73" t="str">
        <x:v>Supplied</x:v>
      </x:c>
      <x:c r="O73" t="str"/>
    </x:row>
    <x:row r="74" ht="22" customHeight="1">
      <x:c r="A74" s="2" t="n">
        <x:v>9</x:v>
      </x:c>
      <x:c r="B74" s="2" t="str">
        <x:v>Regular</x:v>
      </x:c>
      <x:c r="C74" s="2" t="str">
        <x:v>Dave</x:v>
      </x:c>
      <x:c r="D74" s="2" t="str">
        <x:v>2 Girls 1 Kupp</x:v>
      </x:c>
      <x:c r="E74" s="15" t="n">
        <x:v>92.9</x:v>
      </x:c>
      <x:c r="F74" s="2" t="str">
        <x:v>Matt</x:v>
      </x:c>
      <x:c r="G74" s="2" t="str">
        <x:v>Mr.Montana</x:v>
      </x:c>
      <x:c r="H74" s="15" t="n">
        <x:v>89.6</x:v>
      </x:c>
      <x:c r="I74" s="2" t="str">
        <x:f>IF(E74&gt;H74,C74,IF(E74&lt;H74,F74,"Tie"))</x:f>
        <x:v>Dave</x:v>
      </x:c>
      <x:c r="J74" s="2" t="str">
        <x:f>IF(E74&gt;H74,F74,IF(E74&lt;H74,C74,"Tie"))</x:f>
        <x:v>Matt</x:v>
      </x:c>
      <x:c r="K74" s="2" t="n">
        <x:f>IF(E74=H74,1,0)</x:f>
        <x:v>0</x:v>
      </x:c>
      <x:c r="L74" s="2" t="str">
        <x:v>Dave / Matt</x:v>
      </x:c>
      <x:c r="M74" t="str"/>
      <x:c r="N74" t="str">
        <x:v>Supplied</x:v>
      </x:c>
      <x:c r="O74" t="str"/>
    </x:row>
    <x:row r="75" ht="22" customHeight="1">
      <x:c r="A75" s="2" t="n">
        <x:v>9</x:v>
      </x:c>
      <x:c r="B75" s="2" t="str">
        <x:v>Regular</x:v>
      </x:c>
      <x:c r="C75" s="2" t="str">
        <x:v>Frank</x:v>
      </x:c>
      <x:c r="D75" s="2" t="str">
        <x:v>Saquon Deez Nutz</x:v>
      </x:c>
      <x:c r="E75" s="15" t="n">
        <x:v>97</x:v>
      </x:c>
      <x:c r="F75" s="2" t="str">
        <x:v>Mike</x:v>
      </x:c>
      <x:c r="G75" s="2" t="str">
        <x:v>Fractional Mike</x:v>
      </x:c>
      <x:c r="H75" s="15" t="n">
        <x:v>118.85</x:v>
      </x:c>
      <x:c r="I75" s="2" t="str">
        <x:f>IF(E75&gt;H75,C75,IF(E75&lt;H75,F75,"Tie"))</x:f>
        <x:v>Mike</x:v>
      </x:c>
      <x:c r="J75" s="2" t="str">
        <x:f>IF(E75&gt;H75,F75,IF(E75&lt;H75,C75,"Tie"))</x:f>
        <x:v>Frank</x:v>
      </x:c>
      <x:c r="K75" s="2" t="n">
        <x:f>IF(E75=H75,1,0)</x:f>
        <x:v>0</x:v>
      </x:c>
      <x:c r="L75" s="2" t="str">
        <x:v>Frank / Mike</x:v>
      </x:c>
      <x:c r="M75" t="str"/>
      <x:c r="N75" t="str">
        <x:v>Supplied</x:v>
      </x:c>
      <x:c r="O75" t="str"/>
    </x:row>
    <x:row r="76" ht="22" customHeight="1">
      <x:c r="A76" s="2" t="n">
        <x:v>9</x:v>
      </x:c>
      <x:c r="B76" s="2" t="str">
        <x:v>Regular</x:v>
      </x:c>
      <x:c r="C76" s="2" t="str">
        <x:v>Josh</x:v>
      </x:c>
      <x:c r="D76" s="2" t="str">
        <x:v>Jackson Mahomos</x:v>
      </x:c>
      <x:c r="E76" s="15" t="n">
        <x:v>104.85</x:v>
      </x:c>
      <x:c r="F76" s="2" t="str">
        <x:v>Nick</x:v>
      </x:c>
      <x:c r="G76" s="2" t="str">
        <x:v>Team Scoops</x:v>
      </x:c>
      <x:c r="H76" s="15" t="n">
        <x:v>98.4</x:v>
      </x:c>
      <x:c r="I76" s="2" t="str">
        <x:f>IF(E76&gt;H76,C76,IF(E76&lt;H76,F76,"Tie"))</x:f>
        <x:v>Josh</x:v>
      </x:c>
      <x:c r="J76" s="2" t="str">
        <x:f>IF(E76&gt;H76,F76,IF(E76&lt;H76,C76,"Tie"))</x:f>
        <x:v>Nick</x:v>
      </x:c>
      <x:c r="K76" s="2" t="n">
        <x:f>IF(E76=H76,1,0)</x:f>
        <x:v>0</x:v>
      </x:c>
      <x:c r="L76" s="2" t="str">
        <x:v>Josh / Nick</x:v>
      </x:c>
      <x:c r="M76" t="str"/>
      <x:c r="N76" t="str">
        <x:v>Supplied</x:v>
      </x:c>
      <x:c r="O76" t="str"/>
    </x:row>
    <x:row r="77" ht="22" customHeight="1">
      <x:c r="A77" s="2" t="n">
        <x:v>9</x:v>
      </x:c>
      <x:c r="B77" s="2" t="str">
        <x:v>Regular</x:v>
      </x:c>
      <x:c r="C77" s="2" t="str">
        <x:v>Poker Dude</x:v>
      </x:c>
      <x:c r="D77" s="2" t="str">
        <x:v>james's Team</x:v>
      </x:c>
      <x:c r="E77" s="15" t="n">
        <x:v>143.9</x:v>
      </x:c>
      <x:c r="F77" s="2" t="str">
        <x:v>Paul</x:v>
      </x:c>
      <x:c r="G77" s="2" t="str">
        <x:v>Space Dogs</x:v>
      </x:c>
      <x:c r="H77" s="15" t="n">
        <x:v>115.25</x:v>
      </x:c>
      <x:c r="I77" s="2" t="str">
        <x:f>IF(E77&gt;H77,C77,IF(E77&lt;H77,F77,"Tie"))</x:f>
        <x:v>Poker Dude</x:v>
      </x:c>
      <x:c r="J77" s="2" t="str">
        <x:f>IF(E77&gt;H77,F77,IF(E77&lt;H77,C77,"Tie"))</x:f>
        <x:v>Paul</x:v>
      </x:c>
      <x:c r="K77" s="2" t="n">
        <x:f>IF(E77=H77,1,0)</x:f>
        <x:v>0</x:v>
      </x:c>
      <x:c r="L77" s="2" t="str">
        <x:v>Paul / Poker Dude</x:v>
      </x:c>
      <x:c r="M77" t="str"/>
      <x:c r="N77" t="str">
        <x:v>Supplied</x:v>
      </x:c>
      <x:c r="O77" t="str"/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84.9</x:v>
      </x:c>
      <x:c r="F78" s="2" t="str">
        <x:v>Craig</x:v>
      </x:c>
      <x:c r="G78" s="2" t="str">
        <x:v>The Ants Marching</x:v>
      </x:c>
      <x:c r="H78" s="15" t="n">
        <x:v>106.5</x:v>
      </x:c>
      <x:c r="I78" s="2" t="str">
        <x:f>IF(E78&gt;H78,C78,IF(E78&lt;H78,F78,"Tie"))</x:f>
        <x:v>Craig</x:v>
      </x:c>
      <x:c r="J78" s="2" t="str">
        <x:f>IF(E78&gt;H78,F78,IF(E78&lt;H78,C78,"Tie"))</x:f>
        <x:v>Bruce</x:v>
      </x:c>
      <x:c r="K78" s="2" t="n">
        <x:f>IF(E78=H78,1,0)</x:f>
        <x:v>0</x:v>
      </x:c>
      <x:c r="L78" s="2" t="str">
        <x:v>Bruce / Craig</x:v>
      </x:c>
      <x:c r="M78" t="str"/>
      <x:c r="N78" t="str">
        <x:v>Supplied</x:v>
      </x:c>
      <x:c r="O78" t="str"/>
    </x:row>
    <x:row r="79" ht="22" customHeight="1">
      <x:c r="A79" s="2" t="n">
        <x:v>10</x:v>
      </x:c>
      <x:c r="B79" s="2" t="str">
        <x:v>Regular</x:v>
      </x:c>
      <x:c r="C79" s="2" t="str">
        <x:v>Dave</x:v>
      </x:c>
      <x:c r="D79" s="2" t="str">
        <x:v>2 Girls 1 Kupp</x:v>
      </x:c>
      <x:c r="E79" s="15" t="n">
        <x:v>96.55</x:v>
      </x:c>
      <x:c r="F79" s="2" t="str">
        <x:v>Mike</x:v>
      </x:c>
      <x:c r="G79" s="2" t="str">
        <x:v>Fractional Mike</x:v>
      </x:c>
      <x:c r="H79" s="15" t="n">
        <x:v>119</x:v>
      </x:c>
      <x:c r="I79" s="2" t="str">
        <x:f>IF(E79&gt;H79,C79,IF(E79&lt;H79,F79,"Tie"))</x:f>
        <x:v>Mike</x:v>
      </x:c>
      <x:c r="J79" s="2" t="str">
        <x:f>IF(E79&gt;H79,F79,IF(E79&lt;H79,C79,"Tie"))</x:f>
        <x:v>Dave</x:v>
      </x:c>
      <x:c r="K79" s="2" t="n">
        <x:f>IF(E79=H79,1,0)</x:f>
        <x:v>0</x:v>
      </x:c>
      <x:c r="L79" s="2" t="str">
        <x:v>Dave / Mike</x:v>
      </x:c>
      <x:c r="M79" t="str"/>
      <x:c r="N79" t="str">
        <x:v>Supplied</x:v>
      </x:c>
      <x:c r="O79" t="str"/>
    </x:row>
    <x:row r="80" ht="22" customHeight="1">
      <x:c r="A80" s="2" t="n">
        <x:v>10</x:v>
      </x:c>
      <x:c r="B80" s="2" t="str">
        <x:v>Regular</x:v>
      </x:c>
      <x:c r="C80" s="2" t="str">
        <x:v>Ed</x:v>
      </x:c>
      <x:c r="D80" s="2" t="str">
        <x:v>Club Eroticas Finest</x:v>
      </x:c>
      <x:c r="E80" s="15" t="n">
        <x:v>117.05</x:v>
      </x:c>
      <x:c r="F80" s="2" t="str">
        <x:v>Poker Dude</x:v>
      </x:c>
      <x:c r="G80" s="2" t="str">
        <x:v>james's Team</x:v>
      </x:c>
      <x:c r="H80" s="15" t="n">
        <x:v>79.05</x:v>
      </x:c>
      <x:c r="I80" s="2" t="str">
        <x:f>IF(E80&gt;H80,C80,IF(E80&lt;H80,F80,"Tie"))</x:f>
        <x:v>Ed</x:v>
      </x:c>
      <x:c r="J80" s="2" t="str">
        <x:f>IF(E80&gt;H80,F80,IF(E80&lt;H80,C80,"Tie"))</x:f>
        <x:v>Poker Dude</x:v>
      </x:c>
      <x:c r="K80" s="2" t="n">
        <x:f>IF(E80=H80,1,0)</x:f>
        <x:v>0</x:v>
      </x:c>
      <x:c r="L80" s="2" t="str">
        <x:v>Ed / Poker Dude</x:v>
      </x:c>
      <x:c r="M80" t="str"/>
      <x:c r="N80" t="str">
        <x:v>Supplied</x:v>
      </x:c>
      <x:c r="O80" t="str"/>
    </x:row>
    <x:row r="81" ht="22" customHeight="1">
      <x:c r="A81" s="2" t="n">
        <x:v>10</x:v>
      </x:c>
      <x:c r="B81" s="2" t="str">
        <x:v>Regular</x:v>
      </x:c>
      <x:c r="C81" s="2" t="str">
        <x:v>Frank</x:v>
      </x:c>
      <x:c r="D81" s="2" t="str">
        <x:v>Saquon Deez Nutz</x:v>
      </x:c>
      <x:c r="E81" s="15" t="n">
        <x:v>118.1</x:v>
      </x:c>
      <x:c r="F81" s="2" t="str">
        <x:v>Paul</x:v>
      </x:c>
      <x:c r="G81" s="2" t="str">
        <x:v>Space Dogs</x:v>
      </x:c>
      <x:c r="H81" s="15" t="n">
        <x:v>116.25</x:v>
      </x:c>
      <x:c r="I81" s="2" t="str">
        <x:f>IF(E81&gt;H81,C81,IF(E81&lt;H81,F81,"Tie"))</x:f>
        <x:v>Frank</x:v>
      </x:c>
      <x:c r="J81" s="2" t="str">
        <x:f>IF(E81&gt;H81,F81,IF(E81&lt;H81,C81,"Tie"))</x:f>
        <x:v>Paul</x:v>
      </x:c>
      <x:c r="K81" s="2" t="n">
        <x:f>IF(E81=H81,1,0)</x:f>
        <x:v>0</x:v>
      </x:c>
      <x:c r="L81" s="2" t="str">
        <x:v>Frank / Paul</x:v>
      </x:c>
      <x:c r="M81" t="str"/>
      <x:c r="N81" t="str">
        <x:v>Supplied</x:v>
      </x:c>
      <x:c r="O81" t="str"/>
    </x:row>
    <x:row r="82" ht="22" customHeight="1">
      <x:c r="A82" s="2" t="n">
        <x:v>10</x:v>
      </x:c>
      <x:c r="B82" s="2" t="str">
        <x:v>Regular</x:v>
      </x:c>
      <x:c r="C82" s="2" t="str">
        <x:v>Josh</x:v>
      </x:c>
      <x:c r="D82" s="2" t="str">
        <x:v>Jackson Mahomos</x:v>
      </x:c>
      <x:c r="E82" s="15" t="n">
        <x:v>90</x:v>
      </x:c>
      <x:c r="F82" s="2" t="str">
        <x:v>Matt</x:v>
      </x:c>
      <x:c r="G82" s="2" t="str">
        <x:v>Mr.Montana</x:v>
      </x:c>
      <x:c r="H82" s="15" t="n">
        <x:v>147.8</x:v>
      </x:c>
      <x:c r="I82" s="2" t="str">
        <x:f>IF(E82&gt;H82,C82,IF(E82&lt;H82,F82,"Tie"))</x:f>
        <x:v>Matt</x:v>
      </x:c>
      <x:c r="J82" s="2" t="str">
        <x:f>IF(E82&gt;H82,F82,IF(E82&lt;H82,C82,"Tie"))</x:f>
        <x:v>Josh</x:v>
      </x:c>
      <x:c r="K82" s="2" t="n">
        <x:f>IF(E82=H82,1,0)</x:f>
        <x:v>0</x:v>
      </x:c>
      <x:c r="L82" s="2" t="str">
        <x:v>Josh / Matt</x:v>
      </x:c>
      <x:c r="M82" t="str"/>
      <x:c r="N82" t="str">
        <x:v>Supplied</x:v>
      </x:c>
      <x:c r="O82" t="str"/>
    </x:row>
    <x:row r="83" ht="22" customHeight="1">
      <x:c r="A83" s="2" t="n">
        <x:v>10</x:v>
      </x:c>
      <x:c r="B83" s="2" t="str">
        <x:v>Regular</x:v>
      </x:c>
      <x:c r="C83" s="2" t="str">
        <x:v>Mark</x:v>
      </x:c>
      <x:c r="D83" s="2" t="str">
        <x:v>wacky waving arms</x:v>
      </x:c>
      <x:c r="E83" s="15" t="n">
        <x:v>144.9</x:v>
      </x:c>
      <x:c r="F83" s="2" t="str">
        <x:v>Nick</x:v>
      </x:c>
      <x:c r="G83" s="2" t="str">
        <x:v>Team Scoops</x:v>
      </x:c>
      <x:c r="H83" s="15" t="n">
        <x:v>102.1</x:v>
      </x:c>
      <x:c r="I83" s="2" t="str">
        <x:f>IF(E83&gt;H83,C83,IF(E83&lt;H83,F83,"Tie"))</x:f>
        <x:v>Mark</x:v>
      </x:c>
      <x:c r="J83" s="2" t="str">
        <x:f>IF(E83&gt;H83,F83,IF(E83&lt;H83,C83,"Tie"))</x:f>
        <x:v>Nick</x:v>
      </x:c>
      <x:c r="K83" s="2" t="n">
        <x:f>IF(E83=H83,1,0)</x:f>
        <x:v>0</x:v>
      </x:c>
      <x:c r="L83" s="2" t="str">
        <x:v>Mark / Nick</x:v>
      </x:c>
      <x:c r="M83" t="str"/>
      <x:c r="N83" t="str">
        <x:v>Supplied</x:v>
      </x:c>
      <x:c r="O83" t="str"/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133.55</x:v>
      </x:c>
      <x:c r="F84" s="2" t="str">
        <x:v>Poker Dude</x:v>
      </x:c>
      <x:c r="G84" s="2" t="str">
        <x:v>james's Team</x:v>
      </x:c>
      <x:c r="H84" s="15" t="n">
        <x:v>88.35</x:v>
      </x:c>
      <x:c r="I84" s="2" t="str">
        <x:f>IF(E84&gt;H84,C84,IF(E84&lt;H84,F84,"Tie"))</x:f>
        <x:v>Bruce</x:v>
      </x:c>
      <x:c r="J84" s="2" t="str">
        <x:f>IF(E84&gt;H84,F84,IF(E84&lt;H84,C84,"Tie"))</x:f>
        <x:v>Poker Dude</x:v>
      </x:c>
      <x:c r="K84" s="2" t="n">
        <x:f>IF(E84=H84,1,0)</x:f>
        <x:v>0</x:v>
      </x:c>
      <x:c r="L84" s="2" t="str">
        <x:v>Bruce / Poker Dude</x:v>
      </x:c>
      <x:c r="M84" t="str"/>
      <x:c r="N84" t="str">
        <x:v>Supplied</x:v>
      </x:c>
      <x:c r="O84" t="str"/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115.9</x:v>
      </x:c>
      <x:c r="F85" s="2" t="str">
        <x:v>Mike</x:v>
      </x:c>
      <x:c r="G85" s="2" t="str">
        <x:v>Fractional Mike</x:v>
      </x:c>
      <x:c r="H85" s="15" t="n">
        <x:v>119.55</x:v>
      </x:c>
      <x:c r="I85" s="2" t="str">
        <x:f>IF(E85&gt;H85,C85,IF(E85&lt;H85,F85,"Tie"))</x:f>
        <x:v>Mike</x:v>
      </x:c>
      <x:c r="J85" s="2" t="str">
        <x:f>IF(E85&gt;H85,F85,IF(E85&lt;H85,C85,"Tie"))</x:f>
        <x:v>Craig</x:v>
      </x:c>
      <x:c r="K85" s="2" t="n">
        <x:f>IF(E85=H85,1,0)</x:f>
        <x:v>0</x:v>
      </x:c>
      <x:c r="L85" s="2" t="str">
        <x:v>Craig / Mike</x:v>
      </x:c>
      <x:c r="M85" t="str"/>
      <x:c r="N85" t="str">
        <x:v>Supplied</x:v>
      </x:c>
      <x:c r="O85" t="str"/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2 Girls 1 Kupp</x:v>
      </x:c>
      <x:c r="E86" s="15" t="n">
        <x:v>107.85</x:v>
      </x:c>
      <x:c r="F86" s="2" t="str">
        <x:v>Josh</x:v>
      </x:c>
      <x:c r="G86" s="2" t="str">
        <x:v>Jackson Mahomos</x:v>
      </x:c>
      <x:c r="H86" s="15" t="n">
        <x:v>153.75</x:v>
      </x:c>
      <x:c r="I86" s="2" t="str">
        <x:f>IF(E86&gt;H86,C86,IF(E86&lt;H86,F86,"Tie"))</x:f>
        <x:v>Josh</x:v>
      </x:c>
      <x:c r="J86" s="2" t="str">
        <x:f>IF(E86&gt;H86,F86,IF(E86&lt;H86,C86,"Tie"))</x:f>
        <x:v>Dave</x:v>
      </x:c>
      <x:c r="K86" s="2" t="n">
        <x:f>IF(E86=H86,1,0)</x:f>
        <x:v>0</x:v>
      </x:c>
      <x:c r="L86" s="2" t="str">
        <x:v>Dave / Josh</x:v>
      </x:c>
      <x:c r="M86" t="str"/>
      <x:c r="N86" t="str">
        <x:v>Supplied</x:v>
      </x:c>
      <x:c r="O86" t="str"/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Club Eroticas Finest</x:v>
      </x:c>
      <x:c r="E87" s="15" t="n">
        <x:v>101.45</x:v>
      </x:c>
      <x:c r="F87" s="2" t="str">
        <x:v>Nick</x:v>
      </x:c>
      <x:c r="G87" s="2" t="str">
        <x:v>Team Scoops</x:v>
      </x:c>
      <x:c r="H87" s="15" t="n">
        <x:v>86.35</x:v>
      </x:c>
      <x:c r="I87" s="2" t="str">
        <x:f>IF(E87&gt;H87,C87,IF(E87&lt;H87,F87,"Tie"))</x:f>
        <x:v>Ed</x:v>
      </x:c>
      <x:c r="J87" s="2" t="str">
        <x:f>IF(E87&gt;H87,F87,IF(E87&lt;H87,C87,"Tie"))</x:f>
        <x:v>Nick</x:v>
      </x:c>
      <x:c r="K87" s="2" t="n">
        <x:f>IF(E87=H87,1,0)</x:f>
        <x:v>0</x:v>
      </x:c>
      <x:c r="L87" s="2" t="str">
        <x:v>Ed / Nick</x:v>
      </x:c>
      <x:c r="M87" t="str"/>
      <x:c r="N87" t="str">
        <x:v>Supplied</x:v>
      </x:c>
      <x:c r="O87" t="str"/>
    </x:row>
    <x:row r="88" ht="22" customHeight="1">
      <x:c r="A88" s="2" t="n">
        <x:v>11</x:v>
      </x:c>
      <x:c r="B88" s="2" t="str">
        <x:v>Regular</x:v>
      </x:c>
      <x:c r="C88" s="2" t="str">
        <x:v>Frank</x:v>
      </x:c>
      <x:c r="D88" s="2" t="str">
        <x:v>Saquon Deez Nutz</x:v>
      </x:c>
      <x:c r="E88" s="15" t="n">
        <x:v>93.5</x:v>
      </x:c>
      <x:c r="F88" s="2" t="str">
        <x:v>Mark</x:v>
      </x:c>
      <x:c r="G88" s="2" t="str">
        <x:v>wacky waving arms</x:v>
      </x:c>
      <x:c r="H88" s="15" t="n">
        <x:v>134.7</x:v>
      </x:c>
      <x:c r="I88" s="2" t="str">
        <x:f>IF(E88&gt;H88,C88,IF(E88&lt;H88,F88,"Tie"))</x:f>
        <x:v>Mark</x:v>
      </x:c>
      <x:c r="J88" s="2" t="str">
        <x:f>IF(E88&gt;H88,F88,IF(E88&lt;H88,C88,"Tie"))</x:f>
        <x:v>Frank</x:v>
      </x:c>
      <x:c r="K88" s="2" t="n">
        <x:f>IF(E88=H88,1,0)</x:f>
        <x:v>0</x:v>
      </x:c>
      <x:c r="L88" s="2" t="str">
        <x:v>Frank / Mark</x:v>
      </x:c>
      <x:c r="M88" t="str"/>
      <x:c r="N88" t="str">
        <x:v>Supplied</x:v>
      </x:c>
      <x:c r="O88" t="str"/>
    </x:row>
    <x:row r="89" ht="22" customHeight="1">
      <x:c r="A89" s="2" t="n">
        <x:v>11</x:v>
      </x:c>
      <x:c r="B89" s="2" t="str">
        <x:v>Regular</x:v>
      </x:c>
      <x:c r="C89" s="2" t="str">
        <x:v>Paul</x:v>
      </x:c>
      <x:c r="D89" s="2" t="str">
        <x:v>Space Dogs</x:v>
      </x:c>
      <x:c r="E89" s="15" t="n">
        <x:v>91.65</x:v>
      </x:c>
      <x:c r="F89" s="2" t="str">
        <x:v>Matt</x:v>
      </x:c>
      <x:c r="G89" s="2" t="str">
        <x:v>Mr.Montana</x:v>
      </x:c>
      <x:c r="H89" s="15" t="n">
        <x:v>138.75</x:v>
      </x:c>
      <x:c r="I89" s="2" t="str">
        <x:f>IF(E89&gt;H89,C89,IF(E89&lt;H89,F89,"Tie"))</x:f>
        <x:v>Matt</x:v>
      </x:c>
      <x:c r="J89" s="2" t="str">
        <x:f>IF(E89&gt;H89,F89,IF(E89&lt;H89,C89,"Tie"))</x:f>
        <x:v>Paul</x:v>
      </x:c>
      <x:c r="K89" s="2" t="n">
        <x:f>IF(E89=H89,1,0)</x:f>
        <x:v>0</x:v>
      </x:c>
      <x:c r="L89" s="2" t="str">
        <x:v>Matt / Paul</x:v>
      </x:c>
      <x:c r="M89" t="str"/>
      <x:c r="N89" t="str">
        <x:v>Supplied</x:v>
      </x:c>
      <x:c r="O89" t="str"/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164.3</x:v>
      </x:c>
      <x:c r="F90" s="2" t="str">
        <x:v>Mike</x:v>
      </x:c>
      <x:c r="G90" s="2" t="str">
        <x:v>Fractional Mike</x:v>
      </x:c>
      <x:c r="H90" s="15" t="n">
        <x:v>110.35</x:v>
      </x:c>
      <x:c r="I90" s="2" t="str">
        <x:f>IF(E90&gt;H90,C90,IF(E90&lt;H90,F90,"Tie"))</x:f>
        <x:v>Bruce</x:v>
      </x:c>
      <x:c r="J90" s="2" t="str">
        <x:f>IF(E90&gt;H90,F90,IF(E90&lt;H90,C90,"Tie"))</x:f>
        <x:v>Mike</x:v>
      </x:c>
      <x:c r="K90" s="2" t="n">
        <x:f>IF(E90=H90,1,0)</x:f>
        <x:v>0</x:v>
      </x:c>
      <x:c r="L90" s="2" t="str">
        <x:v>Bruce / Mike</x:v>
      </x:c>
      <x:c r="M90" t="str"/>
      <x:c r="N90" t="str">
        <x:v>Supplied</x:v>
      </x:c>
      <x:c r="O90" t="str"/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116.95</x:v>
      </x:c>
      <x:c r="F91" s="2" t="str">
        <x:v>Frank</x:v>
      </x:c>
      <x:c r="G91" s="2" t="str">
        <x:v>Saquon Deez Nutz</x:v>
      </x:c>
      <x:c r="H91" s="15" t="n">
        <x:v>92.9</x:v>
      </x:c>
      <x:c r="I91" s="2" t="str">
        <x:f>IF(E91&gt;H91,C91,IF(E91&lt;H91,F91,"Tie"))</x:f>
        <x:v>Craig</x:v>
      </x:c>
      <x:c r="J91" s="2" t="str">
        <x:f>IF(E91&gt;H91,F91,IF(E91&lt;H91,C91,"Tie"))</x:f>
        <x:v>Frank</x:v>
      </x:c>
      <x:c r="K91" s="2" t="n">
        <x:f>IF(E91=H91,1,0)</x:f>
        <x:v>0</x:v>
      </x:c>
      <x:c r="L91" s="2" t="str">
        <x:v>Craig / Frank</x:v>
      </x:c>
      <x:c r="M91" t="str"/>
      <x:c r="N91" t="str">
        <x:v>Supplied</x:v>
      </x:c>
      <x:c r="O91" t="str"/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2 Girls 1 Kupp</x:v>
      </x:c>
      <x:c r="E92" s="15" t="n">
        <x:v>91.6</x:v>
      </x:c>
      <x:c r="F92" s="2" t="str">
        <x:v>Poker Dude</x:v>
      </x:c>
      <x:c r="G92" s="2" t="str">
        <x:v>james's Team</x:v>
      </x:c>
      <x:c r="H92" s="15" t="n">
        <x:v>124.95</x:v>
      </x:c>
      <x:c r="I92" s="2" t="str">
        <x:f>IF(E92&gt;H92,C92,IF(E92&lt;H92,F92,"Tie"))</x:f>
        <x:v>Poker Dude</x:v>
      </x:c>
      <x:c r="J92" s="2" t="str">
        <x:f>IF(E92&gt;H92,F92,IF(E92&lt;H92,C92,"Tie"))</x:f>
        <x:v>Dave</x:v>
      </x:c>
      <x:c r="K92" s="2" t="n">
        <x:f>IF(E92=H92,1,0)</x:f>
        <x:v>0</x:v>
      </x:c>
      <x:c r="L92" s="2" t="str">
        <x:v>Dave / Poker Dude</x:v>
      </x:c>
      <x:c r="M92" t="str"/>
      <x:c r="N92" t="str">
        <x:v>Supplied</x:v>
      </x:c>
      <x:c r="O92" t="str"/>
    </x:row>
    <x:row r="93" ht="22" customHeight="1">
      <x:c r="A93" s="2" t="n">
        <x:v>12</x:v>
      </x:c>
      <x:c r="B93" s="2" t="str">
        <x:v>Regular</x:v>
      </x:c>
      <x:c r="C93" s="2" t="str">
        <x:v>Ed</x:v>
      </x:c>
      <x:c r="D93" s="2" t="str">
        <x:v>Club Eroticas Finest</x:v>
      </x:c>
      <x:c r="E93" s="15" t="n">
        <x:v>135.05</x:v>
      </x:c>
      <x:c r="F93" s="2" t="str">
        <x:v>Josh</x:v>
      </x:c>
      <x:c r="G93" s="2" t="str">
        <x:v>Jackson Mahomos</x:v>
      </x:c>
      <x:c r="H93" s="15" t="n">
        <x:v>84.7</x:v>
      </x:c>
      <x:c r="I93" s="2" t="str">
        <x:f>IF(E93&gt;H93,C93,IF(E93&lt;H93,F93,"Tie"))</x:f>
        <x:v>Ed</x:v>
      </x:c>
      <x:c r="J93" s="2" t="str">
        <x:f>IF(E93&gt;H93,F93,IF(E93&lt;H93,C93,"Tie"))</x:f>
        <x:v>Josh</x:v>
      </x:c>
      <x:c r="K93" s="2" t="n">
        <x:f>IF(E93=H93,1,0)</x:f>
        <x:v>0</x:v>
      </x:c>
      <x:c r="L93" s="2" t="str">
        <x:v>Ed / Josh</x:v>
      </x:c>
      <x:c r="M93" t="str"/>
      <x:c r="N93" t="str">
        <x:v>Supplied</x:v>
      </x:c>
      <x:c r="O93" t="str"/>
    </x:row>
    <x:row r="94" ht="22" customHeight="1">
      <x:c r="A94" s="2" t="n">
        <x:v>12</x:v>
      </x:c>
      <x:c r="B94" s="2" t="str">
        <x:v>Regular</x:v>
      </x:c>
      <x:c r="C94" s="2" t="str">
        <x:v>Mark</x:v>
      </x:c>
      <x:c r="D94" s="2" t="str">
        <x:v>wacky waving arms</x:v>
      </x:c>
      <x:c r="E94" s="15" t="n">
        <x:v>119.95</x:v>
      </x:c>
      <x:c r="F94" s="2" t="str">
        <x:v>Paul</x:v>
      </x:c>
      <x:c r="G94" s="2" t="str">
        <x:v>Space Dogs</x:v>
      </x:c>
      <x:c r="H94" s="15" t="n">
        <x:v>157.5</x:v>
      </x:c>
      <x:c r="I94" s="2" t="str">
        <x:f>IF(E94&gt;H94,C94,IF(E94&lt;H94,F94,"Tie"))</x:f>
        <x:v>Paul</x:v>
      </x:c>
      <x:c r="J94" s="2" t="str">
        <x:f>IF(E94&gt;H94,F94,IF(E94&lt;H94,C94,"Tie"))</x:f>
        <x:v>Mark</x:v>
      </x:c>
      <x:c r="K94" s="2" t="n">
        <x:f>IF(E94=H94,1,0)</x:f>
        <x:v>0</x:v>
      </x:c>
      <x:c r="L94" s="2" t="str">
        <x:v>Mark / Paul</x:v>
      </x:c>
      <x:c r="M94" t="str"/>
      <x:c r="N94" t="str">
        <x:v>Supplied</x:v>
      </x:c>
      <x:c r="O94" t="str"/>
    </x:row>
    <x:row r="95" ht="22" customHeight="1">
      <x:c r="A95" s="2" t="n">
        <x:v>12</x:v>
      </x:c>
      <x:c r="B95" s="2" t="str">
        <x:v>Regular</x:v>
      </x:c>
      <x:c r="C95" s="2" t="str">
        <x:v>Nick</x:v>
      </x:c>
      <x:c r="D95" s="2" t="str">
        <x:v>Team Scoops</x:v>
      </x:c>
      <x:c r="E95" s="15" t="n">
        <x:v>65.65</x:v>
      </x:c>
      <x:c r="F95" s="2" t="str">
        <x:v>Matt</x:v>
      </x:c>
      <x:c r="G95" s="2" t="str">
        <x:v>Mr.Montana</x:v>
      </x:c>
      <x:c r="H95" s="15" t="n">
        <x:v>81.55</x:v>
      </x:c>
      <x:c r="I95" s="2" t="str">
        <x:f>IF(E95&gt;H95,C95,IF(E95&lt;H95,F95,"Tie"))</x:f>
        <x:v>Matt</x:v>
      </x:c>
      <x:c r="J95" s="2" t="str">
        <x:f>IF(E95&gt;H95,F95,IF(E95&lt;H95,C95,"Tie"))</x:f>
        <x:v>Nick</x:v>
      </x:c>
      <x:c r="K95" s="2" t="n">
        <x:f>IF(E95=H95,1,0)</x:f>
        <x:v>0</x:v>
      </x:c>
      <x:c r="L95" s="2" t="str">
        <x:v>Matt / Nick</x:v>
      </x:c>
      <x:c r="M95" t="str"/>
      <x:c r="N95" t="str">
        <x:v>Supplied</x:v>
      </x:c>
      <x:c r="O95" t="str"/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126.7</x:v>
      </x:c>
      <x:c r="F96" s="2" t="str">
        <x:v>Ed</x:v>
      </x:c>
      <x:c r="G96" s="2" t="str">
        <x:v>Club Eroticas Finest</x:v>
      </x:c>
      <x:c r="H96" s="15" t="n">
        <x:v>163.95</x:v>
      </x:c>
      <x:c r="I96" s="2" t="str">
        <x:f>IF(E96&gt;H96,C96,IF(E96&lt;H96,F96,"Tie"))</x:f>
        <x:v>Ed</x:v>
      </x:c>
      <x:c r="J96" s="2" t="str">
        <x:f>IF(E96&gt;H96,F96,IF(E96&lt;H96,C96,"Tie"))</x:f>
        <x:v>Bruce</x:v>
      </x:c>
      <x:c r="K96" s="2" t="n">
        <x:f>IF(E96=H96,1,0)</x:f>
        <x:v>0</x:v>
      </x:c>
      <x:c r="L96" s="2" t="str">
        <x:v>Bruce / Ed</x:v>
      </x:c>
      <x:c r="M96" t="str"/>
      <x:c r="N96" t="str">
        <x:v>Supplied</x:v>
      </x:c>
      <x:c r="O96" t="str"/>
    </x:row>
    <x:row r="97" ht="22" customHeight="1">
      <x:c r="A97" s="2" t="n">
        <x:v>13</x:v>
      </x:c>
      <x:c r="B97" s="2" t="str">
        <x:v>Regular</x:v>
      </x:c>
      <x:c r="C97" s="2" t="str">
        <x:v>Craig</x:v>
      </x:c>
      <x:c r="D97" s="2" t="str">
        <x:v>The Ants Marching</x:v>
      </x:c>
      <x:c r="E97" s="15" t="n">
        <x:v>123.4</x:v>
      </x:c>
      <x:c r="F97" s="2" t="str">
        <x:v>Dave</x:v>
      </x:c>
      <x:c r="G97" s="2" t="str">
        <x:v>2 Girls 1 Kupp</x:v>
      </x:c>
      <x:c r="H97" s="15" t="n">
        <x:v>101.65</x:v>
      </x:c>
      <x:c r="I97" s="2" t="str">
        <x:f>IF(E97&gt;H97,C97,IF(E97&lt;H97,F97,"Tie"))</x:f>
        <x:v>Craig</x:v>
      </x:c>
      <x:c r="J97" s="2" t="str">
        <x:f>IF(E97&gt;H97,F97,IF(E97&lt;H97,C97,"Tie"))</x:f>
        <x:v>Dave</x:v>
      </x:c>
      <x:c r="K97" s="2" t="n">
        <x:f>IF(E97=H97,1,0)</x:f>
        <x:v>0</x:v>
      </x:c>
      <x:c r="L97" s="2" t="str">
        <x:v>Craig / Dave</x:v>
      </x:c>
      <x:c r="M97" t="str"/>
      <x:c r="N97" t="str">
        <x:v>Supplied</x:v>
      </x:c>
      <x:c r="O97" t="str"/>
    </x:row>
    <x:row r="98" ht="22" customHeight="1">
      <x:c r="A98" s="2" t="n">
        <x:v>13</x:v>
      </x:c>
      <x:c r="B98" s="2" t="str">
        <x:v>Regular</x:v>
      </x:c>
      <x:c r="C98" s="2" t="str">
        <x:v>Frank</x:v>
      </x:c>
      <x:c r="D98" s="2" t="str">
        <x:v>Saquon Deez Nutz</x:v>
      </x:c>
      <x:c r="E98" s="15" t="n">
        <x:v>140</x:v>
      </x:c>
      <x:c r="F98" s="2" t="str">
        <x:v>Josh</x:v>
      </x:c>
      <x:c r="G98" s="2" t="str">
        <x:v>Jackson Mahomos</x:v>
      </x:c>
      <x:c r="H98" s="15" t="n">
        <x:v>145.1</x:v>
      </x:c>
      <x:c r="I98" s="2" t="str">
        <x:f>IF(E98&gt;H98,C98,IF(E98&lt;H98,F98,"Tie"))</x:f>
        <x:v>Josh</x:v>
      </x:c>
      <x:c r="J98" s="2" t="str">
        <x:f>IF(E98&gt;H98,F98,IF(E98&lt;H98,C98,"Tie"))</x:f>
        <x:v>Frank</x:v>
      </x:c>
      <x:c r="K98" s="2" t="n">
        <x:f>IF(E98=H98,1,0)</x:f>
        <x:v>0</x:v>
      </x:c>
      <x:c r="L98" s="2" t="str">
        <x:v>Frank / Josh</x:v>
      </x:c>
      <x:c r="M98" t="str"/>
      <x:c r="N98" t="str">
        <x:v>Supplied</x:v>
      </x:c>
      <x:c r="O98" t="str"/>
    </x:row>
    <x:row r="99" ht="22" customHeight="1">
      <x:c r="A99" s="2" t="n">
        <x:v>13</x:v>
      </x:c>
      <x:c r="B99" s="2" t="str">
        <x:v>Regular</x:v>
      </x:c>
      <x:c r="C99" s="2" t="str">
        <x:v>Mike</x:v>
      </x:c>
      <x:c r="D99" s="2" t="str">
        <x:v>Fractional Mike</x:v>
      </x:c>
      <x:c r="E99" s="15" t="n">
        <x:v>157.15</x:v>
      </x:c>
      <x:c r="F99" s="2" t="str">
        <x:v>Matt</x:v>
      </x:c>
      <x:c r="G99" s="2" t="str">
        <x:v>Mr.Montana</x:v>
      </x:c>
      <x:c r="H99" s="15" t="n">
        <x:v>72.1</x:v>
      </x:c>
      <x:c r="I99" s="2" t="str">
        <x:f>IF(E99&gt;H99,C99,IF(E99&lt;H99,F99,"Tie"))</x:f>
        <x:v>Mike</x:v>
      </x:c>
      <x:c r="J99" s="2" t="str">
        <x:f>IF(E99&gt;H99,F99,IF(E99&lt;H99,C99,"Tie"))</x:f>
        <x:v>Matt</x:v>
      </x:c>
      <x:c r="K99" s="2" t="n">
        <x:f>IF(E99=H99,1,0)</x:f>
        <x:v>0</x:v>
      </x:c>
      <x:c r="L99" s="2" t="str">
        <x:v>Matt / Mike</x:v>
      </x:c>
      <x:c r="M99" t="str"/>
      <x:c r="N99" t="str">
        <x:v>Supplied</x:v>
      </x:c>
      <x:c r="O99" t="str"/>
    </x:row>
    <x:row r="100" ht="22" customHeight="1">
      <x:c r="A100" s="2" t="n">
        <x:v>13</x:v>
      </x:c>
      <x:c r="B100" s="2" t="str">
        <x:v>Regular</x:v>
      </x:c>
      <x:c r="C100" s="2" t="str">
        <x:v>Mark</x:v>
      </x:c>
      <x:c r="D100" s="2" t="str">
        <x:v>wacky waving arms</x:v>
      </x:c>
      <x:c r="E100" s="15" t="n">
        <x:v>98.7</x:v>
      </x:c>
      <x:c r="F100" s="2" t="str">
        <x:v>Poker Dude</x:v>
      </x:c>
      <x:c r="G100" s="2" t="str">
        <x:v>james's Team</x:v>
      </x:c>
      <x:c r="H100" s="15" t="n">
        <x:v>113.05</x:v>
      </x:c>
      <x:c r="I100" s="2" t="str">
        <x:f>IF(E100&gt;H100,C100,IF(E100&lt;H100,F100,"Tie"))</x:f>
        <x:v>Poker Dude</x:v>
      </x:c>
      <x:c r="J100" s="2" t="str">
        <x:f>IF(E100&gt;H100,F100,IF(E100&lt;H100,C100,"Tie"))</x:f>
        <x:v>Mark</x:v>
      </x:c>
      <x:c r="K100" s="2" t="n">
        <x:f>IF(E100=H100,1,0)</x:f>
        <x:v>0</x:v>
      </x:c>
      <x:c r="L100" s="2" t="str">
        <x:v>Mark / Poker Dude</x:v>
      </x:c>
      <x:c r="M100" t="str"/>
      <x:c r="N100" t="str">
        <x:v>Supplied</x:v>
      </x:c>
      <x:c r="O100" t="str"/>
    </x:row>
    <x:row r="101" ht="22" customHeight="1">
      <x:c r="A101" s="2" t="n">
        <x:v>13</x:v>
      </x:c>
      <x:c r="B101" s="2" t="str">
        <x:v>Regular</x:v>
      </x:c>
      <x:c r="C101" s="2" t="str">
        <x:v>Paul</x:v>
      </x:c>
      <x:c r="D101" s="2" t="str">
        <x:v>Space Dogs</x:v>
      </x:c>
      <x:c r="E101" s="15" t="n">
        <x:v>166.85</x:v>
      </x:c>
      <x:c r="F101" s="2" t="str">
        <x:v>Nick</x:v>
      </x:c>
      <x:c r="G101" s="2" t="str">
        <x:v>Team Scoops</x:v>
      </x:c>
      <x:c r="H101" s="15" t="n">
        <x:v>113.55</x:v>
      </x:c>
      <x:c r="I101" s="2" t="str">
        <x:f>IF(E101&gt;H101,C101,IF(E101&lt;H101,F101,"Tie"))</x:f>
        <x:v>Paul</x:v>
      </x:c>
      <x:c r="J101" s="2" t="str">
        <x:f>IF(E101&gt;H101,F101,IF(E101&lt;H101,C101,"Tie"))</x:f>
        <x:v>Nick</x:v>
      </x:c>
      <x:c r="K101" s="2" t="n">
        <x:f>IF(E101=H101,1,0)</x:f>
        <x:v>0</x:v>
      </x:c>
      <x:c r="L101" s="2" t="str">
        <x:v>Nick / Paul</x:v>
      </x:c>
      <x:c r="M101" t="str"/>
      <x:c r="N101" t="str">
        <x:v>Supplied</x:v>
      </x:c>
      <x:c r="O101" t="str"/>
    </x:row>
    <x:row r="102" ht="22" customHeight="1">
      <x:c r="A102" s="2" t="n">
        <x:v>14</x:v>
      </x:c>
      <x:c r="B102" s="2" t="str">
        <x:v>Regular</x:v>
      </x:c>
      <x:c r="C102" s="2" t="str">
        <x:v>Bruce</x:v>
      </x:c>
      <x:c r="D102" s="2" t="str">
        <x:v>The Storm</x:v>
      </x:c>
      <x:c r="E102" s="15" t="n">
        <x:v>126.05</x:v>
      </x:c>
      <x:c r="F102" s="2" t="str">
        <x:v>Nick</x:v>
      </x:c>
      <x:c r="G102" s="2" t="str">
        <x:v>Team Scoops</x:v>
      </x:c>
      <x:c r="H102" s="15" t="n">
        <x:v>111.35</x:v>
      </x:c>
      <x:c r="I102" s="2" t="str">
        <x:f>IF(E102&gt;H102,C102,IF(E102&lt;H102,F102,"Tie"))</x:f>
        <x:v>Bruce</x:v>
      </x:c>
      <x:c r="J102" s="2" t="str">
        <x:f>IF(E102&gt;H102,F102,IF(E102&lt;H102,C102,"Tie"))</x:f>
        <x:v>Nick</x:v>
      </x:c>
      <x:c r="K102" s="2" t="n">
        <x:f>IF(E102=H102,1,0)</x:f>
        <x:v>0</x:v>
      </x:c>
      <x:c r="L102" s="2" t="str">
        <x:v>Bruce / Nick</x:v>
      </x:c>
      <x:c r="M102" t="str"/>
      <x:c r="N102" t="str">
        <x:v>Supplied</x:v>
      </x:c>
      <x:c r="O102" t="str"/>
    </x:row>
    <x:row r="103" ht="22" customHeight="1">
      <x:c r="A103" s="2" t="n">
        <x:v>14</x:v>
      </x:c>
      <x:c r="B103" s="2" t="str">
        <x:v>Regular</x:v>
      </x:c>
      <x:c r="C103" s="2" t="str">
        <x:v>Craig</x:v>
      </x:c>
      <x:c r="D103" s="2" t="str">
        <x:v>The Ants Marching</x:v>
      </x:c>
      <x:c r="E103" s="15" t="n">
        <x:v>115.45</x:v>
      </x:c>
      <x:c r="F103" s="2" t="str">
        <x:v>Poker Dude</x:v>
      </x:c>
      <x:c r="G103" s="2" t="str">
        <x:v>james's Team</x:v>
      </x:c>
      <x:c r="H103" s="15" t="n">
        <x:v>126.95</x:v>
      </x:c>
      <x:c r="I103" s="2" t="str">
        <x:f>IF(E103&gt;H103,C103,IF(E103&lt;H103,F103,"Tie"))</x:f>
        <x:v>Poker Dude</x:v>
      </x:c>
      <x:c r="J103" s="2" t="str">
        <x:f>IF(E103&gt;H103,F103,IF(E103&lt;H103,C103,"Tie"))</x:f>
        <x:v>Craig</x:v>
      </x:c>
      <x:c r="K103" s="2" t="n">
        <x:f>IF(E103=H103,1,0)</x:f>
        <x:v>0</x:v>
      </x:c>
      <x:c r="L103" s="2" t="str">
        <x:v>Craig / Poker Dude</x:v>
      </x:c>
      <x:c r="M103" t="str"/>
      <x:c r="N103" t="str">
        <x:v>Supplied</x:v>
      </x:c>
      <x:c r="O103" t="str"/>
    </x:row>
    <x:row r="104" ht="22" customHeight="1">
      <x:c r="A104" s="2" t="n">
        <x:v>14</x:v>
      </x:c>
      <x:c r="B104" s="2" t="str">
        <x:v>Regular</x:v>
      </x:c>
      <x:c r="C104" s="2" t="str">
        <x:v>Dave</x:v>
      </x:c>
      <x:c r="D104" s="2" t="str">
        <x:v>2 Girls 1 Kupp</x:v>
      </x:c>
      <x:c r="E104" s="15" t="n">
        <x:v>135.15</x:v>
      </x:c>
      <x:c r="F104" s="2" t="str">
        <x:v>Paul</x:v>
      </x:c>
      <x:c r="G104" s="2" t="str">
        <x:v>Space Dogs</x:v>
      </x:c>
      <x:c r="H104" s="15" t="n">
        <x:v>153.75</x:v>
      </x:c>
      <x:c r="I104" s="2" t="str">
        <x:f>IF(E104&gt;H104,C104,IF(E104&lt;H104,F104,"Tie"))</x:f>
        <x:v>Paul</x:v>
      </x:c>
      <x:c r="J104" s="2" t="str">
        <x:f>IF(E104&gt;H104,F104,IF(E104&lt;H104,C104,"Tie"))</x:f>
        <x:v>Dave</x:v>
      </x:c>
      <x:c r="K104" s="2" t="n">
        <x:f>IF(E104=H104,1,0)</x:f>
        <x:v>0</x:v>
      </x:c>
      <x:c r="L104" s="2" t="str">
        <x:v>Dave / Paul</x:v>
      </x:c>
      <x:c r="M104" t="str"/>
      <x:c r="N104" t="str">
        <x:v>Supplied</x:v>
      </x:c>
      <x:c r="O104" t="str"/>
    </x:row>
    <x:row r="105" ht="22" customHeight="1">
      <x:c r="A105" s="2" t="n">
        <x:v>14</x:v>
      </x:c>
      <x:c r="B105" s="2" t="str">
        <x:v>Regular</x:v>
      </x:c>
      <x:c r="C105" s="2" t="str">
        <x:v>Ed</x:v>
      </x:c>
      <x:c r="D105" s="2" t="str">
        <x:v>Club Eroticas Finest</x:v>
      </x:c>
      <x:c r="E105" s="15" t="n">
        <x:v>132.6</x:v>
      </x:c>
      <x:c r="F105" s="2" t="str">
        <x:v>Frank</x:v>
      </x:c>
      <x:c r="G105" s="2" t="str">
        <x:v>Saquon Deez Nutz</x:v>
      </x:c>
      <x:c r="H105" s="15" t="n">
        <x:v>146.55</x:v>
      </x:c>
      <x:c r="I105" s="2" t="str">
        <x:f>IF(E105&gt;H105,C105,IF(E105&lt;H105,F105,"Tie"))</x:f>
        <x:v>Frank</x:v>
      </x:c>
      <x:c r="J105" s="2" t="str">
        <x:f>IF(E105&gt;H105,F105,IF(E105&lt;H105,C105,"Tie"))</x:f>
        <x:v>Ed</x:v>
      </x:c>
      <x:c r="K105" s="2" t="n">
        <x:f>IF(E105=H105,1,0)</x:f>
        <x:v>0</x:v>
      </x:c>
      <x:c r="L105" s="2" t="str">
        <x:v>Ed / Frank</x:v>
      </x:c>
      <x:c r="M105" t="str"/>
      <x:c r="N105" t="str">
        <x:v>Supplied</x:v>
      </x:c>
      <x:c r="O105" t="str"/>
    </x:row>
    <x:row r="106" ht="22" customHeight="1">
      <x:c r="A106" s="2" t="n">
        <x:v>14</x:v>
      </x:c>
      <x:c r="B106" s="2" t="str">
        <x:v>Regular</x:v>
      </x:c>
      <x:c r="C106" s="2" t="str">
        <x:v>Mike</x:v>
      </x:c>
      <x:c r="D106" s="2" t="str">
        <x:v>Fractional Mike</x:v>
      </x:c>
      <x:c r="E106" s="15" t="n">
        <x:v>110.95</x:v>
      </x:c>
      <x:c r="F106" s="2" t="str">
        <x:v>Josh</x:v>
      </x:c>
      <x:c r="G106" s="2" t="str">
        <x:v>Jackson Mahomos</x:v>
      </x:c>
      <x:c r="H106" s="15" t="n">
        <x:v>142.1</x:v>
      </x:c>
      <x:c r="I106" s="2" t="str">
        <x:f>IF(E106&gt;H106,C106,IF(E106&lt;H106,F106,"Tie"))</x:f>
        <x:v>Josh</x:v>
      </x:c>
      <x:c r="J106" s="2" t="str">
        <x:f>IF(E106&gt;H106,F106,IF(E106&lt;H106,C106,"Tie"))</x:f>
        <x:v>Mike</x:v>
      </x:c>
      <x:c r="K106" s="2" t="n">
        <x:f>IF(E106=H106,1,0)</x:f>
        <x:v>0</x:v>
      </x:c>
      <x:c r="L106" s="2" t="str">
        <x:v>Josh / Mike</x:v>
      </x:c>
      <x:c r="M106" t="str"/>
      <x:c r="N106" t="str">
        <x:v>Supplied</x:v>
      </x:c>
      <x:c r="O106" t="str"/>
    </x:row>
    <x:row r="107" ht="22" customHeight="1">
      <x:c r="A107" s="2" t="n">
        <x:v>14</x:v>
      </x:c>
      <x:c r="B107" s="2" t="str">
        <x:v>Regular</x:v>
      </x:c>
      <x:c r="C107" s="2" t="str">
        <x:v>Mark</x:v>
      </x:c>
      <x:c r="D107" s="2" t="str">
        <x:v>wacky waving arms</x:v>
      </x:c>
      <x:c r="E107" s="15" t="n">
        <x:v>108.4</x:v>
      </x:c>
      <x:c r="F107" s="2" t="str">
        <x:v>Matt</x:v>
      </x:c>
      <x:c r="G107" s="2" t="str">
        <x:v>Mr.Montana</x:v>
      </x:c>
      <x:c r="H107" s="15" t="n">
        <x:v>120.35</x:v>
      </x:c>
      <x:c r="I107" s="2" t="str">
        <x:f>IF(E107&gt;H107,C107,IF(E107&lt;H107,F107,"Tie"))</x:f>
        <x:v>Matt</x:v>
      </x:c>
      <x:c r="J107" s="2" t="str">
        <x:f>IF(E107&gt;H107,F107,IF(E107&lt;H107,C107,"Tie"))</x:f>
        <x:v>Mark</x:v>
      </x:c>
      <x:c r="K107" s="2" t="n">
        <x:f>IF(E107=H107,1,0)</x:f>
        <x:v>0</x:v>
      </x:c>
      <x:c r="L107" s="2" t="str">
        <x:v>Mark / Matt</x:v>
      </x:c>
      <x:c r="M107" t="str"/>
      <x:c r="N107" t="str">
        <x:v>Supplied</x:v>
      </x:c>
      <x:c r="O107" t="str"/>
    </x:row>
    <x:row r="108" ht="22" customHeight="1">
      <x:c r="A108" s="2" t="n">
        <x:v>15</x:v>
      </x:c>
      <x:c r="B108" s="2" t="str">
        <x:v>Playoffs</x:v>
      </x:c>
      <x:c r="C108" s="2" t="str">
        <x:v>Frank</x:v>
      </x:c>
      <x:c r="D108" s="2" t="str">
        <x:v>Saquon Deez Nutz</x:v>
      </x:c>
      <x:c r="E108" s="15" t="n">
        <x:v>106.2</x:v>
      </x:c>
      <x:c r="F108" s="2" t="str">
        <x:v>Matt</x:v>
      </x:c>
      <x:c r="G108" s="2" t="str">
        <x:v>Mr.Montana</x:v>
      </x:c>
      <x:c r="H108" s="15" t="n">
        <x:v>133.2</x:v>
      </x:c>
      <x:c r="I108" s="2" t="str">
        <x:f>IF(E108&gt;H108,C108,IF(E108&lt;H108,F108,"Tie"))</x:f>
        <x:v>Matt</x:v>
      </x:c>
      <x:c r="J108" s="2" t="str">
        <x:f>IF(E108&gt;H108,F108,IF(E108&lt;H108,C108,"Tie"))</x:f>
        <x:v>Frank</x:v>
      </x:c>
      <x:c r="K108" s="2" t="n">
        <x:f>IF(E108=H108,1,0)</x:f>
        <x:v>0</x:v>
      </x:c>
      <x:c r="L108" s="2" t="str">
        <x:v>Frank / Matt</x:v>
      </x:c>
      <x:c r="M108" t="str">
        <x:v>Quarterfinal</x:v>
      </x:c>
      <x:c r="N108" t="str">
        <x:v>Supplied</x:v>
      </x:c>
      <x:c r="O108" t="str"/>
    </x:row>
    <x:row r="109" ht="22" customHeight="1">
      <x:c r="A109" s="2" t="n">
        <x:v>15</x:v>
      </x:c>
      <x:c r="B109" s="2" t="str">
        <x:v>Playoffs</x:v>
      </x:c>
      <x:c r="C109" s="2" t="str">
        <x:v>Josh</x:v>
      </x:c>
      <x:c r="D109" s="2" t="str">
        <x:v>Jackson Mahomos</x:v>
      </x:c>
      <x:c r="E109" s="15" t="n">
        <x:v>91.35</x:v>
      </x:c>
      <x:c r="F109" s="2" t="str">
        <x:v>Paul</x:v>
      </x:c>
      <x:c r="G109" s="2" t="str">
        <x:v>Space Dogs</x:v>
      </x:c>
      <x:c r="H109" s="15" t="n">
        <x:v>127.7</x:v>
      </x:c>
      <x:c r="I109" s="2" t="str">
        <x:f>IF(E109&gt;H109,C109,IF(E109&lt;H109,F109,"Tie"))</x:f>
        <x:v>Paul</x:v>
      </x:c>
      <x:c r="J109" s="2" t="str">
        <x:f>IF(E109&gt;H109,F109,IF(E109&lt;H109,C109,"Tie"))</x:f>
        <x:v>Josh</x:v>
      </x:c>
      <x:c r="K109" s="2" t="n">
        <x:f>IF(E109=H109,1,0)</x:f>
        <x:v>0</x:v>
      </x:c>
      <x:c r="L109" s="2" t="str">
        <x:v>Josh / Paul</x:v>
      </x:c>
      <x:c r="M109" t="str">
        <x:v>Quarterfinal</x:v>
      </x:c>
      <x:c r="N109" t="str">
        <x:v>Supplied</x:v>
      </x:c>
      <x:c r="O109" t="str"/>
    </x:row>
    <x:row r="110" ht="22" customHeight="1">
      <x:c r="A110" s="2" t="n">
        <x:v>16</x:v>
      </x:c>
      <x:c r="B110" s="2" t="str">
        <x:v>Playoffs</x:v>
      </x:c>
      <x:c r="C110" s="2" t="str">
        <x:v>Mike</x:v>
      </x:c>
      <x:c r="D110" s="2" t="str">
        <x:v>Fractional Mike</x:v>
      </x:c>
      <x:c r="E110" s="15" t="n">
        <x:v>140.35</x:v>
      </x:c>
      <x:c r="F110" s="2" t="str">
        <x:v>Paul</x:v>
      </x:c>
      <x:c r="G110" s="2" t="str">
        <x:v>Space Dogs</x:v>
      </x:c>
      <x:c r="H110" s="15" t="n">
        <x:v>142.45</x:v>
      </x:c>
      <x:c r="I110" s="2" t="str">
        <x:f>IF(E110&gt;H110,C110,IF(E110&lt;H110,F110,"Tie"))</x:f>
        <x:v>Paul</x:v>
      </x:c>
      <x:c r="J110" s="2" t="str">
        <x:f>IF(E110&gt;H110,F110,IF(E110&lt;H110,C110,"Tie"))</x:f>
        <x:v>Mike</x:v>
      </x:c>
      <x:c r="K110" s="2" t="n">
        <x:f>IF(E110=H110,1,0)</x:f>
        <x:v>0</x:v>
      </x:c>
      <x:c r="L110" s="2" t="str">
        <x:v>Mike / Paul</x:v>
      </x:c>
      <x:c r="M110" t="str">
        <x:v>Semifinal</x:v>
      </x:c>
      <x:c r="N110" t="str">
        <x:v>Supplied</x:v>
      </x:c>
      <x:c r="O110" t="str"/>
    </x:row>
    <x:row r="111" ht="22" customHeight="1">
      <x:c r="A111" s="2" t="n">
        <x:v>16</x:v>
      </x:c>
      <x:c r="B111" s="2" t="str">
        <x:v>Playoffs</x:v>
      </x:c>
      <x:c r="C111" s="2" t="str">
        <x:v>Matt</x:v>
      </x:c>
      <x:c r="D111" s="2" t="str">
        <x:v>Mr.Montana</x:v>
      </x:c>
      <x:c r="E111" s="15" t="n">
        <x:v>115.15</x:v>
      </x:c>
      <x:c r="F111" s="2" t="str">
        <x:v>Poker Dude</x:v>
      </x:c>
      <x:c r="G111" s="2" t="str">
        <x:v>james's Team</x:v>
      </x:c>
      <x:c r="H111" s="15" t="n">
        <x:v>169.9</x:v>
      </x:c>
      <x:c r="I111" s="2" t="str">
        <x:f>IF(E111&gt;H111,C111,IF(E111&lt;H111,F111,"Tie"))</x:f>
        <x:v>Poker Dude</x:v>
      </x:c>
      <x:c r="J111" s="2" t="str">
        <x:f>IF(E111&gt;H111,F111,IF(E111&lt;H111,C111,"Tie"))</x:f>
        <x:v>Matt</x:v>
      </x:c>
      <x:c r="K111" s="2" t="n">
        <x:f>IF(E111=H111,1,0)</x:f>
        <x:v>0</x:v>
      </x:c>
      <x:c r="L111" s="2" t="str">
        <x:v>Matt / Poker Dude</x:v>
      </x:c>
      <x:c r="M111" t="str">
        <x:v>Semifinal</x:v>
      </x:c>
      <x:c r="N111" t="str">
        <x:v>Supplied</x:v>
      </x:c>
      <x:c r="O111" t="str"/>
    </x:row>
    <x:row r="112" ht="22" customHeight="1">
      <x:c r="A112" s="2" t="n">
        <x:v>17</x:v>
      </x:c>
      <x:c r="B112" s="2" t="str">
        <x:v>Playoffs</x:v>
      </x:c>
      <x:c r="C112" s="2" t="str">
        <x:v>Paul</x:v>
      </x:c>
      <x:c r="D112" s="2" t="str">
        <x:v>Space Dogs</x:v>
      </x:c>
      <x:c r="E112" s="15" t="n">
        <x:v>119.45</x:v>
      </x:c>
      <x:c r="F112" s="2" t="str">
        <x:v>Poker Dude</x:v>
      </x:c>
      <x:c r="G112" s="2" t="str">
        <x:v>james's Team</x:v>
      </x:c>
      <x:c r="H112" s="15" t="n">
        <x:v>155.45</x:v>
      </x:c>
      <x:c r="I112" s="2" t="str">
        <x:f>IF(E112&gt;H112,C112,IF(E112&lt;H112,F112,"Tie"))</x:f>
        <x:v>Poker Dude</x:v>
      </x:c>
      <x:c r="J112" s="2" t="str">
        <x:f>IF(E112&gt;H112,F112,IF(E112&lt;H112,C112,"Tie"))</x:f>
        <x:v>Paul</x:v>
      </x:c>
      <x:c r="K112" s="2" t="n">
        <x:f>IF(E112=H112,1,0)</x:f>
        <x:v>0</x:v>
      </x:c>
      <x:c r="L112" s="2" t="str">
        <x:v>Paul / Poker Dude</x:v>
      </x:c>
      <x:c r="M112" t="str">
        <x:v>Final</x:v>
      </x:c>
      <x:c r="N112" t="str">
        <x:v>Supplied</x:v>
      </x:c>
      <x:c r="O112" t="str"/>
    </x:row>
  </x:sheetData>
  <x:pageMargins left="0.7" right="0.7" top="0.75" bottom="0.75" header="0.3" footer="0.3"/>
  <x:tableParts count="1">
    <x:tablePart xmlns:r="http://schemas.openxmlformats.org/officeDocument/2006/relationships" r:id="Re81402080f0a49f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2022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Mike</x:v>
      </x:c>
      <x:c r="C4" s="2"/>
      <x:c r="D4" s="2" t="str">
        <x:v>Runner-up</x:v>
      </x:c>
      <x:c r="E4" s="2" t="str">
        <x:v>Paul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18" t="str">
        <x:v>Manager</x:v>
      </x:c>
      <x:c r="B6" s="18" t="str">
        <x:v>Team</x:v>
      </x:c>
      <x:c r="C6" s="18" t="str">
        <x:v>W</x:v>
      </x:c>
      <x:c r="D6" s="18" t="str">
        <x:v>L</x:v>
      </x:c>
      <x:c r="E6" s="18" t="str">
        <x:v>T</x:v>
      </x:c>
      <x:c r="F6" s="18" t="str">
        <x:v>Games</x:v>
      </x:c>
      <x:c r="G6" s="18" t="str">
        <x:v>Win %</x:v>
      </x:c>
      <x:c r="H6" s="18" t="str">
        <x:v>PF</x:v>
      </x:c>
      <x:c r="I6" s="18" t="str">
        <x:v>PA</x:v>
      </x:c>
      <x:c r="J6" s="18" t="str">
        <x:v>Moves</x:v>
      </x:c>
      <x:c r="K6" s="18" t="str">
        <x:v>Trades</x:v>
      </x:c>
      <x:c r="L6" s="18" t="str">
        <x:v>Waiver</x:v>
      </x:c>
    </x:row>
    <x:row r="7" ht="22" customHeight="1">
      <x:c r="A7" s="2" t="str">
        <x:v>Bruce</x:v>
      </x:c>
      <x:c r="B7" s="2" t="str">
        <x:v>The Storm</x:v>
      </x:c>
      <x:c r="C7" s="2" t="n">
        <x:f>COUNTIFS('2022'!$I$24:$I$112,A7,'2022'!$B$24:$B$112,"&lt;&gt;Playoffs")</x:f>
        <x:v>8</x:v>
      </x:c>
      <x:c r="D7" s="2" t="n">
        <x:f>COUNTIFS('2022'!$J$24:$J$112,A7,'2022'!$B$24:$B$112,"&lt;&gt;Playoffs")</x:f>
        <x:v>6</x:v>
      </x:c>
      <x:c r="E7" s="2" t="n">
        <x:f>COUNTIFS('2022'!$C$24:$C$112,A7,'2022'!$K$24:$K$112,1,'2022'!$B$24:$B$112,"&lt;&gt;Playoffs")+COUNTIFS('2022'!$F$24:$F$112,A7,'2022'!$K$24:$K$112,1,'2022'!$B$24:$B$112,"&lt;&gt;Playoffs")</x:f>
        <x:v>0</x:v>
      </x:c>
      <x:c r="F7" s="2" t="n">
        <x:f>SUM(C7:E7)</x:f>
        <x:v>14</x:v>
      </x:c>
      <x:c r="G7" s="11" t="n">
        <x:f>IF(F7=0,0,(C7+0.5*E7)/F7)</x:f>
        <x:v>0.5714285714285714</x:v>
      </x:c>
      <x:c r="H7" s="25" t="n">
        <x:f>SUMIFS('2022'!$E$24:$E$112,'2022'!$C$24:$C$112,A7,'2022'!$B$24:$B$112,"&lt;&gt;Playoffs")+SUMIFS('2022'!$H$24:$H$112,'2022'!$F$24:$F$112,A7,'2022'!$B$24:$B$112,"&lt;&gt;Playoffs")</x:f>
        <x:v>1607</x:v>
      </x:c>
      <x:c r="I7" s="25" t="n">
        <x:f>SUMIFS('2022'!$H$24:$H$112,'2022'!$C$24:$C$112,A7,'2022'!$B$24:$B$112,"&lt;&gt;Playoffs")+SUMIFS('2022'!$E$24:$E$112,'2022'!$F$24:$F$112,A7,'2022'!$B$24:$B$112,"&lt;&gt;Playoffs")</x:f>
        <x:v>1588.3</x:v>
      </x:c>
      <x:c r="J7" s="2" t="n">
        <x:v>10</x:v>
      </x:c>
      <x:c r="K7" s="2" t="n">
        <x:v>1</x:v>
      </x:c>
      <x:c r="L7" s="2" t="n">
        <x:v>5</x:v>
      </x:c>
    </x:row>
    <x:row r="8" ht="22" customHeight="1">
      <x:c r="A8" s="22" t="str">
        <x:v>Craig</x:v>
      </x:c>
      <x:c r="B8" s="22" t="str">
        <x:v>The Ants Marching</x:v>
      </x:c>
      <x:c r="C8" s="22" t="n">
        <x:f>COUNTIFS('2022'!$I$24:$I$112,A8,'2022'!$B$24:$B$112,"&lt;&gt;Playoffs")</x:f>
        <x:v>5</x:v>
      </x:c>
      <x:c r="D8" s="22" t="n">
        <x:f>COUNTIFS('2022'!$J$24:$J$112,A8,'2022'!$B$24:$B$112,"&lt;&gt;Playoffs")</x:f>
        <x:v>9</x:v>
      </x:c>
      <x:c r="E8" s="22" t="n">
        <x:f>COUNTIFS('2022'!$C$24:$C$112,A8,'2022'!$K$24:$K$112,1,'2022'!$B$24:$B$112,"&lt;&gt;Playoffs")+COUNTIFS('2022'!$F$24:$F$112,A8,'2022'!$K$24:$K$112,1,'2022'!$B$24:$B$112,"&lt;&gt;Playoffs")</x:f>
        <x:v>0</x:v>
      </x:c>
      <x:c r="F8" s="22" t="n">
        <x:f>SUM(C8:E8)</x:f>
        <x:v>14</x:v>
      </x:c>
      <x:c r="G8" s="23" t="n">
        <x:f>IF(F8=0,0,(C8+0.5*E8)/F8)</x:f>
        <x:v>0.35714285714285715</x:v>
      </x:c>
      <x:c r="H8" s="26" t="n">
        <x:f>SUMIFS('2022'!$E$24:$E$112,'2022'!$C$24:$C$112,A8,'2022'!$B$24:$B$112,"&lt;&gt;Playoffs")+SUMIFS('2022'!$H$24:$H$112,'2022'!$F$24:$F$112,A8,'2022'!$B$24:$B$112,"&lt;&gt;Playoffs")</x:f>
        <x:v>1575.5</x:v>
      </x:c>
      <x:c r="I8" s="26" t="n">
        <x:f>SUMIFS('2022'!$H$24:$H$112,'2022'!$C$24:$C$112,A8,'2022'!$B$24:$B$112,"&lt;&gt;Playoffs")+SUMIFS('2022'!$E$24:$E$112,'2022'!$F$24:$F$112,A8,'2022'!$B$24:$B$112,"&lt;&gt;Playoffs")</x:f>
        <x:v>1739.3</x:v>
      </x:c>
      <x:c r="J8" s="22" t="n">
        <x:v>9</x:v>
      </x:c>
      <x:c r="K8" s="22" t="n">
        <x:v>3</x:v>
      </x:c>
      <x:c r="L8" s="22" t="n">
        <x:v>3</x:v>
      </x:c>
    </x:row>
    <x:row r="9" ht="22" customHeight="1">
      <x:c r="A9" s="2" t="str">
        <x:v>Dave</x:v>
      </x:c>
      <x:c r="B9" s="2" t="str">
        <x:v>2 Girls 1 Kupp</x:v>
      </x:c>
      <x:c r="C9" s="2" t="n">
        <x:f>COUNTIFS('2022'!$I$24:$I$112,A9,'2022'!$B$24:$B$112,"&lt;&gt;Playoffs")</x:f>
        <x:v>8</x:v>
      </x:c>
      <x:c r="D9" s="2" t="n">
        <x:f>COUNTIFS('2022'!$J$24:$J$112,A9,'2022'!$B$24:$B$112,"&lt;&gt;Playoffs")</x:f>
        <x:v>6</x:v>
      </x:c>
      <x:c r="E9" s="2" t="n">
        <x:f>COUNTIFS('2022'!$C$24:$C$112,A9,'2022'!$K$24:$K$112,1,'2022'!$B$24:$B$112,"&lt;&gt;Playoffs")+COUNTIFS('2022'!$F$24:$F$112,A9,'2022'!$K$24:$K$112,1,'2022'!$B$24:$B$112,"&lt;&gt;Playoffs")</x:f>
        <x:v>0</x:v>
      </x:c>
      <x:c r="F9" s="2" t="n">
        <x:f>SUM(C9:E9)</x:f>
        <x:v>14</x:v>
      </x:c>
      <x:c r="G9" s="11" t="n">
        <x:f>IF(F9=0,0,(C9+0.5*E9)/F9)</x:f>
        <x:v>0.5714285714285714</x:v>
      </x:c>
      <x:c r="H9" s="25" t="n">
        <x:f>SUMIFS('2022'!$E$24:$E$112,'2022'!$C$24:$C$112,A9,'2022'!$B$24:$B$112,"&lt;&gt;Playoffs")+SUMIFS('2022'!$H$24:$H$112,'2022'!$F$24:$F$112,A9,'2022'!$B$24:$B$112,"&lt;&gt;Playoffs")</x:f>
        <x:v>1740.8999999999996</x:v>
      </x:c>
      <x:c r="I9" s="25" t="n">
        <x:f>SUMIFS('2022'!$H$24:$H$112,'2022'!$C$24:$C$112,A9,'2022'!$B$24:$B$112,"&lt;&gt;Playoffs")+SUMIFS('2022'!$E$24:$E$112,'2022'!$F$24:$F$112,A9,'2022'!$B$24:$B$112,"&lt;&gt;Playoffs")</x:f>
        <x:v>1664.2000000000003</x:v>
      </x:c>
      <x:c r="J9" s="2" t="n">
        <x:v>15</x:v>
      </x:c>
      <x:c r="K9" s="2" t="n">
        <x:v>2</x:v>
      </x:c>
      <x:c r="L9" s="2" t="n">
        <x:v>11</x:v>
      </x:c>
    </x:row>
    <x:row r="10" ht="22" customHeight="1">
      <x:c r="A10" s="22" t="str">
        <x:v>Ed</x:v>
      </x:c>
      <x:c r="B10" s="22" t="str">
        <x:v>Club Eroticas Finest</x:v>
      </x:c>
      <x:c r="C10" s="22" t="n">
        <x:f>COUNTIFS('2022'!$I$24:$I$112,A10,'2022'!$B$24:$B$112,"&lt;&gt;Playoffs")</x:f>
        <x:v>11</x:v>
      </x:c>
      <x:c r="D10" s="22" t="n">
        <x:f>COUNTIFS('2022'!$J$24:$J$112,A10,'2022'!$B$24:$B$112,"&lt;&gt;Playoffs")</x:f>
        <x:v>3</x:v>
      </x:c>
      <x:c r="E10" s="22" t="n">
        <x:f>COUNTIFS('2022'!$C$24:$C$112,A10,'2022'!$K$24:$K$112,1,'2022'!$B$24:$B$112,"&lt;&gt;Playoffs")+COUNTIFS('2022'!$F$24:$F$112,A10,'2022'!$K$24:$K$112,1,'2022'!$B$24:$B$112,"&lt;&gt;Playoffs")</x:f>
        <x:v>0</x:v>
      </x:c>
      <x:c r="F10" s="22" t="n">
        <x:f>SUM(C10:E10)</x:f>
        <x:v>14</x:v>
      </x:c>
      <x:c r="G10" s="23" t="n">
        <x:f>IF(F10=0,0,(C10+0.5*E10)/F10)</x:f>
        <x:v>0.7857142857142857</x:v>
      </x:c>
      <x:c r="H10" s="26" t="n">
        <x:f>SUMIFS('2022'!$E$24:$E$112,'2022'!$C$24:$C$112,A10,'2022'!$B$24:$B$112,"&lt;&gt;Playoffs")+SUMIFS('2022'!$H$24:$H$112,'2022'!$F$24:$F$112,A10,'2022'!$B$24:$B$112,"&lt;&gt;Playoffs")</x:f>
        <x:v>1938.1499999999996</x:v>
      </x:c>
      <x:c r="I10" s="26" t="n">
        <x:f>SUMIFS('2022'!$H$24:$H$112,'2022'!$C$24:$C$112,A10,'2022'!$B$24:$B$112,"&lt;&gt;Playoffs")+SUMIFS('2022'!$E$24:$E$112,'2022'!$F$24:$F$112,A10,'2022'!$B$24:$B$112,"&lt;&gt;Playoffs")</x:f>
        <x:v>1585.85</x:v>
      </x:c>
      <x:c r="J10" s="22" t="n">
        <x:v>11</x:v>
      </x:c>
      <x:c r="K10" s="22" t="n">
        <x:v>0</x:v>
      </x:c>
      <x:c r="L10" s="22" t="n">
        <x:v>8</x:v>
      </x:c>
    </x:row>
    <x:row r="11" ht="22" customHeight="1">
      <x:c r="A11" s="2" t="str">
        <x:v>Frank</x:v>
      </x:c>
      <x:c r="B11" s="2" t="str">
        <x:v>Saquon Deez Nutz</x:v>
      </x:c>
      <x:c r="C11" s="2" t="n">
        <x:f>COUNTIFS('2022'!$I$24:$I$112,A11,'2022'!$B$24:$B$112,"&lt;&gt;Playoffs")</x:f>
        <x:v>4</x:v>
      </x:c>
      <x:c r="D11" s="2" t="n">
        <x:f>COUNTIFS('2022'!$J$24:$J$112,A11,'2022'!$B$24:$B$112,"&lt;&gt;Playoffs")</x:f>
        <x:v>10</x:v>
      </x:c>
      <x:c r="E11" s="2" t="n">
        <x:f>COUNTIFS('2022'!$C$24:$C$112,A11,'2022'!$K$24:$K$112,1,'2022'!$B$24:$B$112,"&lt;&gt;Playoffs")+COUNTIFS('2022'!$F$24:$F$112,A11,'2022'!$K$24:$K$112,1,'2022'!$B$24:$B$112,"&lt;&gt;Playoffs")</x:f>
        <x:v>0</x:v>
      </x:c>
      <x:c r="F11" s="2" t="n">
        <x:f>SUM(C11:E11)</x:f>
        <x:v>14</x:v>
      </x:c>
      <x:c r="G11" s="11" t="n">
        <x:f>IF(F11=0,0,(C11+0.5*E11)/F11)</x:f>
        <x:v>0.2857142857142857</x:v>
      </x:c>
      <x:c r="H11" s="25" t="n">
        <x:f>SUMIFS('2022'!$E$24:$E$112,'2022'!$C$24:$C$112,A11,'2022'!$B$24:$B$112,"&lt;&gt;Playoffs")+SUMIFS('2022'!$H$24:$H$112,'2022'!$F$24:$F$112,A11,'2022'!$B$24:$B$112,"&lt;&gt;Playoffs")</x:f>
        <x:v>1386</x:v>
      </x:c>
      <x:c r="I11" s="25" t="n">
        <x:f>SUMIFS('2022'!$H$24:$H$112,'2022'!$C$24:$C$112,A11,'2022'!$B$24:$B$112,"&lt;&gt;Playoffs")+SUMIFS('2022'!$E$24:$E$112,'2022'!$F$24:$F$112,A11,'2022'!$B$24:$B$112,"&lt;&gt;Playoffs")</x:f>
        <x:v>1591.7999999999997</x:v>
      </x:c>
      <x:c r="J11" s="2" t="n">
        <x:v>16</x:v>
      </x:c>
      <x:c r="K11" s="2" t="n">
        <x:v>0</x:v>
      </x:c>
      <x:c r="L11" s="2" t="n">
        <x:v>9</x:v>
      </x:c>
    </x:row>
    <x:row r="12" ht="22" customHeight="1">
      <x:c r="A12" s="22" t="str">
        <x:v>Josh</x:v>
      </x:c>
      <x:c r="B12" s="22" t="str">
        <x:v>Laughing Bucket Hats</x:v>
      </x:c>
      <x:c r="C12" s="22" t="n">
        <x:f>COUNTIFS('2022'!$I$24:$I$112,A12,'2022'!$B$24:$B$112,"&lt;&gt;Playoffs")</x:f>
        <x:v>5</x:v>
      </x:c>
      <x:c r="D12" s="22" t="n">
        <x:f>COUNTIFS('2022'!$J$24:$J$112,A12,'2022'!$B$24:$B$112,"&lt;&gt;Playoffs")</x:f>
        <x:v>9</x:v>
      </x:c>
      <x:c r="E12" s="22" t="n">
        <x:f>COUNTIFS('2022'!$C$24:$C$112,A12,'2022'!$K$24:$K$112,1,'2022'!$B$24:$B$112,"&lt;&gt;Playoffs")+COUNTIFS('2022'!$F$24:$F$112,A12,'2022'!$K$24:$K$112,1,'2022'!$B$24:$B$112,"&lt;&gt;Playoffs")</x:f>
        <x:v>0</x:v>
      </x:c>
      <x:c r="F12" s="22" t="n">
        <x:f>SUM(C12:E12)</x:f>
        <x:v>14</x:v>
      </x:c>
      <x:c r="G12" s="23" t="n">
        <x:f>IF(F12=0,0,(C12+0.5*E12)/F12)</x:f>
        <x:v>0.35714285714285715</x:v>
      </x:c>
      <x:c r="H12" s="26" t="n">
        <x:f>SUMIFS('2022'!$E$24:$E$112,'2022'!$C$24:$C$112,A12,'2022'!$B$24:$B$112,"&lt;&gt;Playoffs")+SUMIFS('2022'!$H$24:$H$112,'2022'!$F$24:$F$112,A12,'2022'!$B$24:$B$112,"&lt;&gt;Playoffs")</x:f>
        <x:v>1550.9</x:v>
      </x:c>
      <x:c r="I12" s="26" t="n">
        <x:f>SUMIFS('2022'!$H$24:$H$112,'2022'!$C$24:$C$112,A12,'2022'!$B$24:$B$112,"&lt;&gt;Playoffs")+SUMIFS('2022'!$E$24:$E$112,'2022'!$F$24:$F$112,A12,'2022'!$B$24:$B$112,"&lt;&gt;Playoffs")</x:f>
        <x:v>1856.15</x:v>
      </x:c>
      <x:c r="J12" s="22" t="n">
        <x:v>19</x:v>
      </x:c>
      <x:c r="K12" s="22" t="n">
        <x:v>3</x:v>
      </x:c>
      <x:c r="L12" s="22" t="n">
        <x:v>2</x:v>
      </x:c>
    </x:row>
    <x:row r="13" ht="22" customHeight="1">
      <x:c r="A13" s="2" t="str">
        <x:v>Mark</x:v>
      </x:c>
      <x:c r="B13" s="2" t="str">
        <x:v>wacky waving arms</x:v>
      </x:c>
      <x:c r="C13" s="2" t="n">
        <x:f>COUNTIFS('2022'!$I$24:$I$112,A13,'2022'!$B$24:$B$112,"&lt;&gt;Playoffs")</x:f>
        <x:v>5</x:v>
      </x:c>
      <x:c r="D13" s="2" t="n">
        <x:f>COUNTIFS('2022'!$J$24:$J$112,A13,'2022'!$B$24:$B$112,"&lt;&gt;Playoffs")</x:f>
        <x:v>9</x:v>
      </x:c>
      <x:c r="E13" s="2" t="n">
        <x:f>COUNTIFS('2022'!$C$24:$C$112,A13,'2022'!$K$24:$K$112,1,'2022'!$B$24:$B$112,"&lt;&gt;Playoffs")+COUNTIFS('2022'!$F$24:$F$112,A13,'2022'!$K$24:$K$112,1,'2022'!$B$24:$B$112,"&lt;&gt;Playoffs")</x:f>
        <x:v>0</x:v>
      </x:c>
      <x:c r="F13" s="2" t="n">
        <x:f>SUM(C13:E13)</x:f>
        <x:v>14</x:v>
      </x:c>
      <x:c r="G13" s="11" t="n">
        <x:f>IF(F13=0,0,(C13+0.5*E13)/F13)</x:f>
        <x:v>0.35714285714285715</x:v>
      </x:c>
      <x:c r="H13" s="25" t="n">
        <x:f>SUMIFS('2022'!$E$24:$E$112,'2022'!$C$24:$C$112,A13,'2022'!$B$24:$B$112,"&lt;&gt;Playoffs")+SUMIFS('2022'!$H$24:$H$112,'2022'!$F$24:$F$112,A13,'2022'!$B$24:$B$112,"&lt;&gt;Playoffs")</x:f>
        <x:v>1503.7</x:v>
      </x:c>
      <x:c r="I13" s="25" t="n">
        <x:f>SUMIFS('2022'!$H$24:$H$112,'2022'!$C$24:$C$112,A13,'2022'!$B$24:$B$112,"&lt;&gt;Playoffs")+SUMIFS('2022'!$E$24:$E$112,'2022'!$F$24:$F$112,A13,'2022'!$B$24:$B$112,"&lt;&gt;Playoffs")</x:f>
        <x:v>1632.25</x:v>
      </x:c>
      <x:c r="J13" s="2" t="n">
        <x:v>14</x:v>
      </x:c>
      <x:c r="K13" s="2" t="n">
        <x:v>1</x:v>
      </x:c>
      <x:c r="L13" s="2" t="n">
        <x:v>1</x:v>
      </x:c>
    </x:row>
    <x:row r="14" ht="22" customHeight="1">
      <x:c r="A14" s="22" t="str">
        <x:v>Matt</x:v>
      </x:c>
      <x:c r="B14" s="22" t="str">
        <x:v>Mr.Montana</x:v>
      </x:c>
      <x:c r="C14" s="22" t="n">
        <x:f>COUNTIFS('2022'!$I$24:$I$112,A14,'2022'!$B$24:$B$112,"&lt;&gt;Playoffs")</x:f>
        <x:v>6</x:v>
      </x:c>
      <x:c r="D14" s="22" t="n">
        <x:f>COUNTIFS('2022'!$J$24:$J$112,A14,'2022'!$B$24:$B$112,"&lt;&gt;Playoffs")</x:f>
        <x:v>8</x:v>
      </x:c>
      <x:c r="E14" s="22" t="n">
        <x:f>COUNTIFS('2022'!$C$24:$C$112,A14,'2022'!$K$24:$K$112,1,'2022'!$B$24:$B$112,"&lt;&gt;Playoffs")+COUNTIFS('2022'!$F$24:$F$112,A14,'2022'!$K$24:$K$112,1,'2022'!$B$24:$B$112,"&lt;&gt;Playoffs")</x:f>
        <x:v>0</x:v>
      </x:c>
      <x:c r="F14" s="22" t="n">
        <x:f>SUM(C14:E14)</x:f>
        <x:v>14</x:v>
      </x:c>
      <x:c r="G14" s="23" t="n">
        <x:f>IF(F14=0,0,(C14+0.5*E14)/F14)</x:f>
        <x:v>0.42857142857142855</x:v>
      </x:c>
      <x:c r="H14" s="26" t="n">
        <x:f>SUMIFS('2022'!$E$24:$E$112,'2022'!$C$24:$C$112,A14,'2022'!$B$24:$B$112,"&lt;&gt;Playoffs")+SUMIFS('2022'!$H$24:$H$112,'2022'!$F$24:$F$112,A14,'2022'!$B$24:$B$112,"&lt;&gt;Playoffs")</x:f>
        <x:v>1613.4500000000003</x:v>
      </x:c>
      <x:c r="I14" s="26" t="n">
        <x:f>SUMIFS('2022'!$H$24:$H$112,'2022'!$C$24:$C$112,A14,'2022'!$B$24:$B$112,"&lt;&gt;Playoffs")+SUMIFS('2022'!$E$24:$E$112,'2022'!$F$24:$F$112,A14,'2022'!$B$24:$B$112,"&lt;&gt;Playoffs")</x:f>
        <x:v>1679.8</x:v>
      </x:c>
      <x:c r="J14" s="22" t="n">
        <x:v>20</x:v>
      </x:c>
      <x:c r="K14" s="22" t="n">
        <x:v>1</x:v>
      </x:c>
      <x:c r="L14" s="22" t="n">
        <x:v>4</x:v>
      </x:c>
    </x:row>
    <x:row r="15" ht="22" customHeight="1">
      <x:c r="A15" s="2" t="str">
        <x:v>Mike</x:v>
      </x:c>
      <x:c r="B15" s="2" t="str">
        <x:v>Mikey bucket hats</x:v>
      </x:c>
      <x:c r="C15" s="2" t="n">
        <x:f>COUNTIFS('2022'!$I$24:$I$112,A15,'2022'!$B$24:$B$112,"&lt;&gt;Playoffs")</x:f>
        <x:v>8</x:v>
      </x:c>
      <x:c r="D15" s="2" t="n">
        <x:f>COUNTIFS('2022'!$J$24:$J$112,A15,'2022'!$B$24:$B$112,"&lt;&gt;Playoffs")</x:f>
        <x:v>6</x:v>
      </x:c>
      <x:c r="E15" s="2" t="n">
        <x:f>COUNTIFS('2022'!$C$24:$C$112,A15,'2022'!$K$24:$K$112,1,'2022'!$B$24:$B$112,"&lt;&gt;Playoffs")+COUNTIFS('2022'!$F$24:$F$112,A15,'2022'!$K$24:$K$112,1,'2022'!$B$24:$B$112,"&lt;&gt;Playoffs")</x:f>
        <x:v>0</x:v>
      </x:c>
      <x:c r="F15" s="2" t="n">
        <x:f>SUM(C15:E15)</x:f>
        <x:v>14</x:v>
      </x:c>
      <x:c r="G15" s="11" t="n">
        <x:f>IF(F15=0,0,(C15+0.5*E15)/F15)</x:f>
        <x:v>0.5714285714285714</x:v>
      </x:c>
      <x:c r="H15" s="25" t="n">
        <x:f>SUMIFS('2022'!$E$24:$E$112,'2022'!$C$24:$C$112,A15,'2022'!$B$24:$B$112,"&lt;&gt;Playoffs")+SUMIFS('2022'!$H$24:$H$112,'2022'!$F$24:$F$112,A15,'2022'!$B$24:$B$112,"&lt;&gt;Playoffs")</x:f>
        <x:v>1857.9</x:v>
      </x:c>
      <x:c r="I15" s="25" t="n">
        <x:f>SUMIFS('2022'!$H$24:$H$112,'2022'!$C$24:$C$112,A15,'2022'!$B$24:$B$112,"&lt;&gt;Playoffs")+SUMIFS('2022'!$E$24:$E$112,'2022'!$F$24:$F$112,A15,'2022'!$B$24:$B$112,"&lt;&gt;Playoffs")</x:f>
        <x:v>1656.25</x:v>
      </x:c>
      <x:c r="J15" s="2" t="n">
        <x:v>17</x:v>
      </x:c>
      <x:c r="K15" s="2" t="n">
        <x:v>1</x:v>
      </x:c>
      <x:c r="L15" s="2" t="n">
        <x:v>12</x:v>
      </x:c>
    </x:row>
    <x:row r="16" ht="22" customHeight="1">
      <x:c r="A16" s="22" t="str">
        <x:v>Nick</x:v>
      </x:c>
      <x:c r="B16" s="22" t="str">
        <x:v>Team Scoops</x:v>
      </x:c>
      <x:c r="C16" s="22" t="n">
        <x:f>COUNTIFS('2022'!$I$24:$I$112,A16,'2022'!$B$24:$B$112,"&lt;&gt;Playoffs")</x:f>
        <x:v>9</x:v>
      </x:c>
      <x:c r="D16" s="22" t="n">
        <x:f>COUNTIFS('2022'!$J$24:$J$112,A16,'2022'!$B$24:$B$112,"&lt;&gt;Playoffs")</x:f>
        <x:v>5</x:v>
      </x:c>
      <x:c r="E16" s="22" t="n">
        <x:f>COUNTIFS('2022'!$C$24:$C$112,A16,'2022'!$K$24:$K$112,1,'2022'!$B$24:$B$112,"&lt;&gt;Playoffs")+COUNTIFS('2022'!$F$24:$F$112,A16,'2022'!$K$24:$K$112,1,'2022'!$B$24:$B$112,"&lt;&gt;Playoffs")</x:f>
        <x:v>0</x:v>
      </x:c>
      <x:c r="F16" s="22" t="n">
        <x:f>SUM(C16:E16)</x:f>
        <x:v>14</x:v>
      </x:c>
      <x:c r="G16" s="23" t="n">
        <x:f>IF(F16=0,0,(C16+0.5*E16)/F16)</x:f>
        <x:v>0.6428571428571429</x:v>
      </x:c>
      <x:c r="H16" s="26" t="n">
        <x:f>SUMIFS('2022'!$E$24:$E$112,'2022'!$C$24:$C$112,A16,'2022'!$B$24:$B$112,"&lt;&gt;Playoffs")+SUMIFS('2022'!$H$24:$H$112,'2022'!$F$24:$F$112,A16,'2022'!$B$24:$B$112,"&lt;&gt;Playoffs")</x:f>
        <x:v>1920.25</x:v>
      </x:c>
      <x:c r="I16" s="26" t="n">
        <x:f>SUMIFS('2022'!$H$24:$H$112,'2022'!$C$24:$C$112,A16,'2022'!$B$24:$B$112,"&lt;&gt;Playoffs")+SUMIFS('2022'!$E$24:$E$112,'2022'!$F$24:$F$112,A16,'2022'!$B$24:$B$112,"&lt;&gt;Playoffs")</x:f>
        <x:v>1719.7499999999998</x:v>
      </x:c>
      <x:c r="J16" s="22" t="n">
        <x:v>5</x:v>
      </x:c>
      <x:c r="K16" s="22" t="n">
        <x:v>1</x:v>
      </x:c>
      <x:c r="L16" s="22" t="n">
        <x:v>7</x:v>
      </x:c>
    </x:row>
    <x:row r="17" ht="22" customHeight="1">
      <x:c r="A17" s="2" t="str">
        <x:v>Paul</x:v>
      </x:c>
      <x:c r="B17" s="2" t="str">
        <x:v>Space Dogs</x:v>
      </x:c>
      <x:c r="C17" s="2" t="n">
        <x:f>COUNTIFS('2022'!$I$24:$I$112,A17,'2022'!$B$24:$B$112,"&lt;&gt;Playoffs")</x:f>
        <x:v>7</x:v>
      </x:c>
      <x:c r="D17" s="2" t="n">
        <x:f>COUNTIFS('2022'!$J$24:$J$112,A17,'2022'!$B$24:$B$112,"&lt;&gt;Playoffs")</x:f>
        <x:v>7</x:v>
      </x:c>
      <x:c r="E17" s="2" t="n">
        <x:f>COUNTIFS('2022'!$C$24:$C$112,A17,'2022'!$K$24:$K$112,1,'2022'!$B$24:$B$112,"&lt;&gt;Playoffs")+COUNTIFS('2022'!$F$24:$F$112,A17,'2022'!$K$24:$K$112,1,'2022'!$B$24:$B$112,"&lt;&gt;Playoffs")</x:f>
        <x:v>0</x:v>
      </x:c>
      <x:c r="F17" s="2" t="n">
        <x:f>SUM(C17:E17)</x:f>
        <x:v>14</x:v>
      </x:c>
      <x:c r="G17" s="11" t="n">
        <x:f>IF(F17=0,0,(C17+0.5*E17)/F17)</x:f>
        <x:v>0.5</x:v>
      </x:c>
      <x:c r="H17" s="25" t="n">
        <x:f>SUMIFS('2022'!$E$24:$E$112,'2022'!$C$24:$C$112,A17,'2022'!$B$24:$B$112,"&lt;&gt;Playoffs")+SUMIFS('2022'!$H$24:$H$112,'2022'!$F$24:$F$112,A17,'2022'!$B$24:$B$112,"&lt;&gt;Playoffs")</x:f>
        <x:v>1555.5000000000005</x:v>
      </x:c>
      <x:c r="I17" s="25" t="n">
        <x:f>SUMIFS('2022'!$H$24:$H$112,'2022'!$C$24:$C$112,A17,'2022'!$B$24:$B$112,"&lt;&gt;Playoffs")+SUMIFS('2022'!$E$24:$E$112,'2022'!$F$24:$F$112,A17,'2022'!$B$24:$B$112,"&lt;&gt;Playoffs")</x:f>
        <x:v>1629.3499999999997</x:v>
      </x:c>
      <x:c r="J17" s="2" t="n">
        <x:v>25</x:v>
      </x:c>
      <x:c r="K17" s="2" t="n">
        <x:v>0</x:v>
      </x:c>
      <x:c r="L17" s="2" t="n">
        <x:v>10</x:v>
      </x:c>
    </x:row>
    <x:row r="18" ht="22" customHeight="1">
      <x:c r="A18" s="22" t="str">
        <x:v>Poker Dude</x:v>
      </x:c>
      <x:c r="B18" s="22" t="str">
        <x:v>james's Team</x:v>
      </x:c>
      <x:c r="C18" s="22" t="n">
        <x:f>COUNTIFS('2022'!$I$24:$I$112,A18,'2022'!$B$24:$B$112,"&lt;&gt;Playoffs")</x:f>
        <x:v>8</x:v>
      </x:c>
      <x:c r="D18" s="22" t="n">
        <x:f>COUNTIFS('2022'!$J$24:$J$112,A18,'2022'!$B$24:$B$112,"&lt;&gt;Playoffs")</x:f>
        <x:v>6</x:v>
      </x:c>
      <x:c r="E18" s="22" t="n">
        <x:f>COUNTIFS('2022'!$C$24:$C$112,A18,'2022'!$K$24:$K$112,1,'2022'!$B$24:$B$112,"&lt;&gt;Playoffs")+COUNTIFS('2022'!$F$24:$F$112,A18,'2022'!$K$24:$K$112,1,'2022'!$B$24:$B$112,"&lt;&gt;Playoffs")</x:f>
        <x:v>0</x:v>
      </x:c>
      <x:c r="F18" s="22" t="n">
        <x:f>SUM(C18:E18)</x:f>
        <x:v>14</x:v>
      </x:c>
      <x:c r="G18" s="23" t="n">
        <x:f>IF(F18=0,0,(C18+0.5*E18)/F18)</x:f>
        <x:v>0.5714285714285714</x:v>
      </x:c>
      <x:c r="H18" s="26" t="n">
        <x:f>SUMIFS('2022'!$E$24:$E$112,'2022'!$C$24:$C$112,A18,'2022'!$B$24:$B$112,"&lt;&gt;Playoffs")+SUMIFS('2022'!$H$24:$H$112,'2022'!$F$24:$F$112,A18,'2022'!$B$24:$B$112,"&lt;&gt;Playoffs")</x:f>
        <x:v>1693.3000000000002</x:v>
      </x:c>
      <x:c r="I18" s="26" t="n">
        <x:f>SUMIFS('2022'!$H$24:$H$112,'2022'!$C$24:$C$112,A18,'2022'!$B$24:$B$112,"&lt;&gt;Playoffs")+SUMIFS('2022'!$E$24:$E$112,'2022'!$F$24:$F$112,A18,'2022'!$B$24:$B$112,"&lt;&gt;Playoffs")</x:f>
        <x:v>1599.5500000000002</x:v>
      </x:c>
      <x:c r="J18" s="22" t="n">
        <x:v>41</x:v>
      </x:c>
      <x:c r="K18" s="22" t="n">
        <x:v>1</x:v>
      </x:c>
      <x:c r="L18" s="22" t="n">
        <x:v>6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18" t="str">
        <x:v>Week</x:v>
      </x:c>
      <x:c r="B23" s="18" t="str">
        <x:v>Phase</x:v>
      </x:c>
      <x:c r="C23" s="18" t="str">
        <x:v>Manager A</x:v>
      </x:c>
      <x:c r="D23" s="18" t="str">
        <x:v>Team A</x:v>
      </x:c>
      <x:c r="E23" s="18" t="str">
        <x:v>Score A</x:v>
      </x:c>
      <x:c r="F23" s="18" t="str">
        <x:v>Manager B</x:v>
      </x:c>
      <x:c r="G23" s="18" t="str">
        <x:v>Team B</x:v>
      </x:c>
      <x:c r="H23" s="18" t="str">
        <x:v>Score B</x:v>
      </x:c>
      <x:c r="I23" s="18" t="str">
        <x:v>Winner</x:v>
      </x:c>
      <x:c r="J23" s="18" t="str">
        <x:v>Loser</x:v>
      </x:c>
      <x:c r="K23" s="18" t="str">
        <x:v>Tie</x:v>
      </x:c>
      <x:c r="L23" s="18" t="str">
        <x:v>Pair</x:v>
      </x:c>
      <x:c r="M23" s="21" t="str">
        <x:v>Round</x:v>
      </x:c>
      <x:c r="N23" s="21" t="str">
        <x:v>Week source</x:v>
      </x:c>
      <x:c r="O23" s="21" t="str">
        <x:v>Source marker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96.4</x:v>
      </x:c>
      <x:c r="F24" s="2" t="str">
        <x:v>Poker Dude</x:v>
      </x:c>
      <x:c r="G24" s="2" t="str">
        <x:v>james's Team</x:v>
      </x:c>
      <x:c r="H24" s="15" t="n">
        <x:v>101.1</x:v>
      </x:c>
      <x:c r="I24" s="2" t="str">
        <x:f>IF(E24&gt;H24,C24,IF(E24&lt;H24,F24,"Tie"))</x:f>
        <x:v>Poker Dude</x:v>
      </x:c>
      <x:c r="J24" s="2" t="str">
        <x:f>IF(E24&gt;H24,F24,IF(E24&lt;H24,C24,"Tie"))</x:f>
        <x:v>Bruce</x:v>
      </x:c>
      <x:c r="K24" s="2" t="n">
        <x:f>IF(E24=H24,1,0)</x:f>
        <x:v>0</x:v>
      </x:c>
      <x:c r="L24" s="2" t="str">
        <x:v>Bruce / Poker Dude</x:v>
      </x:c>
      <x:c r="M24" t="str"/>
      <x:c r="N24" t="str">
        <x:v>Supplied</x:v>
      </x:c>
      <x:c r="O24" t="str">
        <x:v>*</x:v>
      </x:c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128.35</x:v>
      </x:c>
      <x:c r="F25" s="2" t="str">
        <x:v>Dave</x:v>
      </x:c>
      <x:c r="G25" s="2" t="str">
        <x:v>2 Girls 1 Kupp</x:v>
      </x:c>
      <x:c r="H25" s="15" t="n">
        <x:v>99.85</x:v>
      </x:c>
      <x:c r="I25" s="2" t="str">
        <x:f>IF(E25&gt;H25,C25,IF(E25&lt;H25,F25,"Tie"))</x:f>
        <x:v>Craig</x:v>
      </x:c>
      <x:c r="J25" s="2" t="str">
        <x:f>IF(E25&gt;H25,F25,IF(E25&lt;H25,C25,"Tie"))</x:f>
        <x:v>Dave</x:v>
      </x:c>
      <x:c r="K25" s="2" t="n">
        <x:f>IF(E25=H25,1,0)</x:f>
        <x:v>0</x:v>
      </x:c>
      <x:c r="L25" s="2" t="str">
        <x:v>Craig / Dave</x:v>
      </x:c>
      <x:c r="M25" t="str"/>
      <x:c r="N25" t="str">
        <x:v>Supplied</x:v>
      </x:c>
      <x:c r="O25" t="str">
        <x:v>*</x:v>
      </x:c>
    </x:row>
    <x:row r="26" ht="22" customHeight="1">
      <x:c r="A26" s="2" t="n">
        <x:v>1</x:v>
      </x:c>
      <x:c r="B26" s="2" t="str">
        <x:v>Regular</x:v>
      </x:c>
      <x:c r="C26" s="2" t="str">
        <x:v>Ed</x:v>
      </x:c>
      <x:c r="D26" s="2" t="str">
        <x:v>Club Eroticas Finest</x:v>
      </x:c>
      <x:c r="E26" s="15" t="n">
        <x:v>147.4</x:v>
      </x:c>
      <x:c r="F26" s="2" t="str">
        <x:v>Nick</x:v>
      </x:c>
      <x:c r="G26" s="2" t="str">
        <x:v>Team Scoops</x:v>
      </x:c>
      <x:c r="H26" s="15" t="n">
        <x:v>109.85</x:v>
      </x:c>
      <x:c r="I26" s="2" t="str">
        <x:f>IF(E26&gt;H26,C26,IF(E26&lt;H26,F26,"Tie"))</x:f>
        <x:v>Ed</x:v>
      </x:c>
      <x:c r="J26" s="2" t="str">
        <x:f>IF(E26&gt;H26,F26,IF(E26&lt;H26,C26,"Tie"))</x:f>
        <x:v>Nick</x:v>
      </x:c>
      <x:c r="K26" s="2" t="n">
        <x:f>IF(E26=H26,1,0)</x:f>
        <x:v>0</x:v>
      </x:c>
      <x:c r="L26" s="2" t="str">
        <x:v>Ed / Nick</x:v>
      </x:c>
      <x:c r="M26" t="str"/>
      <x:c r="N26" t="str">
        <x:v>Supplied</x:v>
      </x:c>
      <x:c r="O26" t="str">
        <x:v>*</x:v>
      </x:c>
    </x:row>
    <x:row r="27" ht="22" customHeight="1">
      <x:c r="A27" s="2" t="n">
        <x:v>1</x:v>
      </x:c>
      <x:c r="B27" s="2" t="str">
        <x:v>Regular</x:v>
      </x:c>
      <x:c r="C27" s="2" t="str">
        <x:v>Frank</x:v>
      </x:c>
      <x:c r="D27" s="2" t="str">
        <x:v>Saquon Deez Nutz</x:v>
      </x:c>
      <x:c r="E27" s="15" t="n">
        <x:v>135.1</x:v>
      </x:c>
      <x:c r="F27" s="2" t="str">
        <x:v>Matt</x:v>
      </x:c>
      <x:c r="G27" s="2" t="str">
        <x:v>Mr.Montana</x:v>
      </x:c>
      <x:c r="H27" s="15" t="n">
        <x:v>127.55</x:v>
      </x:c>
      <x:c r="I27" s="2" t="str">
        <x:f>IF(E27&gt;H27,C27,IF(E27&lt;H27,F27,"Tie"))</x:f>
        <x:v>Frank</x:v>
      </x:c>
      <x:c r="J27" s="2" t="str">
        <x:f>IF(E27&gt;H27,F27,IF(E27&lt;H27,C27,"Tie"))</x:f>
        <x:v>Matt</x:v>
      </x:c>
      <x:c r="K27" s="2" t="n">
        <x:f>IF(E27=H27,1,0)</x:f>
        <x:v>0</x:v>
      </x:c>
      <x:c r="L27" s="2" t="str">
        <x:v>Frank / Matt</x:v>
      </x:c>
      <x:c r="M27" t="str"/>
      <x:c r="N27" t="str">
        <x:v>Supplied</x:v>
      </x:c>
      <x:c r="O27" t="str">
        <x:v>*</x:v>
      </x:c>
    </x:row>
    <x:row r="28" ht="22" customHeight="1">
      <x:c r="A28" s="2" t="n">
        <x:v>1</x:v>
      </x:c>
      <x:c r="B28" s="2" t="str">
        <x:v>Regular</x:v>
      </x:c>
      <x:c r="C28" s="2" t="str">
        <x:v>Mike</x:v>
      </x:c>
      <x:c r="D28" s="2" t="str">
        <x:v>Mikey bucket hats</x:v>
      </x:c>
      <x:c r="E28" s="15" t="n">
        <x:v>118.65</x:v>
      </x:c>
      <x:c r="F28" s="2" t="str">
        <x:v>Josh</x:v>
      </x:c>
      <x:c r="G28" s="2" t="str">
        <x:v>Laughing Bucket Hats</x:v>
      </x:c>
      <x:c r="H28" s="15" t="n">
        <x:v>133</x:v>
      </x:c>
      <x:c r="I28" s="2" t="str">
        <x:f>IF(E28&gt;H28,C28,IF(E28&lt;H28,F28,"Tie"))</x:f>
        <x:v>Josh</x:v>
      </x:c>
      <x:c r="J28" s="2" t="str">
        <x:f>IF(E28&gt;H28,F28,IF(E28&lt;H28,C28,"Tie"))</x:f>
        <x:v>Mike</x:v>
      </x:c>
      <x:c r="K28" s="2" t="n">
        <x:f>IF(E28=H28,1,0)</x:f>
        <x:v>0</x:v>
      </x:c>
      <x:c r="L28" s="2" t="str">
        <x:v>Josh / Mike</x:v>
      </x:c>
      <x:c r="M28" t="str"/>
      <x:c r="N28" t="str">
        <x:v>Supplied</x:v>
      </x:c>
      <x:c r="O28" t="str">
        <x:v>*</x:v>
      </x:c>
    </x:row>
    <x:row r="29" ht="22" customHeight="1">
      <x:c r="A29" s="2" t="n">
        <x:v>1</x:v>
      </x:c>
      <x:c r="B29" s="2" t="str">
        <x:v>Regular</x:v>
      </x:c>
      <x:c r="C29" s="2" t="str">
        <x:v>Mark</x:v>
      </x:c>
      <x:c r="D29" s="2" t="str">
        <x:v>wacky waving arms</x:v>
      </x:c>
      <x:c r="E29" s="15" t="n">
        <x:v>154.15</x:v>
      </x:c>
      <x:c r="F29" s="2" t="str">
        <x:v>Paul</x:v>
      </x:c>
      <x:c r="G29" s="2" t="str">
        <x:v>Space Dogs</x:v>
      </x:c>
      <x:c r="H29" s="15" t="n">
        <x:v>140.7</x:v>
      </x:c>
      <x:c r="I29" s="2" t="str">
        <x:f>IF(E29&gt;H29,C29,IF(E29&lt;H29,F29,"Tie"))</x:f>
        <x:v>Mark</x:v>
      </x:c>
      <x:c r="J29" s="2" t="str">
        <x:f>IF(E29&gt;H29,F29,IF(E29&lt;H29,C29,"Tie"))</x:f>
        <x:v>Paul</x:v>
      </x:c>
      <x:c r="K29" s="2" t="n">
        <x:f>IF(E29=H29,1,0)</x:f>
        <x:v>0</x:v>
      </x:c>
      <x:c r="L29" s="2" t="str">
        <x:v>Mark / Paul</x:v>
      </x:c>
      <x:c r="M29" t="str"/>
      <x:c r="N29" t="str">
        <x:v>Supplied</x:v>
      </x:c>
      <x:c r="O29" t="str">
        <x:v>*</x:v>
      </x:c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98.15</x:v>
      </x:c>
      <x:c r="F30" s="2" t="str">
        <x:v>Ed</x:v>
      </x:c>
      <x:c r="G30" s="2" t="str">
        <x:v>Club Eroticas Finest</x:v>
      </x:c>
      <x:c r="H30" s="15" t="n">
        <x:v>128.25</x:v>
      </x:c>
      <x:c r="I30" s="2" t="str">
        <x:f>IF(E30&gt;H30,C30,IF(E30&lt;H30,F30,"Tie"))</x:f>
        <x:v>Ed</x:v>
      </x:c>
      <x:c r="J30" s="2" t="str">
        <x:f>IF(E30&gt;H30,F30,IF(E30&lt;H30,C30,"Tie"))</x:f>
        <x:v>Bruce</x:v>
      </x:c>
      <x:c r="K30" s="2" t="n">
        <x:f>IF(E30=H30,1,0)</x:f>
        <x:v>0</x:v>
      </x:c>
      <x:c r="L30" s="2" t="str">
        <x:v>Bruce / Ed</x:v>
      </x:c>
      <x:c r="M30" t="str"/>
      <x:c r="N30" t="str">
        <x:v>Supplied</x:v>
      </x:c>
      <x:c r="O30" t="str"/>
    </x:row>
    <x:row r="31" ht="22" customHeight="1">
      <x:c r="A31" s="2" t="n">
        <x:v>2</x:v>
      </x:c>
      <x:c r="B31" s="2" t="str">
        <x:v>Regular</x:v>
      </x:c>
      <x:c r="C31" s="2" t="str">
        <x:v>Craig</x:v>
      </x:c>
      <x:c r="D31" s="2" t="str">
        <x:v>The Ants Marching</x:v>
      </x:c>
      <x:c r="E31" s="15" t="n">
        <x:v>105.9</x:v>
      </x:c>
      <x:c r="F31" s="2" t="str">
        <x:v>Matt</x:v>
      </x:c>
      <x:c r="G31" s="2" t="str">
        <x:v>Mr.Montana</x:v>
      </x:c>
      <x:c r="H31" s="15" t="n">
        <x:v>147.05</x:v>
      </x:c>
      <x:c r="I31" s="2" t="str">
        <x:f>IF(E31&gt;H31,C31,IF(E31&lt;H31,F31,"Tie"))</x:f>
        <x:v>Matt</x:v>
      </x:c>
      <x:c r="J31" s="2" t="str">
        <x:f>IF(E31&gt;H31,F31,IF(E31&lt;H31,C31,"Tie"))</x:f>
        <x:v>Craig</x:v>
      </x:c>
      <x:c r="K31" s="2" t="n">
        <x:f>IF(E31=H31,1,0)</x:f>
        <x:v>0</x:v>
      </x:c>
      <x:c r="L31" s="2" t="str">
        <x:v>Craig / Matt</x:v>
      </x:c>
      <x:c r="M31" t="str"/>
      <x:c r="N31" t="str">
        <x:v>Supplied</x:v>
      </x:c>
      <x:c r="O31" t="str"/>
    </x:row>
    <x:row r="32" ht="22" customHeight="1">
      <x:c r="A32" s="2" t="n">
        <x:v>2</x:v>
      </x:c>
      <x:c r="B32" s="2" t="str">
        <x:v>Regular</x:v>
      </x:c>
      <x:c r="C32" s="2" t="str">
        <x:v>Dave</x:v>
      </x:c>
      <x:c r="D32" s="2" t="str">
        <x:v>2 Girls 1 Kupp</x:v>
      </x:c>
      <x:c r="E32" s="15" t="n">
        <x:v>154.15</x:v>
      </x:c>
      <x:c r="F32" s="2" t="str">
        <x:v>Nick</x:v>
      </x:c>
      <x:c r="G32" s="2" t="str">
        <x:v>Team Scoops</x:v>
      </x:c>
      <x:c r="H32" s="15" t="n">
        <x:v>104.65</x:v>
      </x:c>
      <x:c r="I32" s="2" t="str">
        <x:f>IF(E32&gt;H32,C32,IF(E32&lt;H32,F32,"Tie"))</x:f>
        <x:v>Dave</x:v>
      </x:c>
      <x:c r="J32" s="2" t="str">
        <x:f>IF(E32&gt;H32,F32,IF(E32&lt;H32,C32,"Tie"))</x:f>
        <x:v>Nick</x:v>
      </x:c>
      <x:c r="K32" s="2" t="n">
        <x:f>IF(E32=H32,1,0)</x:f>
        <x:v>0</x:v>
      </x:c>
      <x:c r="L32" s="2" t="str">
        <x:v>Dave / Nick</x:v>
      </x:c>
      <x:c r="M32" t="str"/>
      <x:c r="N32" t="str">
        <x:v>Supplied</x:v>
      </x:c>
      <x:c r="O32" t="str"/>
    </x:row>
    <x:row r="33" ht="22" customHeight="1">
      <x:c r="A33" s="2" t="n">
        <x:v>2</x:v>
      </x:c>
      <x:c r="B33" s="2" t="str">
        <x:v>Regular</x:v>
      </x:c>
      <x:c r="C33" s="2" t="str">
        <x:v>Frank</x:v>
      </x:c>
      <x:c r="D33" s="2" t="str">
        <x:v>Saquon Deez Nutz</x:v>
      </x:c>
      <x:c r="E33" s="15" t="n">
        <x:v>93.35</x:v>
      </x:c>
      <x:c r="F33" s="2" t="str">
        <x:v>Josh</x:v>
      </x:c>
      <x:c r="G33" s="2" t="str">
        <x:v>Laughing Bucket Hats</x:v>
      </x:c>
      <x:c r="H33" s="15" t="n">
        <x:v>111.5</x:v>
      </x:c>
      <x:c r="I33" s="2" t="str">
        <x:f>IF(E33&gt;H33,C33,IF(E33&lt;H33,F33,"Tie"))</x:f>
        <x:v>Josh</x:v>
      </x:c>
      <x:c r="J33" s="2" t="str">
        <x:f>IF(E33&gt;H33,F33,IF(E33&lt;H33,C33,"Tie"))</x:f>
        <x:v>Frank</x:v>
      </x:c>
      <x:c r="K33" s="2" t="n">
        <x:f>IF(E33=H33,1,0)</x:f>
        <x:v>0</x:v>
      </x:c>
      <x:c r="L33" s="2" t="str">
        <x:v>Frank / Josh</x:v>
      </x:c>
      <x:c r="M33" t="str"/>
      <x:c r="N33" t="str">
        <x:v>Supplied</x:v>
      </x:c>
      <x:c r="O33" t="str"/>
    </x:row>
    <x:row r="34" ht="22" customHeight="1">
      <x:c r="A34" s="2" t="n">
        <x:v>2</x:v>
      </x:c>
      <x:c r="B34" s="2" t="str">
        <x:v>Regular</x:v>
      </x:c>
      <x:c r="C34" s="2" t="str">
        <x:v>Mike</x:v>
      </x:c>
      <x:c r="D34" s="2" t="str">
        <x:v>Mikey bucket hats</x:v>
      </x:c>
      <x:c r="E34" s="15" t="n">
        <x:v>142.35</x:v>
      </x:c>
      <x:c r="F34" s="2" t="str">
        <x:v>Mark</x:v>
      </x:c>
      <x:c r="G34" s="2" t="str">
        <x:v>wacky waving arms</x:v>
      </x:c>
      <x:c r="H34" s="15" t="n">
        <x:v>127.9</x:v>
      </x:c>
      <x:c r="I34" s="2" t="str">
        <x:f>IF(E34&gt;H34,C34,IF(E34&lt;H34,F34,"Tie"))</x:f>
        <x:v>Mike</x:v>
      </x:c>
      <x:c r="J34" s="2" t="str">
        <x:f>IF(E34&gt;H34,F34,IF(E34&lt;H34,C34,"Tie"))</x:f>
        <x:v>Mark</x:v>
      </x:c>
      <x:c r="K34" s="2" t="n">
        <x:f>IF(E34=H34,1,0)</x:f>
        <x:v>0</x:v>
      </x:c>
      <x:c r="L34" s="2" t="str">
        <x:v>Mark / Mike</x:v>
      </x:c>
      <x:c r="M34" t="str"/>
      <x:c r="N34" t="str">
        <x:v>Supplied</x:v>
      </x:c>
      <x:c r="O34" t="str"/>
    </x:row>
    <x:row r="35" ht="22" customHeight="1">
      <x:c r="A35" s="2" t="n">
        <x:v>2</x:v>
      </x:c>
      <x:c r="B35" s="2" t="str">
        <x:v>Regular</x:v>
      </x:c>
      <x:c r="C35" s="2" t="str">
        <x:v>Poker Dude</x:v>
      </x:c>
      <x:c r="D35" s="2" t="str">
        <x:v>james's Team</x:v>
      </x:c>
      <x:c r="E35" s="15" t="n">
        <x:v>144.6</x:v>
      </x:c>
      <x:c r="F35" s="2" t="str">
        <x:v>Paul</x:v>
      </x:c>
      <x:c r="G35" s="2" t="str">
        <x:v>Space Dogs</x:v>
      </x:c>
      <x:c r="H35" s="15" t="n">
        <x:v>73.8</x:v>
      </x:c>
      <x:c r="I35" s="2" t="str">
        <x:f>IF(E35&gt;H35,C35,IF(E35&lt;H35,F35,"Tie"))</x:f>
        <x:v>Poker Dude</x:v>
      </x:c>
      <x:c r="J35" s="2" t="str">
        <x:f>IF(E35&gt;H35,F35,IF(E35&lt;H35,C35,"Tie"))</x:f>
        <x:v>Paul</x:v>
      </x:c>
      <x:c r="K35" s="2" t="n">
        <x:f>IF(E35=H35,1,0)</x:f>
        <x:v>0</x:v>
      </x:c>
      <x:c r="L35" s="2" t="str">
        <x:v>Paul / Poker Dude</x:v>
      </x:c>
      <x:c r="M35" t="str"/>
      <x:c r="N35" t="str">
        <x:v>Supplied</x:v>
      </x:c>
      <x:c r="O35" t="str"/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101.55</x:v>
      </x:c>
      <x:c r="F36" s="2" t="str">
        <x:v>Craig</x:v>
      </x:c>
      <x:c r="G36" s="2" t="str">
        <x:v>The Ants Marching</x:v>
      </x:c>
      <x:c r="H36" s="15" t="n">
        <x:v>90.25</x:v>
      </x:c>
      <x:c r="I36" s="2" t="str">
        <x:f>IF(E36&gt;H36,C36,IF(E36&lt;H36,F36,"Tie"))</x:f>
        <x:v>Bruce</x:v>
      </x:c>
      <x:c r="J36" s="2" t="str">
        <x:f>IF(E36&gt;H36,F36,IF(E36&lt;H36,C36,"Tie"))</x:f>
        <x:v>Craig</x:v>
      </x:c>
      <x:c r="K36" s="2" t="n">
        <x:f>IF(E36=H36,1,0)</x:f>
        <x:v>0</x:v>
      </x:c>
      <x:c r="L36" s="2" t="str">
        <x:v>Bruce / Craig</x:v>
      </x:c>
      <x:c r="M36" t="str"/>
      <x:c r="N36" t="str">
        <x:v>Supplied</x:v>
      </x:c>
      <x:c r="O36" t="str">
        <x:v>*</x:v>
      </x:c>
    </x:row>
    <x:row r="37" ht="22" customHeight="1">
      <x:c r="A37" s="2" t="n">
        <x:v>3</x:v>
      </x:c>
      <x:c r="B37" s="2" t="str">
        <x:v>Regular</x:v>
      </x:c>
      <x:c r="C37" s="2" t="str">
        <x:v>Dave</x:v>
      </x:c>
      <x:c r="D37" s="2" t="str">
        <x:v>2 Girls 1 Kupp</x:v>
      </x:c>
      <x:c r="E37" s="15" t="n">
        <x:v>120.1</x:v>
      </x:c>
      <x:c r="F37" s="2" t="str">
        <x:v>Poker Dude</x:v>
      </x:c>
      <x:c r="G37" s="2" t="str">
        <x:v>james's Team</x:v>
      </x:c>
      <x:c r="H37" s="15" t="n">
        <x:v>108.65</x:v>
      </x:c>
      <x:c r="I37" s="2" t="str">
        <x:f>IF(E37&gt;H37,C37,IF(E37&lt;H37,F37,"Tie"))</x:f>
        <x:v>Dave</x:v>
      </x:c>
      <x:c r="J37" s="2" t="str">
        <x:f>IF(E37&gt;H37,F37,IF(E37&lt;H37,C37,"Tie"))</x:f>
        <x:v>Poker Dude</x:v>
      </x:c>
      <x:c r="K37" s="2" t="n">
        <x:f>IF(E37=H37,1,0)</x:f>
        <x:v>0</x:v>
      </x:c>
      <x:c r="L37" s="2" t="str">
        <x:v>Dave / Poker Dude</x:v>
      </x:c>
      <x:c r="M37" t="str"/>
      <x:c r="N37" t="str">
        <x:v>Supplied</x:v>
      </x:c>
      <x:c r="O37" t="str">
        <x:v>*</x:v>
      </x:c>
    </x:row>
    <x:row r="38" ht="22" customHeight="1">
      <x:c r="A38" s="2" t="n">
        <x:v>3</x:v>
      </x:c>
      <x:c r="B38" s="2" t="str">
        <x:v>Regular</x:v>
      </x:c>
      <x:c r="C38" s="2" t="str">
        <x:v>Ed</x:v>
      </x:c>
      <x:c r="D38" s="2" t="str">
        <x:v>Club Eroticas Finest</x:v>
      </x:c>
      <x:c r="E38" s="15" t="n">
        <x:v>117.1</x:v>
      </x:c>
      <x:c r="F38" s="2" t="str">
        <x:v>Josh</x:v>
      </x:c>
      <x:c r="G38" s="2" t="str">
        <x:v>Laughing Bucket Hats</x:v>
      </x:c>
      <x:c r="H38" s="15" t="n">
        <x:v>105.75</x:v>
      </x:c>
      <x:c r="I38" s="2" t="str">
        <x:f>IF(E38&gt;H38,C38,IF(E38&lt;H38,F38,"Tie"))</x:f>
        <x:v>Ed</x:v>
      </x:c>
      <x:c r="J38" s="2" t="str">
        <x:f>IF(E38&gt;H38,F38,IF(E38&lt;H38,C38,"Tie"))</x:f>
        <x:v>Josh</x:v>
      </x:c>
      <x:c r="K38" s="2" t="n">
        <x:f>IF(E38=H38,1,0)</x:f>
        <x:v>0</x:v>
      </x:c>
      <x:c r="L38" s="2" t="str">
        <x:v>Ed / Josh</x:v>
      </x:c>
      <x:c r="M38" t="str"/>
      <x:c r="N38" t="str">
        <x:v>Supplied</x:v>
      </x:c>
      <x:c r="O38" t="str">
        <x:v>*</x:v>
      </x:c>
    </x:row>
    <x:row r="39" ht="22" customHeight="1">
      <x:c r="A39" s="2" t="n">
        <x:v>3</x:v>
      </x:c>
      <x:c r="B39" s="2" t="str">
        <x:v>Regular</x:v>
      </x:c>
      <x:c r="C39" s="2" t="str">
        <x:v>Frank</x:v>
      </x:c>
      <x:c r="D39" s="2" t="str">
        <x:v>Saquon Deez Nutz</x:v>
      </x:c>
      <x:c r="E39" s="15" t="n">
        <x:v>95.3</x:v>
      </x:c>
      <x:c r="F39" s="2" t="str">
        <x:v>Mark</x:v>
      </x:c>
      <x:c r="G39" s="2" t="str">
        <x:v>wacky waving arms</x:v>
      </x:c>
      <x:c r="H39" s="15" t="n">
        <x:v>94.3</x:v>
      </x:c>
      <x:c r="I39" s="2" t="str">
        <x:f>IF(E39&gt;H39,C39,IF(E39&lt;H39,F39,"Tie"))</x:f>
        <x:v>Frank</x:v>
      </x:c>
      <x:c r="J39" s="2" t="str">
        <x:f>IF(E39&gt;H39,F39,IF(E39&lt;H39,C39,"Tie"))</x:f>
        <x:v>Mark</x:v>
      </x:c>
      <x:c r="K39" s="2" t="n">
        <x:f>IF(E39=H39,1,0)</x:f>
        <x:v>0</x:v>
      </x:c>
      <x:c r="L39" s="2" t="str">
        <x:v>Frank / Mark</x:v>
      </x:c>
      <x:c r="M39" t="str"/>
      <x:c r="N39" t="str">
        <x:v>Supplied</x:v>
      </x:c>
      <x:c r="O39" t="str">
        <x:v>*</x:v>
      </x:c>
    </x:row>
    <x:row r="40" ht="22" customHeight="1">
      <x:c r="A40" s="2" t="n">
        <x:v>3</x:v>
      </x:c>
      <x:c r="B40" s="2" t="str">
        <x:v>Regular</x:v>
      </x:c>
      <x:c r="C40" s="2" t="str">
        <x:v>Mike</x:v>
      </x:c>
      <x:c r="D40" s="2" t="str">
        <x:v>Mikey bucket hats</x:v>
      </x:c>
      <x:c r="E40" s="15" t="n">
        <x:v>158.8</x:v>
      </x:c>
      <x:c r="F40" s="2" t="str">
        <x:v>Nick</x:v>
      </x:c>
      <x:c r="G40" s="2" t="str">
        <x:v>Team Scoops</x:v>
      </x:c>
      <x:c r="H40" s="15" t="n">
        <x:v>123.5</x:v>
      </x:c>
      <x:c r="I40" s="2" t="str">
        <x:f>IF(E40&gt;H40,C40,IF(E40&lt;H40,F40,"Tie"))</x:f>
        <x:v>Mike</x:v>
      </x:c>
      <x:c r="J40" s="2" t="str">
        <x:f>IF(E40&gt;H40,F40,IF(E40&lt;H40,C40,"Tie"))</x:f>
        <x:v>Nick</x:v>
      </x:c>
      <x:c r="K40" s="2" t="n">
        <x:f>IF(E40=H40,1,0)</x:f>
        <x:v>0</x:v>
      </x:c>
      <x:c r="L40" s="2" t="str">
        <x:v>Mike / Nick</x:v>
      </x:c>
      <x:c r="M40" t="str"/>
      <x:c r="N40" t="str">
        <x:v>Supplied</x:v>
      </x:c>
      <x:c r="O40" t="str">
        <x:v>*</x:v>
      </x:c>
    </x:row>
    <x:row r="41" ht="22" customHeight="1">
      <x:c r="A41" s="2" t="n">
        <x:v>3</x:v>
      </x:c>
      <x:c r="B41" s="2" t="str">
        <x:v>Regular</x:v>
      </x:c>
      <x:c r="C41" s="2" t="str">
        <x:v>Paul</x:v>
      </x:c>
      <x:c r="D41" s="2" t="str">
        <x:v>Space Dogs</x:v>
      </x:c>
      <x:c r="E41" s="15" t="n">
        <x:v>120</x:v>
      </x:c>
      <x:c r="F41" s="2" t="str">
        <x:v>Matt</x:v>
      </x:c>
      <x:c r="G41" s="2" t="str">
        <x:v>Mr.Montana</x:v>
      </x:c>
      <x:c r="H41" s="15" t="n">
        <x:v>113.1</x:v>
      </x:c>
      <x:c r="I41" s="2" t="str">
        <x:f>IF(E41&gt;H41,C41,IF(E41&lt;H41,F41,"Tie"))</x:f>
        <x:v>Paul</x:v>
      </x:c>
      <x:c r="J41" s="2" t="str">
        <x:f>IF(E41&gt;H41,F41,IF(E41&lt;H41,C41,"Tie"))</x:f>
        <x:v>Matt</x:v>
      </x:c>
      <x:c r="K41" s="2" t="n">
        <x:f>IF(E41=H41,1,0)</x:f>
        <x:v>0</x:v>
      </x:c>
      <x:c r="L41" s="2" t="str">
        <x:v>Matt / Paul</x:v>
      </x:c>
      <x:c r="M41" t="str"/>
      <x:c r="N41" t="str">
        <x:v>Supplied</x:v>
      </x:c>
      <x:c r="O41" t="str">
        <x:v>*</x:v>
      </x:c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149.3</x:v>
      </x:c>
      <x:c r="F42" s="2" t="str">
        <x:v>Frank</x:v>
      </x:c>
      <x:c r="G42" s="2" t="str">
        <x:v>Saquon Deez Nutz</x:v>
      </x:c>
      <x:c r="H42" s="15" t="n">
        <x:v>100.15</x:v>
      </x:c>
      <x:c r="I42" s="2" t="str">
        <x:f>IF(E42&gt;H42,C42,IF(E42&lt;H42,F42,"Tie"))</x:f>
        <x:v>Bruce</x:v>
      </x:c>
      <x:c r="J42" s="2" t="str">
        <x:f>IF(E42&gt;H42,F42,IF(E42&lt;H42,C42,"Tie"))</x:f>
        <x:v>Frank</x:v>
      </x:c>
      <x:c r="K42" s="2" t="n">
        <x:f>IF(E42=H42,1,0)</x:f>
        <x:v>0</x:v>
      </x:c>
      <x:c r="L42" s="2" t="str">
        <x:v>Bruce / Frank</x:v>
      </x:c>
      <x:c r="M42" t="str"/>
      <x:c r="N42" t="str">
        <x:v>Supplied</x:v>
      </x:c>
      <x:c r="O42" t="str"/>
    </x:row>
    <x:row r="43" ht="22" customHeight="1">
      <x:c r="A43" s="2" t="n">
        <x:v>4</x:v>
      </x:c>
      <x:c r="B43" s="2" t="str">
        <x:v>Regular</x:v>
      </x:c>
      <x:c r="C43" s="2" t="str">
        <x:v>Craig</x:v>
      </x:c>
      <x:c r="D43" s="2" t="str">
        <x:v>The Ants Marching</x:v>
      </x:c>
      <x:c r="E43" s="15" t="n">
        <x:v>127.9</x:v>
      </x:c>
      <x:c r="F43" s="2" t="str">
        <x:v>Josh</x:v>
      </x:c>
      <x:c r="G43" s="2" t="str">
        <x:v>Laughing Bucket Hats</x:v>
      </x:c>
      <x:c r="H43" s="15" t="n">
        <x:v>141.95</x:v>
      </x:c>
      <x:c r="I43" s="2" t="str">
        <x:f>IF(E43&gt;H43,C43,IF(E43&lt;H43,F43,"Tie"))</x:f>
        <x:v>Josh</x:v>
      </x:c>
      <x:c r="J43" s="2" t="str">
        <x:f>IF(E43&gt;H43,F43,IF(E43&lt;H43,C43,"Tie"))</x:f>
        <x:v>Craig</x:v>
      </x:c>
      <x:c r="K43" s="2" t="n">
        <x:f>IF(E43=H43,1,0)</x:f>
        <x:v>0</x:v>
      </x:c>
      <x:c r="L43" s="2" t="str">
        <x:v>Craig / Josh</x:v>
      </x:c>
      <x:c r="M43" t="str"/>
      <x:c r="N43" t="str">
        <x:v>Supplied</x:v>
      </x:c>
      <x:c r="O43" t="str"/>
    </x:row>
    <x:row r="44" ht="22" customHeight="1">
      <x:c r="A44" s="2" t="n">
        <x:v>4</x:v>
      </x:c>
      <x:c r="B44" s="2" t="str">
        <x:v>Regular</x:v>
      </x:c>
      <x:c r="C44" s="2" t="str">
        <x:v>Dave</x:v>
      </x:c>
      <x:c r="D44" s="2" t="str">
        <x:v>2 Girls 1 Kupp</x:v>
      </x:c>
      <x:c r="E44" s="15" t="n">
        <x:v>122.85</x:v>
      </x:c>
      <x:c r="F44" s="2" t="str">
        <x:v>Mark</x:v>
      </x:c>
      <x:c r="G44" s="2" t="str">
        <x:v>wacky waving arms</x:v>
      </x:c>
      <x:c r="H44" s="15" t="n">
        <x:v>113.2</x:v>
      </x:c>
      <x:c r="I44" s="2" t="str">
        <x:f>IF(E44&gt;H44,C44,IF(E44&lt;H44,F44,"Tie"))</x:f>
        <x:v>Dave</x:v>
      </x:c>
      <x:c r="J44" s="2" t="str">
        <x:f>IF(E44&gt;H44,F44,IF(E44&lt;H44,C44,"Tie"))</x:f>
        <x:v>Mark</x:v>
      </x:c>
      <x:c r="K44" s="2" t="n">
        <x:f>IF(E44=H44,1,0)</x:f>
        <x:v>0</x:v>
      </x:c>
      <x:c r="L44" s="2" t="str">
        <x:v>Dave / Mark</x:v>
      </x:c>
      <x:c r="M44" t="str"/>
      <x:c r="N44" t="str">
        <x:v>Supplied</x:v>
      </x:c>
      <x:c r="O44" t="str"/>
    </x:row>
    <x:row r="45" ht="22" customHeight="1">
      <x:c r="A45" s="2" t="n">
        <x:v>4</x:v>
      </x:c>
      <x:c r="B45" s="2" t="str">
        <x:v>Regular</x:v>
      </x:c>
      <x:c r="C45" s="2" t="str">
        <x:v>Ed</x:v>
      </x:c>
      <x:c r="D45" s="2" t="str">
        <x:v>Club Eroticas Finest</x:v>
      </x:c>
      <x:c r="E45" s="15" t="n">
        <x:v>149.45</x:v>
      </x:c>
      <x:c r="F45" s="2" t="str">
        <x:v>Paul</x:v>
      </x:c>
      <x:c r="G45" s="2" t="str">
        <x:v>Space Dogs</x:v>
      </x:c>
      <x:c r="H45" s="15" t="n">
        <x:v>115.55</x:v>
      </x:c>
      <x:c r="I45" s="2" t="str">
        <x:f>IF(E45&gt;H45,C45,IF(E45&lt;H45,F45,"Tie"))</x:f>
        <x:v>Ed</x:v>
      </x:c>
      <x:c r="J45" s="2" t="str">
        <x:f>IF(E45&gt;H45,F45,IF(E45&lt;H45,C45,"Tie"))</x:f>
        <x:v>Paul</x:v>
      </x:c>
      <x:c r="K45" s="2" t="n">
        <x:f>IF(E45=H45,1,0)</x:f>
        <x:v>0</x:v>
      </x:c>
      <x:c r="L45" s="2" t="str">
        <x:v>Ed / Paul</x:v>
      </x:c>
      <x:c r="M45" t="str"/>
      <x:c r="N45" t="str">
        <x:v>Supplied</x:v>
      </x:c>
      <x:c r="O45" t="str"/>
    </x:row>
    <x:row r="46" ht="22" customHeight="1">
      <x:c r="A46" s="2" t="n">
        <x:v>4</x:v>
      </x:c>
      <x:c r="B46" s="2" t="str">
        <x:v>Regular</x:v>
      </x:c>
      <x:c r="C46" s="2" t="str">
        <x:v>Mike</x:v>
      </x:c>
      <x:c r="D46" s="2" t="str">
        <x:v>Mikey bucket hats</x:v>
      </x:c>
      <x:c r="E46" s="15" t="n">
        <x:v>125.5</x:v>
      </x:c>
      <x:c r="F46" s="2" t="str">
        <x:v>Poker Dude</x:v>
      </x:c>
      <x:c r="G46" s="2" t="str">
        <x:v>james's Team</x:v>
      </x:c>
      <x:c r="H46" s="15" t="n">
        <x:v>82.2</x:v>
      </x:c>
      <x:c r="I46" s="2" t="str">
        <x:f>IF(E46&gt;H46,C46,IF(E46&lt;H46,F46,"Tie"))</x:f>
        <x:v>Mike</x:v>
      </x:c>
      <x:c r="J46" s="2" t="str">
        <x:f>IF(E46&gt;H46,F46,IF(E46&lt;H46,C46,"Tie"))</x:f>
        <x:v>Poker Dude</x:v>
      </x:c>
      <x:c r="K46" s="2" t="n">
        <x:f>IF(E46=H46,1,0)</x:f>
        <x:v>0</x:v>
      </x:c>
      <x:c r="L46" s="2" t="str">
        <x:v>Mike / Poker Dude</x:v>
      </x:c>
      <x:c r="M46" t="str"/>
      <x:c r="N46" t="str">
        <x:v>Supplied</x:v>
      </x:c>
      <x:c r="O46" t="str"/>
    </x:row>
    <x:row r="47" ht="22" customHeight="1">
      <x:c r="A47" s="2" t="n">
        <x:v>4</x:v>
      </x:c>
      <x:c r="B47" s="2" t="str">
        <x:v>Regular</x:v>
      </x:c>
      <x:c r="C47" s="2" t="str">
        <x:v>Nick</x:v>
      </x:c>
      <x:c r="D47" s="2" t="str">
        <x:v>Team Scoops</x:v>
      </x:c>
      <x:c r="E47" s="15" t="n">
        <x:v>178</x:v>
      </x:c>
      <x:c r="F47" s="2" t="str">
        <x:v>Matt</x:v>
      </x:c>
      <x:c r="G47" s="2" t="str">
        <x:v>Mr.Montana</x:v>
      </x:c>
      <x:c r="H47" s="15" t="n">
        <x:v>91.95</x:v>
      </x:c>
      <x:c r="I47" s="2" t="str">
        <x:f>IF(E47&gt;H47,C47,IF(E47&lt;H47,F47,"Tie"))</x:f>
        <x:v>Nick</x:v>
      </x:c>
      <x:c r="J47" s="2" t="str">
        <x:f>IF(E47&gt;H47,F47,IF(E47&lt;H47,C47,"Tie"))</x:f>
        <x:v>Matt</x:v>
      </x:c>
      <x:c r="K47" s="2" t="n">
        <x:f>IF(E47=H47,1,0)</x:f>
        <x:v>0</x:v>
      </x:c>
      <x:c r="L47" s="2" t="str">
        <x:v>Matt / Nick</x:v>
      </x:c>
      <x:c r="M47" t="str"/>
      <x:c r="N47" t="str">
        <x:v>Supplied</x:v>
      </x:c>
      <x:c r="O47" t="str"/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138.85</x:v>
      </x:c>
      <x:c r="F48" s="2" t="str">
        <x:v>Dave</x:v>
      </x:c>
      <x:c r="G48" s="2" t="str">
        <x:v>2 Girls 1 Kupp</x:v>
      </x:c>
      <x:c r="H48" s="15" t="n">
        <x:v>133.7</x:v>
      </x:c>
      <x:c r="I48" s="2" t="str">
        <x:f>IF(E48&gt;H48,C48,IF(E48&lt;H48,F48,"Tie"))</x:f>
        <x:v>Bruce</x:v>
      </x:c>
      <x:c r="J48" s="2" t="str">
        <x:f>IF(E48&gt;H48,F48,IF(E48&lt;H48,C48,"Tie"))</x:f>
        <x:v>Dave</x:v>
      </x:c>
      <x:c r="K48" s="2" t="n">
        <x:f>IF(E48=H48,1,0)</x:f>
        <x:v>0</x:v>
      </x:c>
      <x:c r="L48" s="2" t="str">
        <x:v>Bruce / Dave</x:v>
      </x:c>
      <x:c r="M48" t="str"/>
      <x:c r="N48" t="str">
        <x:v>Supplied</x:v>
      </x:c>
      <x:c r="O48" t="str">
        <x:v>*</x:v>
      </x:c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120.75</x:v>
      </x:c>
      <x:c r="F49" s="2" t="str">
        <x:v>Poker Dude</x:v>
      </x:c>
      <x:c r="G49" s="2" t="str">
        <x:v>james's Team</x:v>
      </x:c>
      <x:c r="H49" s="15" t="n">
        <x:v>165.75</x:v>
      </x:c>
      <x:c r="I49" s="2" t="str">
        <x:f>IF(E49&gt;H49,C49,IF(E49&lt;H49,F49,"Tie"))</x:f>
        <x:v>Poker Dude</x:v>
      </x:c>
      <x:c r="J49" s="2" t="str">
        <x:f>IF(E49&gt;H49,F49,IF(E49&lt;H49,C49,"Tie"))</x:f>
        <x:v>Craig</x:v>
      </x:c>
      <x:c r="K49" s="2" t="n">
        <x:f>IF(E49=H49,1,0)</x:f>
        <x:v>0</x:v>
      </x:c>
      <x:c r="L49" s="2" t="str">
        <x:v>Craig / Poker Dude</x:v>
      </x:c>
      <x:c r="M49" t="str"/>
      <x:c r="N49" t="str">
        <x:v>Supplied</x:v>
      </x:c>
      <x:c r="O49" t="str">
        <x:v>*</x:v>
      </x:c>
    </x:row>
    <x:row r="50" ht="22" customHeight="1">
      <x:c r="A50" s="2" t="n">
        <x:v>5</x:v>
      </x:c>
      <x:c r="B50" s="2" t="str">
        <x:v>Regular</x:v>
      </x:c>
      <x:c r="C50" s="2" t="str">
        <x:v>Ed</x:v>
      </x:c>
      <x:c r="D50" s="2" t="str">
        <x:v>Club Eroticas Finest</x:v>
      </x:c>
      <x:c r="E50" s="15" t="n">
        <x:v>144.1</x:v>
      </x:c>
      <x:c r="F50" s="2" t="str">
        <x:v>Mike</x:v>
      </x:c>
      <x:c r="G50" s="2" t="str">
        <x:v>Mikey bucket hats</x:v>
      </x:c>
      <x:c r="H50" s="15" t="n">
        <x:v>141.45</x:v>
      </x:c>
      <x:c r="I50" s="2" t="str">
        <x:f>IF(E50&gt;H50,C50,IF(E50&lt;H50,F50,"Tie"))</x:f>
        <x:v>Ed</x:v>
      </x:c>
      <x:c r="J50" s="2" t="str">
        <x:f>IF(E50&gt;H50,F50,IF(E50&lt;H50,C50,"Tie"))</x:f>
        <x:v>Mike</x:v>
      </x:c>
      <x:c r="K50" s="2" t="n">
        <x:f>IF(E50=H50,1,0)</x:f>
        <x:v>0</x:v>
      </x:c>
      <x:c r="L50" s="2" t="str">
        <x:v>Ed / Mike</x:v>
      </x:c>
      <x:c r="M50" t="str"/>
      <x:c r="N50" t="str">
        <x:v>Supplied</x:v>
      </x:c>
      <x:c r="O50" t="str">
        <x:v>*</x:v>
      </x:c>
    </x:row>
    <x:row r="51" ht="22" customHeight="1">
      <x:c r="A51" s="2" t="n">
        <x:v>5</x:v>
      </x:c>
      <x:c r="B51" s="2" t="str">
        <x:v>Regular</x:v>
      </x:c>
      <x:c r="C51" s="2" t="str">
        <x:v>Frank</x:v>
      </x:c>
      <x:c r="D51" s="2" t="str">
        <x:v>Saquon Deez Nutz</x:v>
      </x:c>
      <x:c r="E51" s="15" t="n">
        <x:v>90.6</x:v>
      </x:c>
      <x:c r="F51" s="2" t="str">
        <x:v>Paul</x:v>
      </x:c>
      <x:c r="G51" s="2" t="str">
        <x:v>Space Dogs</x:v>
      </x:c>
      <x:c r="H51" s="15" t="n">
        <x:v>139.7</x:v>
      </x:c>
      <x:c r="I51" s="2" t="str">
        <x:f>IF(E51&gt;H51,C51,IF(E51&lt;H51,F51,"Tie"))</x:f>
        <x:v>Paul</x:v>
      </x:c>
      <x:c r="J51" s="2" t="str">
        <x:f>IF(E51&gt;H51,F51,IF(E51&lt;H51,C51,"Tie"))</x:f>
        <x:v>Frank</x:v>
      </x:c>
      <x:c r="K51" s="2" t="n">
        <x:f>IF(E51=H51,1,0)</x:f>
        <x:v>0</x:v>
      </x:c>
      <x:c r="L51" s="2" t="str">
        <x:v>Frank / Paul</x:v>
      </x:c>
      <x:c r="M51" t="str"/>
      <x:c r="N51" t="str">
        <x:v>Supplied</x:v>
      </x:c>
      <x:c r="O51" t="str">
        <x:v>*</x:v>
      </x:c>
    </x:row>
    <x:row r="52" ht="22" customHeight="1">
      <x:c r="A52" s="2" t="n">
        <x:v>5</x:v>
      </x:c>
      <x:c r="B52" s="2" t="str">
        <x:v>Regular</x:v>
      </x:c>
      <x:c r="C52" s="2" t="str">
        <x:v>Josh</x:v>
      </x:c>
      <x:c r="D52" s="2" t="str">
        <x:v>Laughing Bucket Hats</x:v>
      </x:c>
      <x:c r="E52" s="15" t="n">
        <x:v>141.95</x:v>
      </x:c>
      <x:c r="F52" s="2" t="str">
        <x:v>Nick</x:v>
      </x:c>
      <x:c r="G52" s="2" t="str">
        <x:v>Team Scoops</x:v>
      </x:c>
      <x:c r="H52" s="15" t="n">
        <x:v>165.9</x:v>
      </x:c>
      <x:c r="I52" s="2" t="str">
        <x:f>IF(E52&gt;H52,C52,IF(E52&lt;H52,F52,"Tie"))</x:f>
        <x:v>Nick</x:v>
      </x:c>
      <x:c r="J52" s="2" t="str">
        <x:f>IF(E52&gt;H52,F52,IF(E52&lt;H52,C52,"Tie"))</x:f>
        <x:v>Josh</x:v>
      </x:c>
      <x:c r="K52" s="2" t="n">
        <x:f>IF(E52=H52,1,0)</x:f>
        <x:v>0</x:v>
      </x:c>
      <x:c r="L52" s="2" t="str">
        <x:v>Josh / Nick</x:v>
      </x:c>
      <x:c r="M52" t="str"/>
      <x:c r="N52" t="str">
        <x:v>Supplied</x:v>
      </x:c>
      <x:c r="O52" t="str">
        <x:v>*</x:v>
      </x:c>
    </x:row>
    <x:row r="53" ht="22" customHeight="1">
      <x:c r="A53" s="2" t="n">
        <x:v>5</x:v>
      </x:c>
      <x:c r="B53" s="2" t="str">
        <x:v>Regular</x:v>
      </x:c>
      <x:c r="C53" s="2" t="str">
        <x:v>Mark</x:v>
      </x:c>
      <x:c r="D53" s="2" t="str">
        <x:v>wacky waving arms</x:v>
      </x:c>
      <x:c r="E53" s="15" t="n">
        <x:v>64</x:v>
      </x:c>
      <x:c r="F53" s="2" t="str">
        <x:v>Matt</x:v>
      </x:c>
      <x:c r="G53" s="2" t="str">
        <x:v>Mr.Montana</x:v>
      </x:c>
      <x:c r="H53" s="15" t="n">
        <x:v>99.3</x:v>
      </x:c>
      <x:c r="I53" s="2" t="str">
        <x:f>IF(E53&gt;H53,C53,IF(E53&lt;H53,F53,"Tie"))</x:f>
        <x:v>Matt</x:v>
      </x:c>
      <x:c r="J53" s="2" t="str">
        <x:f>IF(E53&gt;H53,F53,IF(E53&lt;H53,C53,"Tie"))</x:f>
        <x:v>Mark</x:v>
      </x:c>
      <x:c r="K53" s="2" t="n">
        <x:f>IF(E53=H53,1,0)</x:f>
        <x:v>0</x:v>
      </x:c>
      <x:c r="L53" s="2" t="str">
        <x:v>Mark / Matt</x:v>
      </x:c>
      <x:c r="M53" t="str"/>
      <x:c r="N53" t="str">
        <x:v>Supplied</x:v>
      </x:c>
      <x:c r="O53" t="str">
        <x:v>*</x:v>
      </x:c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99.8</x:v>
      </x:c>
      <x:c r="F54" s="2" t="str">
        <x:v>Nick</x:v>
      </x:c>
      <x:c r="G54" s="2" t="str">
        <x:v>Team Scoops</x:v>
      </x:c>
      <x:c r="H54" s="15" t="n">
        <x:v>98.05</x:v>
      </x:c>
      <x:c r="I54" s="2" t="str">
        <x:f>IF(E54&gt;H54,C54,IF(E54&lt;H54,F54,"Tie"))</x:f>
        <x:v>Bruce</x:v>
      </x:c>
      <x:c r="J54" s="2" t="str">
        <x:f>IF(E54&gt;H54,F54,IF(E54&lt;H54,C54,"Tie"))</x:f>
        <x:v>Nick</x:v>
      </x:c>
      <x:c r="K54" s="2" t="n">
        <x:f>IF(E54=H54,1,0)</x:f>
        <x:v>0</x:v>
      </x:c>
      <x:c r="L54" s="2" t="str">
        <x:v>Bruce / Nick</x:v>
      </x:c>
      <x:c r="M54" t="str"/>
      <x:c r="N54" t="str">
        <x:v>Supplied</x:v>
      </x:c>
      <x:c r="O54" t="str"/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80.9</x:v>
      </x:c>
      <x:c r="F55" s="2" t="str">
        <x:v>Ed</x:v>
      </x:c>
      <x:c r="G55" s="2" t="str">
        <x:v>Club Eroticas Finest</x:v>
      </x:c>
      <x:c r="H55" s="15" t="n">
        <x:v>138.4</x:v>
      </x:c>
      <x:c r="I55" s="2" t="str">
        <x:f>IF(E55&gt;H55,C55,IF(E55&lt;H55,F55,"Tie"))</x:f>
        <x:v>Ed</x:v>
      </x:c>
      <x:c r="J55" s="2" t="str">
        <x:f>IF(E55&gt;H55,F55,IF(E55&lt;H55,C55,"Tie"))</x:f>
        <x:v>Craig</x:v>
      </x:c>
      <x:c r="K55" s="2" t="n">
        <x:f>IF(E55=H55,1,0)</x:f>
        <x:v>0</x:v>
      </x:c>
      <x:c r="L55" s="2" t="str">
        <x:v>Craig / Ed</x:v>
      </x:c>
      <x:c r="M55" t="str"/>
      <x:c r="N55" t="str">
        <x:v>Supplied</x:v>
      </x:c>
      <x:c r="O55" t="str"/>
    </x:row>
    <x:row r="56" ht="22" customHeight="1">
      <x:c r="A56" s="2" t="n">
        <x:v>6</x:v>
      </x:c>
      <x:c r="B56" s="2" t="str">
        <x:v>Regular</x:v>
      </x:c>
      <x:c r="C56" s="2" t="str">
        <x:v>Dave</x:v>
      </x:c>
      <x:c r="D56" s="2" t="str">
        <x:v>2 Girls 1 Kupp</x:v>
      </x:c>
      <x:c r="E56" s="15" t="n">
        <x:v>126.9</x:v>
      </x:c>
      <x:c r="F56" s="2" t="str">
        <x:v>Paul</x:v>
      </x:c>
      <x:c r="G56" s="2" t="str">
        <x:v>Space Dogs</x:v>
      </x:c>
      <x:c r="H56" s="15" t="n">
        <x:v>152.45</x:v>
      </x:c>
      <x:c r="I56" s="2" t="str">
        <x:f>IF(E56&gt;H56,C56,IF(E56&lt;H56,F56,"Tie"))</x:f>
        <x:v>Paul</x:v>
      </x:c>
      <x:c r="J56" s="2" t="str">
        <x:f>IF(E56&gt;H56,F56,IF(E56&lt;H56,C56,"Tie"))</x:f>
        <x:v>Dave</x:v>
      </x:c>
      <x:c r="K56" s="2" t="n">
        <x:f>IF(E56=H56,1,0)</x:f>
        <x:v>0</x:v>
      </x:c>
      <x:c r="L56" s="2" t="str">
        <x:v>Dave / Paul</x:v>
      </x:c>
      <x:c r="M56" t="str"/>
      <x:c r="N56" t="str">
        <x:v>Supplied</x:v>
      </x:c>
      <x:c r="O56" t="str"/>
    </x:row>
    <x:row r="57" ht="22" customHeight="1">
      <x:c r="A57" s="2" t="n">
        <x:v>6</x:v>
      </x:c>
      <x:c r="B57" s="2" t="str">
        <x:v>Regular</x:v>
      </x:c>
      <x:c r="C57" s="2" t="str">
        <x:v>Frank</x:v>
      </x:c>
      <x:c r="D57" s="2" t="str">
        <x:v>Saquon Deez Nutz</x:v>
      </x:c>
      <x:c r="E57" s="15" t="n">
        <x:v>120.8</x:v>
      </x:c>
      <x:c r="F57" s="2" t="str">
        <x:v>Mike</x:v>
      </x:c>
      <x:c r="G57" s="2" t="str">
        <x:v>Mikey bucket hats</x:v>
      </x:c>
      <x:c r="H57" s="15" t="n">
        <x:v>80.45</x:v>
      </x:c>
      <x:c r="I57" s="2" t="str">
        <x:f>IF(E57&gt;H57,C57,IF(E57&lt;H57,F57,"Tie"))</x:f>
        <x:v>Frank</x:v>
      </x:c>
      <x:c r="J57" s="2" t="str">
        <x:f>IF(E57&gt;H57,F57,IF(E57&lt;H57,C57,"Tie"))</x:f>
        <x:v>Mike</x:v>
      </x:c>
      <x:c r="K57" s="2" t="n">
        <x:f>IF(E57=H57,1,0)</x:f>
        <x:v>0</x:v>
      </x:c>
      <x:c r="L57" s="2" t="str">
        <x:v>Frank / Mike</x:v>
      </x:c>
      <x:c r="M57" t="str"/>
      <x:c r="N57" t="str">
        <x:v>Supplied</x:v>
      </x:c>
      <x:c r="O57" t="str"/>
    </x:row>
    <x:row r="58" ht="22" customHeight="1">
      <x:c r="A58" s="2" t="n">
        <x:v>6</x:v>
      </x:c>
      <x:c r="B58" s="2" t="str">
        <x:v>Regular</x:v>
      </x:c>
      <x:c r="C58" s="2" t="str">
        <x:v>Josh</x:v>
      </x:c>
      <x:c r="D58" s="2" t="str">
        <x:v>Laughing Bucket Hats</x:v>
      </x:c>
      <x:c r="E58" s="15" t="n">
        <x:v>123.05</x:v>
      </x:c>
      <x:c r="F58" s="2" t="str">
        <x:v>Matt</x:v>
      </x:c>
      <x:c r="G58" s="2" t="str">
        <x:v>Mr.Montana</x:v>
      </x:c>
      <x:c r="H58" s="15" t="n">
        <x:v>120.95</x:v>
      </x:c>
      <x:c r="I58" s="2" t="str">
        <x:f>IF(E58&gt;H58,C58,IF(E58&lt;H58,F58,"Tie"))</x:f>
        <x:v>Josh</x:v>
      </x:c>
      <x:c r="J58" s="2" t="str">
        <x:f>IF(E58&gt;H58,F58,IF(E58&lt;H58,C58,"Tie"))</x:f>
        <x:v>Matt</x:v>
      </x:c>
      <x:c r="K58" s="2" t="n">
        <x:f>IF(E58=H58,1,0)</x:f>
        <x:v>0</x:v>
      </x:c>
      <x:c r="L58" s="2" t="str">
        <x:v>Josh / Matt</x:v>
      </x:c>
      <x:c r="M58" t="str"/>
      <x:c r="N58" t="str">
        <x:v>Supplied</x:v>
      </x:c>
      <x:c r="O58" t="str"/>
    </x:row>
    <x:row r="59" ht="22" customHeight="1">
      <x:c r="A59" s="2" t="n">
        <x:v>6</x:v>
      </x:c>
      <x:c r="B59" s="2" t="str">
        <x:v>Regular</x:v>
      </x:c>
      <x:c r="C59" s="2" t="str">
        <x:v>Mark</x:v>
      </x:c>
      <x:c r="D59" s="2" t="str">
        <x:v>wacky waving arms</x:v>
      </x:c>
      <x:c r="E59" s="15" t="n">
        <x:v>99.2</x:v>
      </x:c>
      <x:c r="F59" s="2" t="str">
        <x:v>Poker Dude</x:v>
      </x:c>
      <x:c r="G59" s="2" t="str">
        <x:v>james's Team</x:v>
      </x:c>
      <x:c r="H59" s="15" t="n">
        <x:v>117.25</x:v>
      </x:c>
      <x:c r="I59" s="2" t="str">
        <x:f>IF(E59&gt;H59,C59,IF(E59&lt;H59,F59,"Tie"))</x:f>
        <x:v>Poker Dude</x:v>
      </x:c>
      <x:c r="J59" s="2" t="str">
        <x:f>IF(E59&gt;H59,F59,IF(E59&lt;H59,C59,"Tie"))</x:f>
        <x:v>Mark</x:v>
      </x:c>
      <x:c r="K59" s="2" t="n">
        <x:f>IF(E59=H59,1,0)</x:f>
        <x:v>0</x:v>
      </x:c>
      <x:c r="L59" s="2" t="str">
        <x:v>Mark / Poker Dude</x:v>
      </x:c>
      <x:c r="M59" t="str"/>
      <x:c r="N59" t="str">
        <x:v>Supplied</x:v>
      </x:c>
      <x:c r="O59" t="str"/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165.55</x:v>
      </x:c>
      <x:c r="F60" s="2" t="str">
        <x:v>Josh</x:v>
      </x:c>
      <x:c r="G60" s="2" t="str">
        <x:v>Laughing Bucket Hats</x:v>
      </x:c>
      <x:c r="H60" s="15" t="n">
        <x:v>79.9</x:v>
      </x:c>
      <x:c r="I60" s="2" t="str">
        <x:f>IF(E60&gt;H60,C60,IF(E60&lt;H60,F60,"Tie"))</x:f>
        <x:v>Bruce</x:v>
      </x:c>
      <x:c r="J60" s="2" t="str">
        <x:f>IF(E60&gt;H60,F60,IF(E60&lt;H60,C60,"Tie"))</x:f>
        <x:v>Josh</x:v>
      </x:c>
      <x:c r="K60" s="2" t="n">
        <x:f>IF(E60=H60,1,0)</x:f>
        <x:v>0</x:v>
      </x:c>
      <x:c r="L60" s="2" t="str">
        <x:v>Bruce / Josh</x:v>
      </x:c>
      <x:c r="M60" t="str"/>
      <x:c r="N60" t="str">
        <x:v>Supplied</x:v>
      </x:c>
      <x:c r="O60" t="str"/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112.95</x:v>
      </x:c>
      <x:c r="F61" s="2" t="str">
        <x:v>Mark</x:v>
      </x:c>
      <x:c r="G61" s="2" t="str">
        <x:v>wacky waving arms</x:v>
      </x:c>
      <x:c r="H61" s="15" t="n">
        <x:v>104</x:v>
      </x:c>
      <x:c r="I61" s="2" t="str">
        <x:f>IF(E61&gt;H61,C61,IF(E61&lt;H61,F61,"Tie"))</x:f>
        <x:v>Craig</x:v>
      </x:c>
      <x:c r="J61" s="2" t="str">
        <x:f>IF(E61&gt;H61,F61,IF(E61&lt;H61,C61,"Tie"))</x:f>
        <x:v>Mark</x:v>
      </x:c>
      <x:c r="K61" s="2" t="n">
        <x:f>IF(E61=H61,1,0)</x:f>
        <x:v>0</x:v>
      </x:c>
      <x:c r="L61" s="2" t="str">
        <x:v>Craig / Mark</x:v>
      </x:c>
      <x:c r="M61" t="str"/>
      <x:c r="N61" t="str">
        <x:v>Supplied</x:v>
      </x:c>
      <x:c r="O61" t="str"/>
    </x:row>
    <x:row r="62" ht="22" customHeight="1">
      <x:c r="A62" s="2" t="n">
        <x:v>7</x:v>
      </x:c>
      <x:c r="B62" s="2" t="str">
        <x:v>Regular</x:v>
      </x:c>
      <x:c r="C62" s="2" t="str">
        <x:v>Dave</x:v>
      </x:c>
      <x:c r="D62" s="2" t="str">
        <x:v>2 Girls 1 Kupp</x:v>
      </x:c>
      <x:c r="E62" s="15" t="n">
        <x:v>113</x:v>
      </x:c>
      <x:c r="F62" s="2" t="str">
        <x:v>Frank</x:v>
      </x:c>
      <x:c r="G62" s="2" t="str">
        <x:v>Saquon Deez Nutz</x:v>
      </x:c>
      <x:c r="H62" s="15" t="n">
        <x:v>108.25</x:v>
      </x:c>
      <x:c r="I62" s="2" t="str">
        <x:f>IF(E62&gt;H62,C62,IF(E62&lt;H62,F62,"Tie"))</x:f>
        <x:v>Dave</x:v>
      </x:c>
      <x:c r="J62" s="2" t="str">
        <x:f>IF(E62&gt;H62,F62,IF(E62&lt;H62,C62,"Tie"))</x:f>
        <x:v>Frank</x:v>
      </x:c>
      <x:c r="K62" s="2" t="n">
        <x:f>IF(E62=H62,1,0)</x:f>
        <x:v>0</x:v>
      </x:c>
      <x:c r="L62" s="2" t="str">
        <x:v>Dave / Frank</x:v>
      </x:c>
      <x:c r="M62" t="str"/>
      <x:c r="N62" t="str">
        <x:v>Supplied</x:v>
      </x:c>
      <x:c r="O62" t="str"/>
    </x:row>
    <x:row r="63" ht="22" customHeight="1">
      <x:c r="A63" s="2" t="n">
        <x:v>7</x:v>
      </x:c>
      <x:c r="B63" s="2" t="str">
        <x:v>Regular</x:v>
      </x:c>
      <x:c r="C63" s="2" t="str">
        <x:v>Ed</x:v>
      </x:c>
      <x:c r="D63" s="2" t="str">
        <x:v>Club Eroticas Finest</x:v>
      </x:c>
      <x:c r="E63" s="15" t="n">
        <x:v>159.85</x:v>
      </x:c>
      <x:c r="F63" s="2" t="str">
        <x:v>Matt</x:v>
      </x:c>
      <x:c r="G63" s="2" t="str">
        <x:v>Mr.Montana</x:v>
      </x:c>
      <x:c r="H63" s="15" t="n">
        <x:v>82.45</x:v>
      </x:c>
      <x:c r="I63" s="2" t="str">
        <x:f>IF(E63&gt;H63,C63,IF(E63&lt;H63,F63,"Tie"))</x:f>
        <x:v>Ed</x:v>
      </x:c>
      <x:c r="J63" s="2" t="str">
        <x:f>IF(E63&gt;H63,F63,IF(E63&lt;H63,C63,"Tie"))</x:f>
        <x:v>Matt</x:v>
      </x:c>
      <x:c r="K63" s="2" t="n">
        <x:f>IF(E63=H63,1,0)</x:f>
        <x:v>0</x:v>
      </x:c>
      <x:c r="L63" s="2" t="str">
        <x:v>Ed / Matt</x:v>
      </x:c>
      <x:c r="M63" t="str"/>
      <x:c r="N63" t="str">
        <x:v>Supplied</x:v>
      </x:c>
      <x:c r="O63" t="str"/>
    </x:row>
    <x:row r="64" ht="22" customHeight="1">
      <x:c r="A64" s="2" t="n">
        <x:v>7</x:v>
      </x:c>
      <x:c r="B64" s="2" t="str">
        <x:v>Regular</x:v>
      </x:c>
      <x:c r="C64" s="2" t="str">
        <x:v>Mike</x:v>
      </x:c>
      <x:c r="D64" s="2" t="str">
        <x:v>Mikey bucket hats</x:v>
      </x:c>
      <x:c r="E64" s="15" t="n">
        <x:v>83.55</x:v>
      </x:c>
      <x:c r="F64" s="2" t="str">
        <x:v>Paul</x:v>
      </x:c>
      <x:c r="G64" s="2" t="str">
        <x:v>Space Dogs</x:v>
      </x:c>
      <x:c r="H64" s="15" t="n">
        <x:v>107.2</x:v>
      </x:c>
      <x:c r="I64" s="2" t="str">
        <x:f>IF(E64&gt;H64,C64,IF(E64&lt;H64,F64,"Tie"))</x:f>
        <x:v>Paul</x:v>
      </x:c>
      <x:c r="J64" s="2" t="str">
        <x:f>IF(E64&gt;H64,F64,IF(E64&lt;H64,C64,"Tie"))</x:f>
        <x:v>Mike</x:v>
      </x:c>
      <x:c r="K64" s="2" t="n">
        <x:f>IF(E64=H64,1,0)</x:f>
        <x:v>0</x:v>
      </x:c>
      <x:c r="L64" s="2" t="str">
        <x:v>Mike / Paul</x:v>
      </x:c>
      <x:c r="M64" t="str"/>
      <x:c r="N64" t="str">
        <x:v>Supplied</x:v>
      </x:c>
      <x:c r="O64" t="str"/>
    </x:row>
    <x:row r="65" ht="22" customHeight="1">
      <x:c r="A65" s="2" t="n">
        <x:v>7</x:v>
      </x:c>
      <x:c r="B65" s="2" t="str">
        <x:v>Regular</x:v>
      </x:c>
      <x:c r="C65" s="2" t="str">
        <x:v>Poker Dude</x:v>
      </x:c>
      <x:c r="D65" s="2" t="str">
        <x:v>james's Team</x:v>
      </x:c>
      <x:c r="E65" s="15" t="n">
        <x:v>130.1</x:v>
      </x:c>
      <x:c r="F65" s="2" t="str">
        <x:v>Nick</x:v>
      </x:c>
      <x:c r="G65" s="2" t="str">
        <x:v>Team Scoops</x:v>
      </x:c>
      <x:c r="H65" s="15" t="n">
        <x:v>164.3</x:v>
      </x:c>
      <x:c r="I65" s="2" t="str">
        <x:f>IF(E65&gt;H65,C65,IF(E65&lt;H65,F65,"Tie"))</x:f>
        <x:v>Nick</x:v>
      </x:c>
      <x:c r="J65" s="2" t="str">
        <x:f>IF(E65&gt;H65,F65,IF(E65&lt;H65,C65,"Tie"))</x:f>
        <x:v>Poker Dude</x:v>
      </x:c>
      <x:c r="K65" s="2" t="n">
        <x:f>IF(E65=H65,1,0)</x:f>
        <x:v>0</x:v>
      </x:c>
      <x:c r="L65" s="2" t="str">
        <x:v>Nick / Poker Dude</x:v>
      </x:c>
      <x:c r="M65" t="str"/>
      <x:c r="N65" t="str">
        <x:v>Supplied</x:v>
      </x:c>
      <x:c r="O65" t="str"/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93.1</x:v>
      </x:c>
      <x:c r="F66" s="2" t="str">
        <x:v>Mark</x:v>
      </x:c>
      <x:c r="G66" s="2" t="str">
        <x:v>wacky waving arms</x:v>
      </x:c>
      <x:c r="H66" s="15" t="n">
        <x:v>126.6</x:v>
      </x:c>
      <x:c r="I66" s="2" t="str">
        <x:f>IF(E66&gt;H66,C66,IF(E66&lt;H66,F66,"Tie"))</x:f>
        <x:v>Mark</x:v>
      </x:c>
      <x:c r="J66" s="2" t="str">
        <x:f>IF(E66&gt;H66,F66,IF(E66&lt;H66,C66,"Tie"))</x:f>
        <x:v>Bruce</x:v>
      </x:c>
      <x:c r="K66" s="2" t="n">
        <x:f>IF(E66=H66,1,0)</x:f>
        <x:v>0</x:v>
      </x:c>
      <x:c r="L66" s="2" t="str">
        <x:v>Bruce / Mark</x:v>
      </x:c>
      <x:c r="M66" t="str"/>
      <x:c r="N66" t="str">
        <x:v>Supplied</x:v>
      </x:c>
      <x:c r="O66" t="str"/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123.9</x:v>
      </x:c>
      <x:c r="F67" s="2" t="str">
        <x:v>Mike</x:v>
      </x:c>
      <x:c r="G67" s="2" t="str">
        <x:v>Mikey bucket hats</x:v>
      </x:c>
      <x:c r="H67" s="15" t="n">
        <x:v>196.35</x:v>
      </x:c>
      <x:c r="I67" s="2" t="str">
        <x:f>IF(E67&gt;H67,C67,IF(E67&lt;H67,F67,"Tie"))</x:f>
        <x:v>Mike</x:v>
      </x:c>
      <x:c r="J67" s="2" t="str">
        <x:f>IF(E67&gt;H67,F67,IF(E67&lt;H67,C67,"Tie"))</x:f>
        <x:v>Craig</x:v>
      </x:c>
      <x:c r="K67" s="2" t="n">
        <x:f>IF(E67=H67,1,0)</x:f>
        <x:v>0</x:v>
      </x:c>
      <x:c r="L67" s="2" t="str">
        <x:v>Craig / Mike</x:v>
      </x:c>
      <x:c r="M67" t="str"/>
      <x:c r="N67" t="str">
        <x:v>Supplied</x:v>
      </x:c>
      <x:c r="O67" t="str"/>
    </x:row>
    <x:row r="68" ht="22" customHeight="1">
      <x:c r="A68" s="2" t="n">
        <x:v>8</x:v>
      </x:c>
      <x:c r="B68" s="2" t="str">
        <x:v>Regular</x:v>
      </x:c>
      <x:c r="C68" s="2" t="str">
        <x:v>Dave</x:v>
      </x:c>
      <x:c r="D68" s="2" t="str">
        <x:v>2 Girls 1 Kupp</x:v>
      </x:c>
      <x:c r="E68" s="15" t="n">
        <x:v>164.45</x:v>
      </x:c>
      <x:c r="F68" s="2" t="str">
        <x:v>Ed</x:v>
      </x:c>
      <x:c r="G68" s="2" t="str">
        <x:v>Club Eroticas Finest</x:v>
      </x:c>
      <x:c r="H68" s="15" t="n">
        <x:v>124.85</x:v>
      </x:c>
      <x:c r="I68" s="2" t="str">
        <x:f>IF(E68&gt;H68,C68,IF(E68&lt;H68,F68,"Tie"))</x:f>
        <x:v>Dave</x:v>
      </x:c>
      <x:c r="J68" s="2" t="str">
        <x:f>IF(E68&gt;H68,F68,IF(E68&lt;H68,C68,"Tie"))</x:f>
        <x:v>Ed</x:v>
      </x:c>
      <x:c r="K68" s="2" t="n">
        <x:f>IF(E68=H68,1,0)</x:f>
        <x:v>0</x:v>
      </x:c>
      <x:c r="L68" s="2" t="str">
        <x:v>Dave / Ed</x:v>
      </x:c>
      <x:c r="M68" t="str"/>
      <x:c r="N68" t="str">
        <x:v>Supplied</x:v>
      </x:c>
      <x:c r="O68" t="str"/>
    </x:row>
    <x:row r="69" ht="22" customHeight="1">
      <x:c r="A69" s="2" t="n">
        <x:v>8</x:v>
      </x:c>
      <x:c r="B69" s="2" t="str">
        <x:v>Regular</x:v>
      </x:c>
      <x:c r="C69" s="2" t="str">
        <x:v>Frank</x:v>
      </x:c>
      <x:c r="D69" s="2" t="str">
        <x:v>Saquon Deez Nutz</x:v>
      </x:c>
      <x:c r="E69" s="15" t="n">
        <x:v>133.65</x:v>
      </x:c>
      <x:c r="F69" s="2" t="str">
        <x:v>Nick</x:v>
      </x:c>
      <x:c r="G69" s="2" t="str">
        <x:v>Team Scoops</x:v>
      </x:c>
      <x:c r="H69" s="15" t="n">
        <x:v>99.55</x:v>
      </x:c>
      <x:c r="I69" s="2" t="str">
        <x:f>IF(E69&gt;H69,C69,IF(E69&lt;H69,F69,"Tie"))</x:f>
        <x:v>Frank</x:v>
      </x:c>
      <x:c r="J69" s="2" t="str">
        <x:f>IF(E69&gt;H69,F69,IF(E69&lt;H69,C69,"Tie"))</x:f>
        <x:v>Nick</x:v>
      </x:c>
      <x:c r="K69" s="2" t="n">
        <x:f>IF(E69=H69,1,0)</x:f>
        <x:v>0</x:v>
      </x:c>
      <x:c r="L69" s="2" t="str">
        <x:v>Frank / Nick</x:v>
      </x:c>
      <x:c r="M69" t="str"/>
      <x:c r="N69" t="str">
        <x:v>Supplied</x:v>
      </x:c>
      <x:c r="O69" t="str"/>
    </x:row>
    <x:row r="70" ht="22" customHeight="1">
      <x:c r="A70" s="2" t="n">
        <x:v>8</x:v>
      </x:c>
      <x:c r="B70" s="2" t="str">
        <x:v>Regular</x:v>
      </x:c>
      <x:c r="C70" s="2" t="str">
        <x:v>Josh</x:v>
      </x:c>
      <x:c r="D70" s="2" t="str">
        <x:v>Laughing Bucket Hats</x:v>
      </x:c>
      <x:c r="E70" s="15" t="n">
        <x:v>112.9</x:v>
      </x:c>
      <x:c r="F70" s="2" t="str">
        <x:v>Paul</x:v>
      </x:c>
      <x:c r="G70" s="2" t="str">
        <x:v>Space Dogs</x:v>
      </x:c>
      <x:c r="H70" s="15" t="n">
        <x:v>126.5</x:v>
      </x:c>
      <x:c r="I70" s="2" t="str">
        <x:f>IF(E70&gt;H70,C70,IF(E70&lt;H70,F70,"Tie"))</x:f>
        <x:v>Paul</x:v>
      </x:c>
      <x:c r="J70" s="2" t="str">
        <x:f>IF(E70&gt;H70,F70,IF(E70&lt;H70,C70,"Tie"))</x:f>
        <x:v>Josh</x:v>
      </x:c>
      <x:c r="K70" s="2" t="n">
        <x:f>IF(E70=H70,1,0)</x:f>
        <x:v>0</x:v>
      </x:c>
      <x:c r="L70" s="2" t="str">
        <x:v>Josh / Paul</x:v>
      </x:c>
      <x:c r="M70" t="str"/>
      <x:c r="N70" t="str">
        <x:v>Supplied</x:v>
      </x:c>
      <x:c r="O70" t="str"/>
    </x:row>
    <x:row r="71" ht="22" customHeight="1">
      <x:c r="A71" s="2" t="n">
        <x:v>8</x:v>
      </x:c>
      <x:c r="B71" s="2" t="str">
        <x:v>Regular</x:v>
      </x:c>
      <x:c r="C71" s="2" t="str">
        <x:v>Poker Dude</x:v>
      </x:c>
      <x:c r="D71" s="2" t="str">
        <x:v>james's Team</x:v>
      </x:c>
      <x:c r="E71" s="15" t="n">
        <x:v>155.7</x:v>
      </x:c>
      <x:c r="F71" s="2" t="str">
        <x:v>Matt</x:v>
      </x:c>
      <x:c r="G71" s="2" t="str">
        <x:v>Mr.Montana</x:v>
      </x:c>
      <x:c r="H71" s="15" t="n">
        <x:v>104.1</x:v>
      </x:c>
      <x:c r="I71" s="2" t="str">
        <x:f>IF(E71&gt;H71,C71,IF(E71&lt;H71,F71,"Tie"))</x:f>
        <x:v>Poker Dude</x:v>
      </x:c>
      <x:c r="J71" s="2" t="str">
        <x:f>IF(E71&gt;H71,F71,IF(E71&lt;H71,C71,"Tie"))</x:f>
        <x:v>Matt</x:v>
      </x:c>
      <x:c r="K71" s="2" t="n">
        <x:f>IF(E71=H71,1,0)</x:f>
        <x:v>0</x:v>
      </x:c>
      <x:c r="L71" s="2" t="str">
        <x:v>Matt / Poker Dude</x:v>
      </x:c>
      <x:c r="M71" t="str"/>
      <x:c r="N71" t="str">
        <x:v>Supplied</x:v>
      </x:c>
      <x:c r="O71" t="str"/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79.9</x:v>
      </x:c>
      <x:c r="F72" s="2" t="str">
        <x:v>Paul</x:v>
      </x:c>
      <x:c r="G72" s="2" t="str">
        <x:v>Space Dogs</x:v>
      </x:c>
      <x:c r="H72" s="15" t="n">
        <x:v>75.35</x:v>
      </x:c>
      <x:c r="I72" s="2" t="str">
        <x:f>IF(E72&gt;H72,C72,IF(E72&lt;H72,F72,"Tie"))</x:f>
        <x:v>Bruce</x:v>
      </x:c>
      <x:c r="J72" s="2" t="str">
        <x:f>IF(E72&gt;H72,F72,IF(E72&lt;H72,C72,"Tie"))</x:f>
        <x:v>Paul</x:v>
      </x:c>
      <x:c r="K72" s="2" t="n">
        <x:f>IF(E72=H72,1,0)</x:f>
        <x:v>0</x:v>
      </x:c>
      <x:c r="L72" s="2" t="str">
        <x:v>Bruce / Paul</x:v>
      </x:c>
      <x:c r="M72" t="str"/>
      <x:c r="N72" t="str">
        <x:v>Supplied</x:v>
      </x:c>
      <x:c r="O72" t="str"/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104.95</x:v>
      </x:c>
      <x:c r="F73" s="2" t="str">
        <x:v>Nick</x:v>
      </x:c>
      <x:c r="G73" s="2" t="str">
        <x:v>Team Scoops</x:v>
      </x:c>
      <x:c r="H73" s="15" t="n">
        <x:v>133.95</x:v>
      </x:c>
      <x:c r="I73" s="2" t="str">
        <x:f>IF(E73&gt;H73,C73,IF(E73&lt;H73,F73,"Tie"))</x:f>
        <x:v>Nick</x:v>
      </x:c>
      <x:c r="J73" s="2" t="str">
        <x:f>IF(E73&gt;H73,F73,IF(E73&lt;H73,C73,"Tie"))</x:f>
        <x:v>Craig</x:v>
      </x:c>
      <x:c r="K73" s="2" t="n">
        <x:f>IF(E73=H73,1,0)</x:f>
        <x:v>0</x:v>
      </x:c>
      <x:c r="L73" s="2" t="str">
        <x:v>Craig / Nick</x:v>
      </x:c>
      <x:c r="M73" t="str"/>
      <x:c r="N73" t="str">
        <x:v>Supplied</x:v>
      </x:c>
      <x:c r="O73" t="str"/>
    </x:row>
    <x:row r="74" ht="22" customHeight="1">
      <x:c r="A74" s="2" t="n">
        <x:v>9</x:v>
      </x:c>
      <x:c r="B74" s="2" t="str">
        <x:v>Regular</x:v>
      </x:c>
      <x:c r="C74" s="2" t="str">
        <x:v>Dave</x:v>
      </x:c>
      <x:c r="D74" s="2" t="str">
        <x:v>2 Girls 1 Kupp</x:v>
      </x:c>
      <x:c r="E74" s="15" t="n">
        <x:v>100.55</x:v>
      </x:c>
      <x:c r="F74" s="2" t="str">
        <x:v>Josh</x:v>
      </x:c>
      <x:c r="G74" s="2" t="str">
        <x:v>Laughing Bucket Hats</x:v>
      </x:c>
      <x:c r="H74" s="15" t="n">
        <x:v>140.55</x:v>
      </x:c>
      <x:c r="I74" s="2" t="str">
        <x:f>IF(E74&gt;H74,C74,IF(E74&lt;H74,F74,"Tie"))</x:f>
        <x:v>Josh</x:v>
      </x:c>
      <x:c r="J74" s="2" t="str">
        <x:f>IF(E74&gt;H74,F74,IF(E74&lt;H74,C74,"Tie"))</x:f>
        <x:v>Dave</x:v>
      </x:c>
      <x:c r="K74" s="2" t="n">
        <x:f>IF(E74=H74,1,0)</x:f>
        <x:v>0</x:v>
      </x:c>
      <x:c r="L74" s="2" t="str">
        <x:v>Dave / Josh</x:v>
      </x:c>
      <x:c r="M74" t="str"/>
      <x:c r="N74" t="str">
        <x:v>Supplied</x:v>
      </x:c>
      <x:c r="O74" t="str"/>
    </x:row>
    <x:row r="75" ht="22" customHeight="1">
      <x:c r="A75" s="2" t="n">
        <x:v>9</x:v>
      </x:c>
      <x:c r="B75" s="2" t="str">
        <x:v>Regular</x:v>
      </x:c>
      <x:c r="C75" s="2" t="str">
        <x:v>Ed</x:v>
      </x:c>
      <x:c r="D75" s="2" t="str">
        <x:v>Club Eroticas Finest</x:v>
      </x:c>
      <x:c r="E75" s="15" t="n">
        <x:v>162.2</x:v>
      </x:c>
      <x:c r="F75" s="2" t="str">
        <x:v>Mark</x:v>
      </x:c>
      <x:c r="G75" s="2" t="str">
        <x:v>wacky waving arms</x:v>
      </x:c>
      <x:c r="H75" s="15" t="n">
        <x:v>86.15</x:v>
      </x:c>
      <x:c r="I75" s="2" t="str">
        <x:f>IF(E75&gt;H75,C75,IF(E75&lt;H75,F75,"Tie"))</x:f>
        <x:v>Ed</x:v>
      </x:c>
      <x:c r="J75" s="2" t="str">
        <x:f>IF(E75&gt;H75,F75,IF(E75&lt;H75,C75,"Tie"))</x:f>
        <x:v>Mark</x:v>
      </x:c>
      <x:c r="K75" s="2" t="n">
        <x:f>IF(E75=H75,1,0)</x:f>
        <x:v>0</x:v>
      </x:c>
      <x:c r="L75" s="2" t="str">
        <x:v>Ed / Mark</x:v>
      </x:c>
      <x:c r="M75" t="str"/>
      <x:c r="N75" t="str">
        <x:v>Supplied</x:v>
      </x:c>
      <x:c r="O75" t="str"/>
    </x:row>
    <x:row r="76" ht="22" customHeight="1">
      <x:c r="A76" s="2" t="n">
        <x:v>9</x:v>
      </x:c>
      <x:c r="B76" s="2" t="str">
        <x:v>Regular</x:v>
      </x:c>
      <x:c r="C76" s="2" t="str">
        <x:v>Frank</x:v>
      </x:c>
      <x:c r="D76" s="2" t="str">
        <x:v>Saquon Deez Nutz</x:v>
      </x:c>
      <x:c r="E76" s="15" t="n">
        <x:v>79.15</x:v>
      </x:c>
      <x:c r="F76" s="2" t="str">
        <x:v>Poker Dude</x:v>
      </x:c>
      <x:c r="G76" s="2" t="str">
        <x:v>james's Team</x:v>
      </x:c>
      <x:c r="H76" s="15" t="n">
        <x:v>139.25</x:v>
      </x:c>
      <x:c r="I76" s="2" t="str">
        <x:f>IF(E76&gt;H76,C76,IF(E76&lt;H76,F76,"Tie"))</x:f>
        <x:v>Poker Dude</x:v>
      </x:c>
      <x:c r="J76" s="2" t="str">
        <x:f>IF(E76&gt;H76,F76,IF(E76&lt;H76,C76,"Tie"))</x:f>
        <x:v>Frank</x:v>
      </x:c>
      <x:c r="K76" s="2" t="n">
        <x:f>IF(E76=H76,1,0)</x:f>
        <x:v>0</x:v>
      </x:c>
      <x:c r="L76" s="2" t="str">
        <x:v>Frank / Poker Dude</x:v>
      </x:c>
      <x:c r="M76" t="str"/>
      <x:c r="N76" t="str">
        <x:v>Supplied</x:v>
      </x:c>
      <x:c r="O76" t="str"/>
    </x:row>
    <x:row r="77" ht="22" customHeight="1">
      <x:c r="A77" s="2" t="n">
        <x:v>9</x:v>
      </x:c>
      <x:c r="B77" s="2" t="str">
        <x:v>Regular</x:v>
      </x:c>
      <x:c r="C77" s="2" t="str">
        <x:v>Mike</x:v>
      </x:c>
      <x:c r="D77" s="2" t="str">
        <x:v>Mikey bucket hats</x:v>
      </x:c>
      <x:c r="E77" s="15" t="n">
        <x:v>146.75</x:v>
      </x:c>
      <x:c r="F77" s="2" t="str">
        <x:v>Matt</x:v>
      </x:c>
      <x:c r="G77" s="2" t="str">
        <x:v>Mr.Montana</x:v>
      </x:c>
      <x:c r="H77" s="15" t="n">
        <x:v>123.2</x:v>
      </x:c>
      <x:c r="I77" s="2" t="str">
        <x:f>IF(E77&gt;H77,C77,IF(E77&lt;H77,F77,"Tie"))</x:f>
        <x:v>Mike</x:v>
      </x:c>
      <x:c r="J77" s="2" t="str">
        <x:f>IF(E77&gt;H77,F77,IF(E77&lt;H77,C77,"Tie"))</x:f>
        <x:v>Matt</x:v>
      </x:c>
      <x:c r="K77" s="2" t="n">
        <x:f>IF(E77=H77,1,0)</x:f>
        <x:v>0</x:v>
      </x:c>
      <x:c r="L77" s="2" t="str">
        <x:v>Matt / Mike</x:v>
      </x:c>
      <x:c r="M77" t="str"/>
      <x:c r="N77" t="str">
        <x:v>Supplied</x:v>
      </x:c>
      <x:c r="O77" t="str"/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91.2</x:v>
      </x:c>
      <x:c r="F78" s="2" t="str">
        <x:v>Poker Dude</x:v>
      </x:c>
      <x:c r="G78" s="2" t="str">
        <x:v>james's Team</x:v>
      </x:c>
      <x:c r="H78" s="15" t="n">
        <x:v>98.95</x:v>
      </x:c>
      <x:c r="I78" s="2" t="str">
        <x:f>IF(E78&gt;H78,C78,IF(E78&lt;H78,F78,"Tie"))</x:f>
        <x:v>Poker Dude</x:v>
      </x:c>
      <x:c r="J78" s="2" t="str">
        <x:f>IF(E78&gt;H78,F78,IF(E78&lt;H78,C78,"Tie"))</x:f>
        <x:v>Bruce</x:v>
      </x:c>
      <x:c r="K78" s="2" t="n">
        <x:f>IF(E78=H78,1,0)</x:f>
        <x:v>0</x:v>
      </x:c>
      <x:c r="L78" s="2" t="str">
        <x:v>Bruce / Poker Dude</x:v>
      </x:c>
      <x:c r="M78" t="str"/>
      <x:c r="N78" t="str">
        <x:v>Supplied</x:v>
      </x:c>
      <x:c r="O78" t="str">
        <x:v>*</x:v>
      </x:c>
    </x:row>
    <x:row r="79" ht="22" customHeight="1">
      <x:c r="A79" s="2" t="n">
        <x:v>10</x:v>
      </x:c>
      <x:c r="B79" s="2" t="str">
        <x:v>Regular</x:v>
      </x:c>
      <x:c r="C79" s="2" t="str">
        <x:v>Craig</x:v>
      </x:c>
      <x:c r="D79" s="2" t="str">
        <x:v>The Ants Marching</x:v>
      </x:c>
      <x:c r="E79" s="15" t="n">
        <x:v>118.3</x:v>
      </x:c>
      <x:c r="F79" s="2" t="str">
        <x:v>Dave</x:v>
      </x:c>
      <x:c r="G79" s="2" t="str">
        <x:v>2 Girls 1 Kupp</x:v>
      </x:c>
      <x:c r="H79" s="15" t="n">
        <x:v>124.1</x:v>
      </x:c>
      <x:c r="I79" s="2" t="str">
        <x:f>IF(E79&gt;H79,C79,IF(E79&lt;H79,F79,"Tie"))</x:f>
        <x:v>Dave</x:v>
      </x:c>
      <x:c r="J79" s="2" t="str">
        <x:f>IF(E79&gt;H79,F79,IF(E79&lt;H79,C79,"Tie"))</x:f>
        <x:v>Craig</x:v>
      </x:c>
      <x:c r="K79" s="2" t="n">
        <x:f>IF(E79=H79,1,0)</x:f>
        <x:v>0</x:v>
      </x:c>
      <x:c r="L79" s="2" t="str">
        <x:v>Craig / Dave</x:v>
      </x:c>
      <x:c r="M79" t="str"/>
      <x:c r="N79" t="str">
        <x:v>Supplied</x:v>
      </x:c>
      <x:c r="O79" t="str">
        <x:v>*</x:v>
      </x:c>
    </x:row>
    <x:row r="80" ht="22" customHeight="1">
      <x:c r="A80" s="2" t="n">
        <x:v>10</x:v>
      </x:c>
      <x:c r="B80" s="2" t="str">
        <x:v>Regular</x:v>
      </x:c>
      <x:c r="C80" s="2" t="str">
        <x:v>Ed</x:v>
      </x:c>
      <x:c r="D80" s="2" t="str">
        <x:v>Club Eroticas Finest</x:v>
      </x:c>
      <x:c r="E80" s="15" t="n">
        <x:v>145.95</x:v>
      </x:c>
      <x:c r="F80" s="2" t="str">
        <x:v>Josh</x:v>
      </x:c>
      <x:c r="G80" s="2" t="str">
        <x:v>Laughing Bucket Hats</x:v>
      </x:c>
      <x:c r="H80" s="15" t="n">
        <x:v>97.3</x:v>
      </x:c>
      <x:c r="I80" s="2" t="str">
        <x:f>IF(E80&gt;H80,C80,IF(E80&lt;H80,F80,"Tie"))</x:f>
        <x:v>Ed</x:v>
      </x:c>
      <x:c r="J80" s="2" t="str">
        <x:f>IF(E80&gt;H80,F80,IF(E80&lt;H80,C80,"Tie"))</x:f>
        <x:v>Josh</x:v>
      </x:c>
      <x:c r="K80" s="2" t="n">
        <x:f>IF(E80=H80,1,0)</x:f>
        <x:v>0</x:v>
      </x:c>
      <x:c r="L80" s="2" t="str">
        <x:v>Ed / Josh</x:v>
      </x:c>
      <x:c r="M80" t="str"/>
      <x:c r="N80" t="str">
        <x:v>Supplied</x:v>
      </x:c>
      <x:c r="O80" t="str">
        <x:v>*</x:v>
      </x:c>
    </x:row>
    <x:row r="81" ht="22" customHeight="1">
      <x:c r="A81" s="2" t="n">
        <x:v>10</x:v>
      </x:c>
      <x:c r="B81" s="2" t="str">
        <x:v>Regular</x:v>
      </x:c>
      <x:c r="C81" s="2" t="str">
        <x:v>Frank</x:v>
      </x:c>
      <x:c r="D81" s="2" t="str">
        <x:v>Saquon Deez Nutz</x:v>
      </x:c>
      <x:c r="E81" s="15" t="n">
        <x:v>89.4</x:v>
      </x:c>
      <x:c r="F81" s="2" t="str">
        <x:v>Matt</x:v>
      </x:c>
      <x:c r="G81" s="2" t="str">
        <x:v>Mr.Montana</x:v>
      </x:c>
      <x:c r="H81" s="15" t="n">
        <x:v>99.8</x:v>
      </x:c>
      <x:c r="I81" s="2" t="str">
        <x:f>IF(E81&gt;H81,C81,IF(E81&lt;H81,F81,"Tie"))</x:f>
        <x:v>Matt</x:v>
      </x:c>
      <x:c r="J81" s="2" t="str">
        <x:f>IF(E81&gt;H81,F81,IF(E81&lt;H81,C81,"Tie"))</x:f>
        <x:v>Frank</x:v>
      </x:c>
      <x:c r="K81" s="2" t="n">
        <x:f>IF(E81=H81,1,0)</x:f>
        <x:v>0</x:v>
      </x:c>
      <x:c r="L81" s="2" t="str">
        <x:v>Frank / Matt</x:v>
      </x:c>
      <x:c r="M81" t="str"/>
      <x:c r="N81" t="str">
        <x:v>Supplied</x:v>
      </x:c>
      <x:c r="O81" t="str">
        <x:v>*</x:v>
      </x:c>
    </x:row>
    <x:row r="82" ht="22" customHeight="1">
      <x:c r="A82" s="2" t="n">
        <x:v>10</x:v>
      </x:c>
      <x:c r="B82" s="2" t="str">
        <x:v>Regular</x:v>
      </x:c>
      <x:c r="C82" s="2" t="str">
        <x:v>Mike</x:v>
      </x:c>
      <x:c r="D82" s="2" t="str">
        <x:v>Mikey bucket hats</x:v>
      </x:c>
      <x:c r="E82" s="15" t="n">
        <x:v>115.45</x:v>
      </x:c>
      <x:c r="F82" s="2" t="str">
        <x:v>Nick</x:v>
      </x:c>
      <x:c r="G82" s="2" t="str">
        <x:v>Team Scoops</x:v>
      </x:c>
      <x:c r="H82" s="15" t="n">
        <x:v>129.7</x:v>
      </x:c>
      <x:c r="I82" s="2" t="str">
        <x:f>IF(E82&gt;H82,C82,IF(E82&lt;H82,F82,"Tie"))</x:f>
        <x:v>Nick</x:v>
      </x:c>
      <x:c r="J82" s="2" t="str">
        <x:f>IF(E82&gt;H82,F82,IF(E82&lt;H82,C82,"Tie"))</x:f>
        <x:v>Mike</x:v>
      </x:c>
      <x:c r="K82" s="2" t="n">
        <x:f>IF(E82=H82,1,0)</x:f>
        <x:v>0</x:v>
      </x:c>
      <x:c r="L82" s="2" t="str">
        <x:v>Mike / Nick</x:v>
      </x:c>
      <x:c r="M82" t="str"/>
      <x:c r="N82" t="str">
        <x:v>Supplied</x:v>
      </x:c>
      <x:c r="O82" t="str">
        <x:v>*</x:v>
      </x:c>
    </x:row>
    <x:row r="83" ht="22" customHeight="1">
      <x:c r="A83" s="2" t="n">
        <x:v>10</x:v>
      </x:c>
      <x:c r="B83" s="2" t="str">
        <x:v>Regular</x:v>
      </x:c>
      <x:c r="C83" s="2" t="str">
        <x:v>Mark</x:v>
      </x:c>
      <x:c r="D83" s="2" t="str">
        <x:v>wacky waving arms</x:v>
      </x:c>
      <x:c r="E83" s="15" t="n">
        <x:v>134.25</x:v>
      </x:c>
      <x:c r="F83" s="2" t="str">
        <x:v>Paul</x:v>
      </x:c>
      <x:c r="G83" s="2" t="str">
        <x:v>Space Dogs</x:v>
      </x:c>
      <x:c r="H83" s="15" t="n">
        <x:v>106.85</x:v>
      </x:c>
      <x:c r="I83" s="2" t="str">
        <x:f>IF(E83&gt;H83,C83,IF(E83&lt;H83,F83,"Tie"))</x:f>
        <x:v>Mark</x:v>
      </x:c>
      <x:c r="J83" s="2" t="str">
        <x:f>IF(E83&gt;H83,F83,IF(E83&lt;H83,C83,"Tie"))</x:f>
        <x:v>Paul</x:v>
      </x:c>
      <x:c r="K83" s="2" t="n">
        <x:f>IF(E83=H83,1,0)</x:f>
        <x:v>0</x:v>
      </x:c>
      <x:c r="L83" s="2" t="str">
        <x:v>Mark / Paul</x:v>
      </x:c>
      <x:c r="M83" t="str"/>
      <x:c r="N83" t="str">
        <x:v>Supplied</x:v>
      </x:c>
      <x:c r="O83" t="str">
        <x:v>*</x:v>
      </x:c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151.25</x:v>
      </x:c>
      <x:c r="F84" s="2" t="str">
        <x:v>Mike</x:v>
      </x:c>
      <x:c r="G84" s="2" t="str">
        <x:v>Mikey bucket hats</x:v>
      </x:c>
      <x:c r="H84" s="15" t="n">
        <x:v>127.8</x:v>
      </x:c>
      <x:c r="I84" s="2" t="str">
        <x:f>IF(E84&gt;H84,C84,IF(E84&lt;H84,F84,"Tie"))</x:f>
        <x:v>Bruce</x:v>
      </x:c>
      <x:c r="J84" s="2" t="str">
        <x:f>IF(E84&gt;H84,F84,IF(E84&lt;H84,C84,"Tie"))</x:f>
        <x:v>Mike</x:v>
      </x:c>
      <x:c r="K84" s="2" t="n">
        <x:f>IF(E84=H84,1,0)</x:f>
        <x:v>0</x:v>
      </x:c>
      <x:c r="L84" s="2" t="str">
        <x:v>Bruce / Mike</x:v>
      </x:c>
      <x:c r="M84" t="str"/>
      <x:c r="N84" t="str">
        <x:v>Supplied</x:v>
      </x:c>
      <x:c r="O84" t="str"/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83.3</x:v>
      </x:c>
      <x:c r="F85" s="2" t="str">
        <x:v>Paul</x:v>
      </x:c>
      <x:c r="G85" s="2" t="str">
        <x:v>Space Dogs</x:v>
      </x:c>
      <x:c r="H85" s="15" t="n">
        <x:v>58.65</x:v>
      </x:c>
      <x:c r="I85" s="2" t="str">
        <x:f>IF(E85&gt;H85,C85,IF(E85&lt;H85,F85,"Tie"))</x:f>
        <x:v>Craig</x:v>
      </x:c>
      <x:c r="J85" s="2" t="str">
        <x:f>IF(E85&gt;H85,F85,IF(E85&lt;H85,C85,"Tie"))</x:f>
        <x:v>Paul</x:v>
      </x:c>
      <x:c r="K85" s="2" t="n">
        <x:f>IF(E85=H85,1,0)</x:f>
        <x:v>0</x:v>
      </x:c>
      <x:c r="L85" s="2" t="str">
        <x:v>Craig / Paul</x:v>
      </x:c>
      <x:c r="M85" t="str"/>
      <x:c r="N85" t="str">
        <x:v>Supplied</x:v>
      </x:c>
      <x:c r="O85" t="str"/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2 Girls 1 Kupp</x:v>
      </x:c>
      <x:c r="E86" s="15" t="n">
        <x:v>90.05</x:v>
      </x:c>
      <x:c r="F86" s="2" t="str">
        <x:v>Matt</x:v>
      </x:c>
      <x:c r="G86" s="2" t="str">
        <x:v>Mr.Montana</x:v>
      </x:c>
      <x:c r="H86" s="15" t="n">
        <x:v>101.55</x:v>
      </x:c>
      <x:c r="I86" s="2" t="str">
        <x:f>IF(E86&gt;H86,C86,IF(E86&lt;H86,F86,"Tie"))</x:f>
        <x:v>Matt</x:v>
      </x:c>
      <x:c r="J86" s="2" t="str">
        <x:f>IF(E86&gt;H86,F86,IF(E86&lt;H86,C86,"Tie"))</x:f>
        <x:v>Dave</x:v>
      </x:c>
      <x:c r="K86" s="2" t="n">
        <x:f>IF(E86=H86,1,0)</x:f>
        <x:v>0</x:v>
      </x:c>
      <x:c r="L86" s="2" t="str">
        <x:v>Dave / Matt</x:v>
      </x:c>
      <x:c r="M86" t="str"/>
      <x:c r="N86" t="str">
        <x:v>Supplied</x:v>
      </x:c>
      <x:c r="O86" t="str"/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Club Eroticas Finest</x:v>
      </x:c>
      <x:c r="E87" s="15" t="n">
        <x:v>147.85</x:v>
      </x:c>
      <x:c r="F87" s="2" t="str">
        <x:v>Frank</x:v>
      </x:c>
      <x:c r="G87" s="2" t="str">
        <x:v>Saquon Deez Nutz</x:v>
      </x:c>
      <x:c r="H87" s="15" t="n">
        <x:v>97</x:v>
      </x:c>
      <x:c r="I87" s="2" t="str">
        <x:f>IF(E87&gt;H87,C87,IF(E87&lt;H87,F87,"Tie"))</x:f>
        <x:v>Ed</x:v>
      </x:c>
      <x:c r="J87" s="2" t="str">
        <x:f>IF(E87&gt;H87,F87,IF(E87&lt;H87,C87,"Tie"))</x:f>
        <x:v>Frank</x:v>
      </x:c>
      <x:c r="K87" s="2" t="n">
        <x:f>IF(E87=H87,1,0)</x:f>
        <x:v>0</x:v>
      </x:c>
      <x:c r="L87" s="2" t="str">
        <x:v>Ed / Frank</x:v>
      </x:c>
      <x:c r="M87" t="str"/>
      <x:c r="N87" t="str">
        <x:v>Supplied</x:v>
      </x:c>
      <x:c r="O87" t="str"/>
    </x:row>
    <x:row r="88" ht="22" customHeight="1">
      <x:c r="A88" s="2" t="n">
        <x:v>11</x:v>
      </x:c>
      <x:c r="B88" s="2" t="str">
        <x:v>Regular</x:v>
      </x:c>
      <x:c r="C88" s="2" t="str">
        <x:v>Josh</x:v>
      </x:c>
      <x:c r="D88" s="2" t="str">
        <x:v>Laughing Bucket Hats</x:v>
      </x:c>
      <x:c r="E88" s="15" t="n">
        <x:v>103.6</x:v>
      </x:c>
      <x:c r="F88" s="2" t="str">
        <x:v>Poker Dude</x:v>
      </x:c>
      <x:c r="G88" s="2" t="str">
        <x:v>james's Team</x:v>
      </x:c>
      <x:c r="H88" s="15" t="n">
        <x:v>149.55</x:v>
      </x:c>
      <x:c r="I88" s="2" t="str">
        <x:f>IF(E88&gt;H88,C88,IF(E88&lt;H88,F88,"Tie"))</x:f>
        <x:v>Poker Dude</x:v>
      </x:c>
      <x:c r="J88" s="2" t="str">
        <x:f>IF(E88&gt;H88,F88,IF(E88&lt;H88,C88,"Tie"))</x:f>
        <x:v>Josh</x:v>
      </x:c>
      <x:c r="K88" s="2" t="n">
        <x:f>IF(E88=H88,1,0)</x:f>
        <x:v>0</x:v>
      </x:c>
      <x:c r="L88" s="2" t="str">
        <x:v>Josh / Poker Dude</x:v>
      </x:c>
      <x:c r="M88" t="str"/>
      <x:c r="N88" t="str">
        <x:v>Supplied</x:v>
      </x:c>
      <x:c r="O88" t="str"/>
    </x:row>
    <x:row r="89" ht="22" customHeight="1">
      <x:c r="A89" s="2" t="n">
        <x:v>11</x:v>
      </x:c>
      <x:c r="B89" s="2" t="str">
        <x:v>Regular</x:v>
      </x:c>
      <x:c r="C89" s="2" t="str">
        <x:v>Mark</x:v>
      </x:c>
      <x:c r="D89" s="2" t="str">
        <x:v>wacky waving arms</x:v>
      </x:c>
      <x:c r="E89" s="15" t="n">
        <x:v>104.35</x:v>
      </x:c>
      <x:c r="F89" s="2" t="str">
        <x:v>Nick</x:v>
      </x:c>
      <x:c r="G89" s="2" t="str">
        <x:v>Team Scoops</x:v>
      </x:c>
      <x:c r="H89" s="15" t="n">
        <x:v>134.05</x:v>
      </x:c>
      <x:c r="I89" s="2" t="str">
        <x:f>IF(E89&gt;H89,C89,IF(E89&lt;H89,F89,"Tie"))</x:f>
        <x:v>Nick</x:v>
      </x:c>
      <x:c r="J89" s="2" t="str">
        <x:f>IF(E89&gt;H89,F89,IF(E89&lt;H89,C89,"Tie"))</x:f>
        <x:v>Mark</x:v>
      </x:c>
      <x:c r="K89" s="2" t="n">
        <x:f>IF(E89=H89,1,0)</x:f>
        <x:v>0</x:v>
      </x:c>
      <x:c r="L89" s="2" t="str">
        <x:v>Mark / Nick</x:v>
      </x:c>
      <x:c r="M89" t="str"/>
      <x:c r="N89" t="str">
        <x:v>Supplied</x:v>
      </x:c>
      <x:c r="O89" t="str"/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107.8</x:v>
      </x:c>
      <x:c r="F90" s="2" t="str">
        <x:v>Matt</x:v>
      </x:c>
      <x:c r="G90" s="2" t="str">
        <x:v>Mr.Montana</x:v>
      </x:c>
      <x:c r="H90" s="15" t="n">
        <x:v>158.15</x:v>
      </x:c>
      <x:c r="I90" s="2" t="str">
        <x:f>IF(E90&gt;H90,C90,IF(E90&lt;H90,F90,"Tie"))</x:f>
        <x:v>Matt</x:v>
      </x:c>
      <x:c r="J90" s="2" t="str">
        <x:f>IF(E90&gt;H90,F90,IF(E90&lt;H90,C90,"Tie"))</x:f>
        <x:v>Bruce</x:v>
      </x:c>
      <x:c r="K90" s="2" t="n">
        <x:f>IF(E90=H90,1,0)</x:f>
        <x:v>0</x:v>
      </x:c>
      <x:c r="L90" s="2" t="str">
        <x:v>Bruce / Matt</x:v>
      </x:c>
      <x:c r="M90" t="str"/>
      <x:c r="N90" t="str">
        <x:v>Supplied</x:v>
      </x:c>
      <x:c r="O90" t="str"/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113.25</x:v>
      </x:c>
      <x:c r="F91" s="2" t="str">
        <x:v>Frank</x:v>
      </x:c>
      <x:c r="G91" s="2" t="str">
        <x:v>Saquon Deez Nutz</x:v>
      </x:c>
      <x:c r="H91" s="15" t="n">
        <x:v>83.8</x:v>
      </x:c>
      <x:c r="I91" s="2" t="str">
        <x:f>IF(E91&gt;H91,C91,IF(E91&lt;H91,F91,"Tie"))</x:f>
        <x:v>Craig</x:v>
      </x:c>
      <x:c r="J91" s="2" t="str">
        <x:f>IF(E91&gt;H91,F91,IF(E91&lt;H91,C91,"Tie"))</x:f>
        <x:v>Frank</x:v>
      </x:c>
      <x:c r="K91" s="2" t="n">
        <x:f>IF(E91=H91,1,0)</x:f>
        <x:v>0</x:v>
      </x:c>
      <x:c r="L91" s="2" t="str">
        <x:v>Craig / Frank</x:v>
      </x:c>
      <x:c r="M91" t="str"/>
      <x:c r="N91" t="str">
        <x:v>Supplied</x:v>
      </x:c>
      <x:c r="O91" t="str"/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2 Girls 1 Kupp</x:v>
      </x:c>
      <x:c r="E92" s="15" t="n">
        <x:v>117.1</x:v>
      </x:c>
      <x:c r="F92" s="2" t="str">
        <x:v>Mike</x:v>
      </x:c>
      <x:c r="G92" s="2" t="str">
        <x:v>Mikey bucket hats</x:v>
      </x:c>
      <x:c r="H92" s="15" t="n">
        <x:v>133.65</x:v>
      </x:c>
      <x:c r="I92" s="2" t="str">
        <x:f>IF(E92&gt;H92,C92,IF(E92&lt;H92,F92,"Tie"))</x:f>
        <x:v>Mike</x:v>
      </x:c>
      <x:c r="J92" s="2" t="str">
        <x:f>IF(E92&gt;H92,F92,IF(E92&lt;H92,C92,"Tie"))</x:f>
        <x:v>Dave</x:v>
      </x:c>
      <x:c r="K92" s="2" t="n">
        <x:f>IF(E92=H92,1,0)</x:f>
        <x:v>0</x:v>
      </x:c>
      <x:c r="L92" s="2" t="str">
        <x:v>Dave / Mike</x:v>
      </x:c>
      <x:c r="M92" t="str"/>
      <x:c r="N92" t="str">
        <x:v>Supplied</x:v>
      </x:c>
      <x:c r="O92" t="str"/>
    </x:row>
    <x:row r="93" ht="22" customHeight="1">
      <x:c r="A93" s="2" t="n">
        <x:v>12</x:v>
      </x:c>
      <x:c r="B93" s="2" t="str">
        <x:v>Regular</x:v>
      </x:c>
      <x:c r="C93" s="2" t="str">
        <x:v>Ed</x:v>
      </x:c>
      <x:c r="D93" s="2" t="str">
        <x:v>Club Eroticas Finest</x:v>
      </x:c>
      <x:c r="E93" s="15" t="n">
        <x:v>152.6</x:v>
      </x:c>
      <x:c r="F93" s="2" t="str">
        <x:v>Poker Dude</x:v>
      </x:c>
      <x:c r="G93" s="2" t="str">
        <x:v>james's Team</x:v>
      </x:c>
      <x:c r="H93" s="15" t="n">
        <x:v>99.55</x:v>
      </x:c>
      <x:c r="I93" s="2" t="str">
        <x:f>IF(E93&gt;H93,C93,IF(E93&lt;H93,F93,"Tie"))</x:f>
        <x:v>Ed</x:v>
      </x:c>
      <x:c r="J93" s="2" t="str">
        <x:f>IF(E93&gt;H93,F93,IF(E93&lt;H93,C93,"Tie"))</x:f>
        <x:v>Poker Dude</x:v>
      </x:c>
      <x:c r="K93" s="2" t="n">
        <x:f>IF(E93=H93,1,0)</x:f>
        <x:v>0</x:v>
      </x:c>
      <x:c r="L93" s="2" t="str">
        <x:v>Ed / Poker Dude</x:v>
      </x:c>
      <x:c r="M93" t="str"/>
      <x:c r="N93" t="str">
        <x:v>Supplied</x:v>
      </x:c>
      <x:c r="O93" t="str"/>
    </x:row>
    <x:row r="94" ht="22" customHeight="1">
      <x:c r="A94" s="2" t="n">
        <x:v>12</x:v>
      </x:c>
      <x:c r="B94" s="2" t="str">
        <x:v>Regular</x:v>
      </x:c>
      <x:c r="C94" s="2" t="str">
        <x:v>Josh</x:v>
      </x:c>
      <x:c r="D94" s="2" t="str">
        <x:v>Laughing Bucket Hats</x:v>
      </x:c>
      <x:c r="E94" s="15" t="n">
        <x:v>97.85</x:v>
      </x:c>
      <x:c r="F94" s="2" t="str">
        <x:v>Mark</x:v>
      </x:c>
      <x:c r="G94" s="2" t="str">
        <x:v>wacky waving arms</x:v>
      </x:c>
      <x:c r="H94" s="15" t="n">
        <x:v>126</x:v>
      </x:c>
      <x:c r="I94" s="2" t="str">
        <x:f>IF(E94&gt;H94,C94,IF(E94&lt;H94,F94,"Tie"))</x:f>
        <x:v>Mark</x:v>
      </x:c>
      <x:c r="J94" s="2" t="str">
        <x:f>IF(E94&gt;H94,F94,IF(E94&lt;H94,C94,"Tie"))</x:f>
        <x:v>Josh</x:v>
      </x:c>
      <x:c r="K94" s="2" t="n">
        <x:f>IF(E94=H94,1,0)</x:f>
        <x:v>0</x:v>
      </x:c>
      <x:c r="L94" s="2" t="str">
        <x:v>Josh / Mark</x:v>
      </x:c>
      <x:c r="M94" t="str"/>
      <x:c r="N94" t="str">
        <x:v>Supplied</x:v>
      </x:c>
      <x:c r="O94" t="str"/>
    </x:row>
    <x:row r="95" ht="22" customHeight="1">
      <x:c r="A95" s="2" t="n">
        <x:v>12</x:v>
      </x:c>
      <x:c r="B95" s="2" t="str">
        <x:v>Regular</x:v>
      </x:c>
      <x:c r="C95" s="2" t="str">
        <x:v>Paul</x:v>
      </x:c>
      <x:c r="D95" s="2" t="str">
        <x:v>Space Dogs</x:v>
      </x:c>
      <x:c r="E95" s="15" t="n">
        <x:v>127.85</x:v>
      </x:c>
      <x:c r="F95" s="2" t="str">
        <x:v>Nick</x:v>
      </x:c>
      <x:c r="G95" s="2" t="str">
        <x:v>Team Scoops</x:v>
      </x:c>
      <x:c r="H95" s="15" t="n">
        <x:v>160.4</x:v>
      </x:c>
      <x:c r="I95" s="2" t="str">
        <x:f>IF(E95&gt;H95,C95,IF(E95&lt;H95,F95,"Tie"))</x:f>
        <x:v>Nick</x:v>
      </x:c>
      <x:c r="J95" s="2" t="str">
        <x:f>IF(E95&gt;H95,F95,IF(E95&lt;H95,C95,"Tie"))</x:f>
        <x:v>Paul</x:v>
      </x:c>
      <x:c r="K95" s="2" t="n">
        <x:f>IF(E95=H95,1,0)</x:f>
        <x:v>0</x:v>
      </x:c>
      <x:c r="L95" s="2" t="str">
        <x:v>Nick / Paul</x:v>
      </x:c>
      <x:c r="M95" t="str"/>
      <x:c r="N95" t="str">
        <x:v>Supplied</x:v>
      </x:c>
      <x:c r="O95" t="str"/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128.9</x:v>
      </x:c>
      <x:c r="F96" s="2" t="str">
        <x:v>Craig</x:v>
      </x:c>
      <x:c r="G96" s="2" t="str">
        <x:v>The Ants Marching</x:v>
      </x:c>
      <x:c r="H96" s="15" t="n">
        <x:v>120.55</x:v>
      </x:c>
      <x:c r="I96" s="2" t="str">
        <x:f>IF(E96&gt;H96,C96,IF(E96&lt;H96,F96,"Tie"))</x:f>
        <x:v>Bruce</x:v>
      </x:c>
      <x:c r="J96" s="2" t="str">
        <x:f>IF(E96&gt;H96,F96,IF(E96&lt;H96,C96,"Tie"))</x:f>
        <x:v>Craig</x:v>
      </x:c>
      <x:c r="K96" s="2" t="n">
        <x:f>IF(E96=H96,1,0)</x:f>
        <x:v>0</x:v>
      </x:c>
      <x:c r="L96" s="2" t="str">
        <x:v>Bruce / Craig</x:v>
      </x:c>
      <x:c r="M96" t="str"/>
      <x:c r="N96" t="str">
        <x:v>Supplied</x:v>
      </x:c>
      <x:c r="O96" t="str">
        <x:v>*</x:v>
      </x:c>
    </x:row>
    <x:row r="97" ht="22" customHeight="1">
      <x:c r="A97" s="2" t="n">
        <x:v>13</x:v>
      </x:c>
      <x:c r="B97" s="2" t="str">
        <x:v>Regular</x:v>
      </x:c>
      <x:c r="C97" s="2" t="str">
        <x:v>Dave</x:v>
      </x:c>
      <x:c r="D97" s="2" t="str">
        <x:v>2 Girls 1 Kupp</x:v>
      </x:c>
      <x:c r="E97" s="15" t="n">
        <x:v>124.6</x:v>
      </x:c>
      <x:c r="F97" s="2" t="str">
        <x:v>Poker Dude</x:v>
      </x:c>
      <x:c r="G97" s="2" t="str">
        <x:v>james's Team</x:v>
      </x:c>
      <x:c r="H97" s="15" t="n">
        <x:v>85.65</x:v>
      </x:c>
      <x:c r="I97" s="2" t="str">
        <x:f>IF(E97&gt;H97,C97,IF(E97&lt;H97,F97,"Tie"))</x:f>
        <x:v>Dave</x:v>
      </x:c>
      <x:c r="J97" s="2" t="str">
        <x:f>IF(E97&gt;H97,F97,IF(E97&lt;H97,C97,"Tie"))</x:f>
        <x:v>Poker Dude</x:v>
      </x:c>
      <x:c r="K97" s="2" t="n">
        <x:f>IF(E97=H97,1,0)</x:f>
        <x:v>0</x:v>
      </x:c>
      <x:c r="L97" s="2" t="str">
        <x:v>Dave / Poker Dude</x:v>
      </x:c>
      <x:c r="M97" t="str"/>
      <x:c r="N97" t="str">
        <x:v>Supplied</x:v>
      </x:c>
      <x:c r="O97" t="str">
        <x:v>*</x:v>
      </x:c>
    </x:row>
    <x:row r="98" ht="22" customHeight="1">
      <x:c r="A98" s="2" t="n">
        <x:v>13</x:v>
      </x:c>
      <x:c r="B98" s="2" t="str">
        <x:v>Regular</x:v>
      </x:c>
      <x:c r="C98" s="2" t="str">
        <x:v>Ed</x:v>
      </x:c>
      <x:c r="D98" s="2" t="str">
        <x:v>Club Eroticas Finest</x:v>
      </x:c>
      <x:c r="E98" s="15" t="n">
        <x:v>108.55</x:v>
      </x:c>
      <x:c r="F98" s="2" t="str">
        <x:v>Mike</x:v>
      </x:c>
      <x:c r="G98" s="2" t="str">
        <x:v>Mikey bucket hats</x:v>
      </x:c>
      <x:c r="H98" s="15" t="n">
        <x:v>157.3</x:v>
      </x:c>
      <x:c r="I98" s="2" t="str">
        <x:f>IF(E98&gt;H98,C98,IF(E98&lt;H98,F98,"Tie"))</x:f>
        <x:v>Mike</x:v>
      </x:c>
      <x:c r="J98" s="2" t="str">
        <x:f>IF(E98&gt;H98,F98,IF(E98&lt;H98,C98,"Tie"))</x:f>
        <x:v>Ed</x:v>
      </x:c>
      <x:c r="K98" s="2" t="n">
        <x:f>IF(E98=H98,1,0)</x:f>
        <x:v>0</x:v>
      </x:c>
      <x:c r="L98" s="2" t="str">
        <x:v>Ed / Mike</x:v>
      </x:c>
      <x:c r="M98" t="str"/>
      <x:c r="N98" t="str">
        <x:v>Supplied</x:v>
      </x:c>
      <x:c r="O98" t="str">
        <x:v>*</x:v>
      </x:c>
    </x:row>
    <x:row r="99" ht="22" customHeight="1">
      <x:c r="A99" s="2" t="n">
        <x:v>13</x:v>
      </x:c>
      <x:c r="B99" s="2" t="str">
        <x:v>Regular</x:v>
      </x:c>
      <x:c r="C99" s="2" t="str">
        <x:v>Frank</x:v>
      </x:c>
      <x:c r="D99" s="2" t="str">
        <x:v>Saquon Deez Nutz</x:v>
      </x:c>
      <x:c r="E99" s="15" t="n">
        <x:v>79.7</x:v>
      </x:c>
      <x:c r="F99" s="2" t="str">
        <x:v>Paul</x:v>
      </x:c>
      <x:c r="G99" s="2" t="str">
        <x:v>Space Dogs</x:v>
      </x:c>
      <x:c r="H99" s="15" t="n">
        <x:v>85.15</x:v>
      </x:c>
      <x:c r="I99" s="2" t="str">
        <x:f>IF(E99&gt;H99,C99,IF(E99&lt;H99,F99,"Tie"))</x:f>
        <x:v>Paul</x:v>
      </x:c>
      <x:c r="J99" s="2" t="str">
        <x:f>IF(E99&gt;H99,F99,IF(E99&lt;H99,C99,"Tie"))</x:f>
        <x:v>Frank</x:v>
      </x:c>
      <x:c r="K99" s="2" t="n">
        <x:f>IF(E99=H99,1,0)</x:f>
        <x:v>0</x:v>
      </x:c>
      <x:c r="L99" s="2" t="str">
        <x:v>Frank / Paul</x:v>
      </x:c>
      <x:c r="M99" t="str"/>
      <x:c r="N99" t="str">
        <x:v>Supplied</x:v>
      </x:c>
      <x:c r="O99" t="str">
        <x:v>*</x:v>
      </x:c>
    </x:row>
    <x:row r="100" ht="22" customHeight="1">
      <x:c r="A100" s="2" t="n">
        <x:v>13</x:v>
      </x:c>
      <x:c r="B100" s="2" t="str">
        <x:v>Regular</x:v>
      </x:c>
      <x:c r="C100" s="2" t="str">
        <x:v>Josh</x:v>
      </x:c>
      <x:c r="D100" s="2" t="str">
        <x:v>Laughing Bucket Hats</x:v>
      </x:c>
      <x:c r="E100" s="15" t="n">
        <x:v>97.75</x:v>
      </x:c>
      <x:c r="F100" s="2" t="str">
        <x:v>Nick</x:v>
      </x:c>
      <x:c r="G100" s="2" t="str">
        <x:v>Team Scoops</x:v>
      </x:c>
      <x:c r="H100" s="15" t="n">
        <x:v>168.35</x:v>
      </x:c>
      <x:c r="I100" s="2" t="str">
        <x:f>IF(E100&gt;H100,C100,IF(E100&lt;H100,F100,"Tie"))</x:f>
        <x:v>Nick</x:v>
      </x:c>
      <x:c r="J100" s="2" t="str">
        <x:f>IF(E100&gt;H100,F100,IF(E100&lt;H100,C100,"Tie"))</x:f>
        <x:v>Josh</x:v>
      </x:c>
      <x:c r="K100" s="2" t="n">
        <x:f>IF(E100=H100,1,0)</x:f>
        <x:v>0</x:v>
      </x:c>
      <x:c r="L100" s="2" t="str">
        <x:v>Josh / Nick</x:v>
      </x:c>
      <x:c r="M100" t="str"/>
      <x:c r="N100" t="str">
        <x:v>Supplied</x:v>
      </x:c>
      <x:c r="O100" t="str">
        <x:v>*</x:v>
      </x:c>
    </x:row>
    <x:row r="101" ht="22" customHeight="1">
      <x:c r="A101" s="2" t="n">
        <x:v>13</x:v>
      </x:c>
      <x:c r="B101" s="2" t="str">
        <x:v>Regular</x:v>
      </x:c>
      <x:c r="C101" s="2" t="str">
        <x:v>Mark</x:v>
      </x:c>
      <x:c r="D101" s="2" t="str">
        <x:v>wacky waving arms</x:v>
      </x:c>
      <x:c r="E101" s="15" t="n">
        <x:v>78.45</x:v>
      </x:c>
      <x:c r="F101" s="2" t="str">
        <x:v>Matt</x:v>
      </x:c>
      <x:c r="G101" s="2" t="str">
        <x:v>Mr.Montana</x:v>
      </x:c>
      <x:c r="H101" s="15" t="n">
        <x:v>127.75</x:v>
      </x:c>
      <x:c r="I101" s="2" t="str">
        <x:f>IF(E101&gt;H101,C101,IF(E101&lt;H101,F101,"Tie"))</x:f>
        <x:v>Matt</x:v>
      </x:c>
      <x:c r="J101" s="2" t="str">
        <x:f>IF(E101&gt;H101,F101,IF(E101&lt;H101,C101,"Tie"))</x:f>
        <x:v>Mark</x:v>
      </x:c>
      <x:c r="K101" s="2" t="n">
        <x:f>IF(E101=H101,1,0)</x:f>
        <x:v>0</x:v>
      </x:c>
      <x:c r="L101" s="2" t="str">
        <x:v>Mark / Matt</x:v>
      </x:c>
      <x:c r="M101" t="str"/>
      <x:c r="N101" t="str">
        <x:v>Supplied</x:v>
      </x:c>
      <x:c r="O101" t="str">
        <x:v>*</x:v>
      </x:c>
    </x:row>
    <x:row r="102" ht="22" customHeight="1">
      <x:c r="A102" s="2" t="n">
        <x:v>14</x:v>
      </x:c>
      <x:c r="B102" s="2" t="str">
        <x:v>Regular</x:v>
      </x:c>
      <x:c r="C102" s="2" t="str">
        <x:v>Bruce</x:v>
      </x:c>
      <x:c r="D102" s="2" t="str">
        <x:v>The Storm</x:v>
      </x:c>
      <x:c r="E102" s="15" t="n">
        <x:v>105.25</x:v>
      </x:c>
      <x:c r="F102" s="2" t="str">
        <x:v>Dave</x:v>
      </x:c>
      <x:c r="G102" s="2" t="str">
        <x:v>2 Girls 1 Kupp</x:v>
      </x:c>
      <x:c r="H102" s="15" t="n">
        <x:v>149.5</x:v>
      </x:c>
      <x:c r="I102" s="2" t="str">
        <x:f>IF(E102&gt;H102,C102,IF(E102&lt;H102,F102,"Tie"))</x:f>
        <x:v>Dave</x:v>
      </x:c>
      <x:c r="J102" s="2" t="str">
        <x:f>IF(E102&gt;H102,F102,IF(E102&lt;H102,C102,"Tie"))</x:f>
        <x:v>Bruce</x:v>
      </x:c>
      <x:c r="K102" s="2" t="n">
        <x:f>IF(E102=H102,1,0)</x:f>
        <x:v>0</x:v>
      </x:c>
      <x:c r="L102" s="2" t="str">
        <x:v>Bruce / Dave</x:v>
      </x:c>
      <x:c r="M102" t="str"/>
      <x:c r="N102" t="str">
        <x:v>Supplied</x:v>
      </x:c>
      <x:c r="O102" t="str">
        <x:v>*</x:v>
      </x:c>
    </x:row>
    <x:row r="103" ht="22" customHeight="1">
      <x:c r="A103" s="2" t="n">
        <x:v>14</x:v>
      </x:c>
      <x:c r="B103" s="2" t="str">
        <x:v>Regular</x:v>
      </x:c>
      <x:c r="C103" s="2" t="str">
        <x:v>Craig</x:v>
      </x:c>
      <x:c r="D103" s="2" t="str">
        <x:v>The Ants Marching</x:v>
      </x:c>
      <x:c r="E103" s="15" t="n">
        <x:v>144.25</x:v>
      </x:c>
      <x:c r="F103" s="2" t="str">
        <x:v>Poker Dude</x:v>
      </x:c>
      <x:c r="G103" s="2" t="str">
        <x:v>james's Team</x:v>
      </x:c>
      <x:c r="H103" s="15" t="n">
        <x:v>115</x:v>
      </x:c>
      <x:c r="I103" s="2" t="str">
        <x:f>IF(E103&gt;H103,C103,IF(E103&lt;H103,F103,"Tie"))</x:f>
        <x:v>Craig</x:v>
      </x:c>
      <x:c r="J103" s="2" t="str">
        <x:f>IF(E103&gt;H103,F103,IF(E103&lt;H103,C103,"Tie"))</x:f>
        <x:v>Poker Dude</x:v>
      </x:c>
      <x:c r="K103" s="2" t="n">
        <x:f>IF(E103=H103,1,0)</x:f>
        <x:v>0</x:v>
      </x:c>
      <x:c r="L103" s="2" t="str">
        <x:v>Craig / Poker Dude</x:v>
      </x:c>
      <x:c r="M103" t="str"/>
      <x:c r="N103" t="str">
        <x:v>Supplied</x:v>
      </x:c>
      <x:c r="O103" t="str">
        <x:v>*</x:v>
      </x:c>
    </x:row>
    <x:row r="104" ht="22" customHeight="1">
      <x:c r="A104" s="2" t="n">
        <x:v>14</x:v>
      </x:c>
      <x:c r="B104" s="2" t="str">
        <x:v>Regular</x:v>
      </x:c>
      <x:c r="C104" s="2" t="str">
        <x:v>Ed</x:v>
      </x:c>
      <x:c r="D104" s="2" t="str">
        <x:v>Club Eroticas Finest</x:v>
      </x:c>
      <x:c r="E104" s="15" t="n">
        <x:v>111.6</x:v>
      </x:c>
      <x:c r="F104" s="2" t="str">
        <x:v>Nick</x:v>
      </x:c>
      <x:c r="G104" s="2" t="str">
        <x:v>Team Scoops</x:v>
      </x:c>
      <x:c r="H104" s="15" t="n">
        <x:v>150</x:v>
      </x:c>
      <x:c r="I104" s="2" t="str">
        <x:f>IF(E104&gt;H104,C104,IF(E104&lt;H104,F104,"Tie"))</x:f>
        <x:v>Nick</x:v>
      </x:c>
      <x:c r="J104" s="2" t="str">
        <x:f>IF(E104&gt;H104,F104,IF(E104&lt;H104,C104,"Tie"))</x:f>
        <x:v>Ed</x:v>
      </x:c>
      <x:c r="K104" s="2" t="n">
        <x:f>IF(E104=H104,1,0)</x:f>
        <x:v>0</x:v>
      </x:c>
      <x:c r="L104" s="2" t="str">
        <x:v>Ed / Nick</x:v>
      </x:c>
      <x:c r="M104" t="str"/>
      <x:c r="N104" t="str">
        <x:v>Supplied</x:v>
      </x:c>
      <x:c r="O104" t="str">
        <x:v>*</x:v>
      </x:c>
    </x:row>
    <x:row r="105" ht="22" customHeight="1">
      <x:c r="A105" s="2" t="n">
        <x:v>14</x:v>
      </x:c>
      <x:c r="B105" s="2" t="str">
        <x:v>Regular</x:v>
      </x:c>
      <x:c r="C105" s="2" t="str">
        <x:v>Frank</x:v>
      </x:c>
      <x:c r="D105" s="2" t="str">
        <x:v>Saquon Deez Nutz</x:v>
      </x:c>
      <x:c r="E105" s="15" t="n">
        <x:v>79.75</x:v>
      </x:c>
      <x:c r="F105" s="2" t="str">
        <x:v>Mark</x:v>
      </x:c>
      <x:c r="G105" s="2" t="str">
        <x:v>wacky waving arms</x:v>
      </x:c>
      <x:c r="H105" s="15" t="n">
        <x:v>91.15</x:v>
      </x:c>
      <x:c r="I105" s="2" t="str">
        <x:f>IF(E105&gt;H105,C105,IF(E105&lt;H105,F105,"Tie"))</x:f>
        <x:v>Mark</x:v>
      </x:c>
      <x:c r="J105" s="2" t="str">
        <x:f>IF(E105&gt;H105,F105,IF(E105&lt;H105,C105,"Tie"))</x:f>
        <x:v>Frank</x:v>
      </x:c>
      <x:c r="K105" s="2" t="n">
        <x:f>IF(E105=H105,1,0)</x:f>
        <x:v>0</x:v>
      </x:c>
      <x:c r="L105" s="2" t="str">
        <x:v>Frank / Mark</x:v>
      </x:c>
      <x:c r="M105" t="str"/>
      <x:c r="N105" t="str">
        <x:v>Supplied</x:v>
      </x:c>
      <x:c r="O105" t="str">
        <x:v>*</x:v>
      </x:c>
    </x:row>
    <x:row r="106" ht="22" customHeight="1">
      <x:c r="A106" s="2" t="n">
        <x:v>14</x:v>
      </x:c>
      <x:c r="B106" s="2" t="str">
        <x:v>Regular</x:v>
      </x:c>
      <x:c r="C106" s="2" t="str">
        <x:v>Mike</x:v>
      </x:c>
      <x:c r="D106" s="2" t="str">
        <x:v>Mikey bucket hats</x:v>
      </x:c>
      <x:c r="E106" s="15" t="n">
        <x:v>129.85</x:v>
      </x:c>
      <x:c r="F106" s="2" t="str">
        <x:v>Josh</x:v>
      </x:c>
      <x:c r="G106" s="2" t="str">
        <x:v>Laughing Bucket Hats</x:v>
      </x:c>
      <x:c r="H106" s="15" t="n">
        <x:v>63.85</x:v>
      </x:c>
      <x:c r="I106" s="2" t="str">
        <x:f>IF(E106&gt;H106,C106,IF(E106&lt;H106,F106,"Tie"))</x:f>
        <x:v>Mike</x:v>
      </x:c>
      <x:c r="J106" s="2" t="str">
        <x:f>IF(E106&gt;H106,F106,IF(E106&lt;H106,C106,"Tie"))</x:f>
        <x:v>Josh</x:v>
      </x:c>
      <x:c r="K106" s="2" t="n">
        <x:f>IF(E106=H106,1,0)</x:f>
        <x:v>0</x:v>
      </x:c>
      <x:c r="L106" s="2" t="str">
        <x:v>Josh / Mike</x:v>
      </x:c>
      <x:c r="M106" t="str"/>
      <x:c r="N106" t="str">
        <x:v>Supplied</x:v>
      </x:c>
      <x:c r="O106" t="str">
        <x:v>*</x:v>
      </x:c>
    </x:row>
    <x:row r="107" ht="22" customHeight="1">
      <x:c r="A107" s="2" t="n">
        <x:v>14</x:v>
      </x:c>
      <x:c r="B107" s="2" t="str">
        <x:v>Regular</x:v>
      </x:c>
      <x:c r="C107" s="2" t="str">
        <x:v>Paul</x:v>
      </x:c>
      <x:c r="D107" s="2" t="str">
        <x:v>Space Dogs</x:v>
      </x:c>
      <x:c r="E107" s="15" t="n">
        <x:v>125.75</x:v>
      </x:c>
      <x:c r="F107" s="2" t="str">
        <x:v>Matt</x:v>
      </x:c>
      <x:c r="G107" s="2" t="str">
        <x:v>Mr.Montana</x:v>
      </x:c>
      <x:c r="H107" s="15" t="n">
        <x:v>116.55</x:v>
      </x:c>
      <x:c r="I107" s="2" t="str">
        <x:f>IF(E107&gt;H107,C107,IF(E107&lt;H107,F107,"Tie"))</x:f>
        <x:v>Paul</x:v>
      </x:c>
      <x:c r="J107" s="2" t="str">
        <x:f>IF(E107&gt;H107,F107,IF(E107&lt;H107,C107,"Tie"))</x:f>
        <x:v>Matt</x:v>
      </x:c>
      <x:c r="K107" s="2" t="n">
        <x:f>IF(E107=H107,1,0)</x:f>
        <x:v>0</x:v>
      </x:c>
      <x:c r="L107" s="2" t="str">
        <x:v>Matt / Paul</x:v>
      </x:c>
      <x:c r="M107" t="str"/>
      <x:c r="N107" t="str">
        <x:v>Supplied</x:v>
      </x:c>
      <x:c r="O107" t="str">
        <x:v>*</x:v>
      </x:c>
    </x:row>
    <x:row r="108" ht="22" customHeight="1">
      <x:c r="A108" s="2" t="n">
        <x:v>15</x:v>
      </x:c>
      <x:c r="B108" s="2" t="str">
        <x:v>Playoffs</x:v>
      </x:c>
      <x:c r="C108" s="2" t="str">
        <x:v>Mike</x:v>
      </x:c>
      <x:c r="D108" s="2" t="str">
        <x:v>Mikey bucket hats</x:v>
      </x:c>
      <x:c r="E108" s="15" t="n">
        <x:v>149.25</x:v>
      </x:c>
      <x:c r="F108" s="2" t="str">
        <x:v>Nick</x:v>
      </x:c>
      <x:c r="G108" s="2" t="str">
        <x:v>Team Scoops</x:v>
      </x:c>
      <x:c r="H108" s="15" t="n">
        <x:v>117.5</x:v>
      </x:c>
      <x:c r="I108" s="2" t="str">
        <x:f>IF(E108&gt;H108,C108,IF(E108&lt;H108,F108,"Tie"))</x:f>
        <x:v>Mike</x:v>
      </x:c>
      <x:c r="J108" s="2" t="str">
        <x:f>IF(E108&gt;H108,F108,IF(E108&lt;H108,C108,"Tie"))</x:f>
        <x:v>Nick</x:v>
      </x:c>
      <x:c r="K108" s="2" t="n">
        <x:f>IF(E108=H108,1,0)</x:f>
        <x:v>0</x:v>
      </x:c>
      <x:c r="L108" s="2" t="str">
        <x:v>Mike / Nick</x:v>
      </x:c>
      <x:c r="M108" t="str">
        <x:v>Quarterfinal</x:v>
      </x:c>
      <x:c r="N108" t="str">
        <x:v>Inferred</x:v>
      </x:c>
      <x:c r="O108" t="str"/>
    </x:row>
    <x:row r="109" ht="22" customHeight="1">
      <x:c r="A109" s="2" t="n">
        <x:v>15</x:v>
      </x:c>
      <x:c r="B109" s="2" t="str">
        <x:v>Playoffs</x:v>
      </x:c>
      <x:c r="C109" s="2" t="str">
        <x:v>Paul</x:v>
      </x:c>
      <x:c r="D109" s="2" t="str">
        <x:v>Space Dogs</x:v>
      </x:c>
      <x:c r="E109" s="15" t="n">
        <x:v>148.8</x:v>
      </x:c>
      <x:c r="F109" s="2" t="str">
        <x:v>Poker Dude</x:v>
      </x:c>
      <x:c r="G109" s="2" t="str">
        <x:v>james's Team</x:v>
      </x:c>
      <x:c r="H109" s="15" t="n">
        <x:v>147.6</x:v>
      </x:c>
      <x:c r="I109" s="2" t="str">
        <x:f>IF(E109&gt;H109,C109,IF(E109&lt;H109,F109,"Tie"))</x:f>
        <x:v>Paul</x:v>
      </x:c>
      <x:c r="J109" s="2" t="str">
        <x:f>IF(E109&gt;H109,F109,IF(E109&lt;H109,C109,"Tie"))</x:f>
        <x:v>Poker Dude</x:v>
      </x:c>
      <x:c r="K109" s="2" t="n">
        <x:f>IF(E109=H109,1,0)</x:f>
        <x:v>0</x:v>
      </x:c>
      <x:c r="L109" s="2" t="str">
        <x:v>Paul / Poker Dude</x:v>
      </x:c>
      <x:c r="M109" t="str">
        <x:v>Quarterfinal</x:v>
      </x:c>
      <x:c r="N109" t="str">
        <x:v>Inferred</x:v>
      </x:c>
      <x:c r="O109" t="str"/>
    </x:row>
    <x:row r="110" ht="22" customHeight="1">
      <x:c r="A110" s="2" t="n">
        <x:v>16</x:v>
      </x:c>
      <x:c r="B110" s="2" t="str">
        <x:v>Playoffs</x:v>
      </x:c>
      <x:c r="C110" s="2" t="str">
        <x:v>Ed</x:v>
      </x:c>
      <x:c r="D110" s="2" t="str">
        <x:v>Club Eroticas Finest</x:v>
      </x:c>
      <x:c r="E110" s="15" t="n">
        <x:v>97</x:v>
      </x:c>
      <x:c r="F110" s="2" t="str">
        <x:v>Mike</x:v>
      </x:c>
      <x:c r="G110" s="2" t="str">
        <x:v>Mikey bucket hats</x:v>
      </x:c>
      <x:c r="H110" s="15" t="n">
        <x:v>139.4</x:v>
      </x:c>
      <x:c r="I110" s="2" t="str">
        <x:f>IF(E110&gt;H110,C110,IF(E110&lt;H110,F110,"Tie"))</x:f>
        <x:v>Mike</x:v>
      </x:c>
      <x:c r="J110" s="2" t="str">
        <x:f>IF(E110&gt;H110,F110,IF(E110&lt;H110,C110,"Tie"))</x:f>
        <x:v>Ed</x:v>
      </x:c>
      <x:c r="K110" s="2" t="n">
        <x:f>IF(E110=H110,1,0)</x:f>
        <x:v>0</x:v>
      </x:c>
      <x:c r="L110" s="2" t="str">
        <x:v>Ed / Mike</x:v>
      </x:c>
      <x:c r="M110" t="str">
        <x:v>Semifinal</x:v>
      </x:c>
      <x:c r="N110" t="str">
        <x:v>Inferred</x:v>
      </x:c>
      <x:c r="O110" t="str"/>
    </x:row>
    <x:row r="111" ht="22" customHeight="1">
      <x:c r="A111" s="2" t="n">
        <x:v>16</x:v>
      </x:c>
      <x:c r="B111" s="2" t="str">
        <x:v>Playoffs</x:v>
      </x:c>
      <x:c r="C111" s="2" t="str">
        <x:v>Paul</x:v>
      </x:c>
      <x:c r="D111" s="2" t="str">
        <x:v>Space Dogs</x:v>
      </x:c>
      <x:c r="E111" s="15" t="n">
        <x:v>99.35</x:v>
      </x:c>
      <x:c r="F111" s="2" t="str">
        <x:v>Dave</x:v>
      </x:c>
      <x:c r="G111" s="2" t="str">
        <x:v>2 Girls 1 Kupp</x:v>
      </x:c>
      <x:c r="H111" s="15" t="n">
        <x:v>97.55</x:v>
      </x:c>
      <x:c r="I111" s="2" t="str">
        <x:f>IF(E111&gt;H111,C111,IF(E111&lt;H111,F111,"Tie"))</x:f>
        <x:v>Paul</x:v>
      </x:c>
      <x:c r="J111" s="2" t="str">
        <x:f>IF(E111&gt;H111,F111,IF(E111&lt;H111,C111,"Tie"))</x:f>
        <x:v>Dave</x:v>
      </x:c>
      <x:c r="K111" s="2" t="n">
        <x:f>IF(E111=H111,1,0)</x:f>
        <x:v>0</x:v>
      </x:c>
      <x:c r="L111" s="2" t="str">
        <x:v>Dave / Paul</x:v>
      </x:c>
      <x:c r="M111" t="str">
        <x:v>Semifinal</x:v>
      </x:c>
      <x:c r="N111" t="str">
        <x:v>Inferred</x:v>
      </x:c>
      <x:c r="O111" t="str"/>
    </x:row>
    <x:row r="112" ht="22" customHeight="1">
      <x:c r="A112" s="2" t="n">
        <x:v>17</x:v>
      </x:c>
      <x:c r="B112" s="2" t="str">
        <x:v>Playoffs</x:v>
      </x:c>
      <x:c r="C112" s="2" t="str">
        <x:v>Mike</x:v>
      </x:c>
      <x:c r="D112" s="2" t="str">
        <x:v>Mikey bucket hats</x:v>
      </x:c>
      <x:c r="E112" s="15" t="n">
        <x:v>110.1</x:v>
      </x:c>
      <x:c r="F112" s="2" t="str">
        <x:v>Paul</x:v>
      </x:c>
      <x:c r="G112" s="2" t="str">
        <x:v>Space Dogs</x:v>
      </x:c>
      <x:c r="H112" s="15" t="n">
        <x:v>64.65</x:v>
      </x:c>
      <x:c r="I112" s="2" t="str">
        <x:f>IF(E112&gt;H112,C112,IF(E112&lt;H112,F112,"Tie"))</x:f>
        <x:v>Mike</x:v>
      </x:c>
      <x:c r="J112" s="2" t="str">
        <x:f>IF(E112&gt;H112,F112,IF(E112&lt;H112,C112,"Tie"))</x:f>
        <x:v>Paul</x:v>
      </x:c>
      <x:c r="K112" s="2" t="n">
        <x:f>IF(E112=H112,1,0)</x:f>
        <x:v>0</x:v>
      </x:c>
      <x:c r="L112" s="2" t="str">
        <x:v>Mike / Paul</x:v>
      </x:c>
      <x:c r="M112" t="str">
        <x:v>Final</x:v>
      </x:c>
      <x:c r="N112" t="str">
        <x:v>Inferred</x:v>
      </x:c>
      <x:c r="O112" t="str"/>
    </x:row>
  </x:sheetData>
  <x:pageMargins left="0.7" right="0.7" top="0.75" bottom="0.75" header="0.3" footer="0.3"/>
  <x:tableParts count="1">
    <x:tablePart xmlns:r="http://schemas.openxmlformats.org/officeDocument/2006/relationships" r:id="R21120dbbea32419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2023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Paul</x:v>
      </x:c>
      <x:c r="C4" s="2"/>
      <x:c r="D4" s="2" t="str">
        <x:v>Runner-up</x:v>
      </x:c>
      <x:c r="E4" s="2" t="str">
        <x:v>Josh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18" t="str">
        <x:v>Manager</x:v>
      </x:c>
      <x:c r="B6" s="18" t="str">
        <x:v>Team</x:v>
      </x:c>
      <x:c r="C6" s="18" t="str">
        <x:v>W</x:v>
      </x:c>
      <x:c r="D6" s="18" t="str">
        <x:v>L</x:v>
      </x:c>
      <x:c r="E6" s="18" t="str">
        <x:v>T</x:v>
      </x:c>
      <x:c r="F6" s="18" t="str">
        <x:v>Games</x:v>
      </x:c>
      <x:c r="G6" s="18" t="str">
        <x:v>Win %</x:v>
      </x:c>
      <x:c r="H6" s="18" t="str">
        <x:v>PF</x:v>
      </x:c>
      <x:c r="I6" s="18" t="str">
        <x:v>PA</x:v>
      </x:c>
      <x:c r="J6" s="18" t="str">
        <x:v>Moves</x:v>
      </x:c>
      <x:c r="K6" s="18" t="str">
        <x:v>Trades</x:v>
      </x:c>
      <x:c r="L6" s="18" t="str">
        <x:v>Waiver</x:v>
      </x:c>
    </x:row>
    <x:row r="7" ht="22" customHeight="1">
      <x:c r="A7" s="2" t="str">
        <x:v>Bruce</x:v>
      </x:c>
      <x:c r="B7" s="2" t="str">
        <x:v>The Storm</x:v>
      </x:c>
      <x:c r="C7" s="2" t="n">
        <x:f>COUNTIFS('2023'!$I$24:$I$112,A7,'2023'!$B$24:$B$112,"&lt;&gt;Playoffs")</x:f>
        <x:v>9</x:v>
      </x:c>
      <x:c r="D7" s="2" t="n">
        <x:f>COUNTIFS('2023'!$J$24:$J$112,A7,'2023'!$B$24:$B$112,"&lt;&gt;Playoffs")</x:f>
        <x:v>5</x:v>
      </x:c>
      <x:c r="E7" s="2" t="n">
        <x:f>COUNTIFS('2023'!$C$24:$C$112,A7,'2023'!$K$24:$K$112,1,'2023'!$B$24:$B$112,"&lt;&gt;Playoffs")+COUNTIFS('2023'!$F$24:$F$112,A7,'2023'!$K$24:$K$112,1,'2023'!$B$24:$B$112,"&lt;&gt;Playoffs")</x:f>
        <x:v>0</x:v>
      </x:c>
      <x:c r="F7" s="2" t="n">
        <x:f>SUM(C7:E7)</x:f>
        <x:v>14</x:v>
      </x:c>
      <x:c r="G7" s="11" t="n">
        <x:f>IF(F7=0,0,(C7+0.5*E7)/F7)</x:f>
        <x:v>0.6428571428571429</x:v>
      </x:c>
      <x:c r="H7" s="25" t="n">
        <x:f>SUMIFS('2023'!$E$24:$E$112,'2023'!$C$24:$C$112,A7,'2023'!$B$24:$B$112,"&lt;&gt;Playoffs")+SUMIFS('2023'!$H$24:$H$112,'2023'!$F$24:$F$112,A7,'2023'!$B$24:$B$112,"&lt;&gt;Playoffs")</x:f>
        <x:v>1758.05</x:v>
      </x:c>
      <x:c r="I7" s="25" t="n">
        <x:f>SUMIFS('2023'!$H$24:$H$112,'2023'!$C$24:$C$112,A7,'2023'!$B$24:$B$112,"&lt;&gt;Playoffs")+SUMIFS('2023'!$E$24:$E$112,'2023'!$F$24:$F$112,A7,'2023'!$B$24:$B$112,"&lt;&gt;Playoffs")</x:f>
        <x:v>1631</x:v>
      </x:c>
      <x:c r="J7" s="2" t="n">
        <x:v>8</x:v>
      </x:c>
      <x:c r="K7" s="2" t="n">
        <x:v>1</x:v>
      </x:c>
      <x:c r="L7" s="2" t="n">
        <x:v>8</x:v>
      </x:c>
    </x:row>
    <x:row r="8" ht="22" customHeight="1">
      <x:c r="A8" s="22" t="str">
        <x:v>Craig</x:v>
      </x:c>
      <x:c r="B8" s="22" t="str">
        <x:v>The Ants Marching</x:v>
      </x:c>
      <x:c r="C8" s="22" t="n">
        <x:f>COUNTIFS('2023'!$I$24:$I$112,A8,'2023'!$B$24:$B$112,"&lt;&gt;Playoffs")</x:f>
        <x:v>7</x:v>
      </x:c>
      <x:c r="D8" s="22" t="n">
        <x:f>COUNTIFS('2023'!$J$24:$J$112,A8,'2023'!$B$24:$B$112,"&lt;&gt;Playoffs")</x:f>
        <x:v>7</x:v>
      </x:c>
      <x:c r="E8" s="22" t="n">
        <x:f>COUNTIFS('2023'!$C$24:$C$112,A8,'2023'!$K$24:$K$112,1,'2023'!$B$24:$B$112,"&lt;&gt;Playoffs")+COUNTIFS('2023'!$F$24:$F$112,A8,'2023'!$K$24:$K$112,1,'2023'!$B$24:$B$112,"&lt;&gt;Playoffs")</x:f>
        <x:v>0</x:v>
      </x:c>
      <x:c r="F8" s="22" t="n">
        <x:f>SUM(C8:E8)</x:f>
        <x:v>14</x:v>
      </x:c>
      <x:c r="G8" s="23" t="n">
        <x:f>IF(F8=0,0,(C8+0.5*E8)/F8)</x:f>
        <x:v>0.5</x:v>
      </x:c>
      <x:c r="H8" s="26" t="n">
        <x:f>SUMIFS('2023'!$E$24:$E$112,'2023'!$C$24:$C$112,A8,'2023'!$B$24:$B$112,"&lt;&gt;Playoffs")+SUMIFS('2023'!$H$24:$H$112,'2023'!$F$24:$F$112,A8,'2023'!$B$24:$B$112,"&lt;&gt;Playoffs")</x:f>
        <x:v>1672.4</x:v>
      </x:c>
      <x:c r="I8" s="26" t="n">
        <x:f>SUMIFS('2023'!$H$24:$H$112,'2023'!$C$24:$C$112,A8,'2023'!$B$24:$B$112,"&lt;&gt;Playoffs")+SUMIFS('2023'!$E$24:$E$112,'2023'!$F$24:$F$112,A8,'2023'!$B$24:$B$112,"&lt;&gt;Playoffs")</x:f>
        <x:v>1782.05</x:v>
      </x:c>
      <x:c r="J8" s="22" t="n">
        <x:v>13</x:v>
      </x:c>
      <x:c r="K8" s="22" t="n">
        <x:v>4</x:v>
      </x:c>
      <x:c r="L8" s="22" t="n">
        <x:v>5</x:v>
      </x:c>
    </x:row>
    <x:row r="9" ht="22" customHeight="1">
      <x:c r="A9" s="2" t="str">
        <x:v>Dave</x:v>
      </x:c>
      <x:c r="B9" s="2" t="str">
        <x:v>2 Girls 1 Kupp</x:v>
      </x:c>
      <x:c r="C9" s="2" t="n">
        <x:f>COUNTIFS('2023'!$I$24:$I$112,A9,'2023'!$B$24:$B$112,"&lt;&gt;Playoffs")</x:f>
        <x:v>5</x:v>
      </x:c>
      <x:c r="D9" s="2" t="n">
        <x:f>COUNTIFS('2023'!$J$24:$J$112,A9,'2023'!$B$24:$B$112,"&lt;&gt;Playoffs")</x:f>
        <x:v>9</x:v>
      </x:c>
      <x:c r="E9" s="2" t="n">
        <x:f>COUNTIFS('2023'!$C$24:$C$112,A9,'2023'!$K$24:$K$112,1,'2023'!$B$24:$B$112,"&lt;&gt;Playoffs")+COUNTIFS('2023'!$F$24:$F$112,A9,'2023'!$K$24:$K$112,1,'2023'!$B$24:$B$112,"&lt;&gt;Playoffs")</x:f>
        <x:v>0</x:v>
      </x:c>
      <x:c r="F9" s="2" t="n">
        <x:f>SUM(C9:E9)</x:f>
        <x:v>14</x:v>
      </x:c>
      <x:c r="G9" s="11" t="n">
        <x:f>IF(F9=0,0,(C9+0.5*E9)/F9)</x:f>
        <x:v>0.35714285714285715</x:v>
      </x:c>
      <x:c r="H9" s="25" t="n">
        <x:f>SUMIFS('2023'!$E$24:$E$112,'2023'!$C$24:$C$112,A9,'2023'!$B$24:$B$112,"&lt;&gt;Playoffs")+SUMIFS('2023'!$H$24:$H$112,'2023'!$F$24:$F$112,A9,'2023'!$B$24:$B$112,"&lt;&gt;Playoffs")</x:f>
        <x:v>1591.9</x:v>
      </x:c>
      <x:c r="I9" s="25" t="n">
        <x:f>SUMIFS('2023'!$H$24:$H$112,'2023'!$C$24:$C$112,A9,'2023'!$B$24:$B$112,"&lt;&gt;Playoffs")+SUMIFS('2023'!$E$24:$E$112,'2023'!$F$24:$F$112,A9,'2023'!$B$24:$B$112,"&lt;&gt;Playoffs")</x:f>
        <x:v>1695.3000000000002</x:v>
      </x:c>
      <x:c r="J9" s="2" t="n">
        <x:v>13</x:v>
      </x:c>
      <x:c r="K9" s="2" t="n">
        <x:v>1</x:v>
      </x:c>
      <x:c r="L9" s="2" t="n">
        <x:v>3</x:v>
      </x:c>
    </x:row>
    <x:row r="10" ht="22" customHeight="1">
      <x:c r="A10" s="22" t="str">
        <x:v>Ed</x:v>
      </x:c>
      <x:c r="B10" s="22" t="str">
        <x:v>Just Fu¢k£d</x:v>
      </x:c>
      <x:c r="C10" s="22" t="n">
        <x:f>COUNTIFS('2023'!$I$24:$I$112,A10,'2023'!$B$24:$B$112,"&lt;&gt;Playoffs")</x:f>
        <x:v>4</x:v>
      </x:c>
      <x:c r="D10" s="22" t="n">
        <x:f>COUNTIFS('2023'!$J$24:$J$112,A10,'2023'!$B$24:$B$112,"&lt;&gt;Playoffs")</x:f>
        <x:v>10</x:v>
      </x:c>
      <x:c r="E10" s="22" t="n">
        <x:f>COUNTIFS('2023'!$C$24:$C$112,A10,'2023'!$K$24:$K$112,1,'2023'!$B$24:$B$112,"&lt;&gt;Playoffs")+COUNTIFS('2023'!$F$24:$F$112,A10,'2023'!$K$24:$K$112,1,'2023'!$B$24:$B$112,"&lt;&gt;Playoffs")</x:f>
        <x:v>0</x:v>
      </x:c>
      <x:c r="F10" s="22" t="n">
        <x:f>SUM(C10:E10)</x:f>
        <x:v>14</x:v>
      </x:c>
      <x:c r="G10" s="23" t="n">
        <x:f>IF(F10=0,0,(C10+0.5*E10)/F10)</x:f>
        <x:v>0.2857142857142857</x:v>
      </x:c>
      <x:c r="H10" s="26" t="n">
        <x:f>SUMIFS('2023'!$E$24:$E$112,'2023'!$C$24:$C$112,A10,'2023'!$B$24:$B$112,"&lt;&gt;Playoffs")+SUMIFS('2023'!$H$24:$H$112,'2023'!$F$24:$F$112,A10,'2023'!$B$24:$B$112,"&lt;&gt;Playoffs")</x:f>
        <x:v>1661.1</x:v>
      </x:c>
      <x:c r="I10" s="26" t="n">
        <x:f>SUMIFS('2023'!$H$24:$H$112,'2023'!$C$24:$C$112,A10,'2023'!$B$24:$B$112,"&lt;&gt;Playoffs")+SUMIFS('2023'!$E$24:$E$112,'2023'!$F$24:$F$112,A10,'2023'!$B$24:$B$112,"&lt;&gt;Playoffs")</x:f>
        <x:v>1804.9499999999998</x:v>
      </x:c>
      <x:c r="J10" s="22" t="n">
        <x:v>16</x:v>
      </x:c>
      <x:c r="K10" s="22" t="n">
        <x:v>4</x:v>
      </x:c>
      <x:c r="L10" s="22" t="n">
        <x:v>2</x:v>
      </x:c>
    </x:row>
    <x:row r="11" ht="22" customHeight="1">
      <x:c r="A11" s="2" t="str">
        <x:v>Frank</x:v>
      </x:c>
      <x:c r="B11" s="2" t="str">
        <x:v>Saquon Deez (Healthy) Nutz</x:v>
      </x:c>
      <x:c r="C11" s="2" t="n">
        <x:f>COUNTIFS('2023'!$I$24:$I$112,A11,'2023'!$B$24:$B$112,"&lt;&gt;Playoffs")</x:f>
        <x:v>7</x:v>
      </x:c>
      <x:c r="D11" s="2" t="n">
        <x:f>COUNTIFS('2023'!$J$24:$J$112,A11,'2023'!$B$24:$B$112,"&lt;&gt;Playoffs")</x:f>
        <x:v>7</x:v>
      </x:c>
      <x:c r="E11" s="2" t="n">
        <x:f>COUNTIFS('2023'!$C$24:$C$112,A11,'2023'!$K$24:$K$112,1,'2023'!$B$24:$B$112,"&lt;&gt;Playoffs")+COUNTIFS('2023'!$F$24:$F$112,A11,'2023'!$K$24:$K$112,1,'2023'!$B$24:$B$112,"&lt;&gt;Playoffs")</x:f>
        <x:v>0</x:v>
      </x:c>
      <x:c r="F11" s="2" t="n">
        <x:f>SUM(C11:E11)</x:f>
        <x:v>14</x:v>
      </x:c>
      <x:c r="G11" s="11" t="n">
        <x:f>IF(F11=0,0,(C11+0.5*E11)/F11)</x:f>
        <x:v>0.5</x:v>
      </x:c>
      <x:c r="H11" s="25" t="n">
        <x:f>SUMIFS('2023'!$E$24:$E$112,'2023'!$C$24:$C$112,A11,'2023'!$B$24:$B$112,"&lt;&gt;Playoffs")+SUMIFS('2023'!$H$24:$H$112,'2023'!$F$24:$F$112,A11,'2023'!$B$24:$B$112,"&lt;&gt;Playoffs")</x:f>
        <x:v>1698.2500000000002</x:v>
      </x:c>
      <x:c r="I11" s="25" t="n">
        <x:f>SUMIFS('2023'!$H$24:$H$112,'2023'!$C$24:$C$112,A11,'2023'!$B$24:$B$112,"&lt;&gt;Playoffs")+SUMIFS('2023'!$E$24:$E$112,'2023'!$F$24:$F$112,A11,'2023'!$B$24:$B$112,"&lt;&gt;Playoffs")</x:f>
        <x:v>1717.85</x:v>
      </x:c>
      <x:c r="J11" s="2" t="n">
        <x:v>18</x:v>
      </x:c>
      <x:c r="K11" s="2" t="n">
        <x:v>2</x:v>
      </x:c>
      <x:c r="L11" s="2" t="n">
        <x:v>6</x:v>
      </x:c>
    </x:row>
    <x:row r="12" ht="22" customHeight="1">
      <x:c r="A12" s="22" t="str">
        <x:v>Josh</x:v>
      </x:c>
      <x:c r="B12" s="22" t="str">
        <x:v>I am Jerry</x:v>
      </x:c>
      <x:c r="C12" s="22" t="n">
        <x:f>COUNTIFS('2023'!$I$24:$I$112,A12,'2023'!$B$24:$B$112,"&lt;&gt;Playoffs")</x:f>
        <x:v>8</x:v>
      </x:c>
      <x:c r="D12" s="22" t="n">
        <x:f>COUNTIFS('2023'!$J$24:$J$112,A12,'2023'!$B$24:$B$112,"&lt;&gt;Playoffs")</x:f>
        <x:v>6</x:v>
      </x:c>
      <x:c r="E12" s="22" t="n">
        <x:f>COUNTIFS('2023'!$C$24:$C$112,A12,'2023'!$K$24:$K$112,1,'2023'!$B$24:$B$112,"&lt;&gt;Playoffs")+COUNTIFS('2023'!$F$24:$F$112,A12,'2023'!$K$24:$K$112,1,'2023'!$B$24:$B$112,"&lt;&gt;Playoffs")</x:f>
        <x:v>0</x:v>
      </x:c>
      <x:c r="F12" s="22" t="n">
        <x:f>SUM(C12:E12)</x:f>
        <x:v>14</x:v>
      </x:c>
      <x:c r="G12" s="23" t="n">
        <x:f>IF(F12=0,0,(C12+0.5*E12)/F12)</x:f>
        <x:v>0.5714285714285714</x:v>
      </x:c>
      <x:c r="H12" s="26" t="n">
        <x:f>SUMIFS('2023'!$E$24:$E$112,'2023'!$C$24:$C$112,A12,'2023'!$B$24:$B$112,"&lt;&gt;Playoffs")+SUMIFS('2023'!$H$24:$H$112,'2023'!$F$24:$F$112,A12,'2023'!$B$24:$B$112,"&lt;&gt;Playoffs")</x:f>
        <x:v>1697.25</x:v>
      </x:c>
      <x:c r="I12" s="26" t="n">
        <x:f>SUMIFS('2023'!$H$24:$H$112,'2023'!$C$24:$C$112,A12,'2023'!$B$24:$B$112,"&lt;&gt;Playoffs")+SUMIFS('2023'!$E$24:$E$112,'2023'!$F$24:$F$112,A12,'2023'!$B$24:$B$112,"&lt;&gt;Playoffs")</x:f>
        <x:v>1734.5</x:v>
      </x:c>
      <x:c r="J12" s="22" t="n">
        <x:v>29</x:v>
      </x:c>
      <x:c r="K12" s="22" t="n">
        <x:v>2</x:v>
      </x:c>
      <x:c r="L12" s="22" t="n">
        <x:v>12</x:v>
      </x:c>
    </x:row>
    <x:row r="13" ht="22" customHeight="1">
      <x:c r="A13" s="2" t="str">
        <x:v>Mark</x:v>
      </x:c>
      <x:c r="B13" s="2" t="str">
        <x:v>wacky waving arms</x:v>
      </x:c>
      <x:c r="C13" s="2" t="n">
        <x:f>COUNTIFS('2023'!$I$24:$I$112,A13,'2023'!$B$24:$B$112,"&lt;&gt;Playoffs")</x:f>
        <x:v>8</x:v>
      </x:c>
      <x:c r="D13" s="2" t="n">
        <x:f>COUNTIFS('2023'!$J$24:$J$112,A13,'2023'!$B$24:$B$112,"&lt;&gt;Playoffs")</x:f>
        <x:v>6</x:v>
      </x:c>
      <x:c r="E13" s="2" t="n">
        <x:f>COUNTIFS('2023'!$C$24:$C$112,A13,'2023'!$K$24:$K$112,1,'2023'!$B$24:$B$112,"&lt;&gt;Playoffs")+COUNTIFS('2023'!$F$24:$F$112,A13,'2023'!$K$24:$K$112,1,'2023'!$B$24:$B$112,"&lt;&gt;Playoffs")</x:f>
        <x:v>0</x:v>
      </x:c>
      <x:c r="F13" s="2" t="n">
        <x:f>SUM(C13:E13)</x:f>
        <x:v>14</x:v>
      </x:c>
      <x:c r="G13" s="11" t="n">
        <x:f>IF(F13=0,0,(C13+0.5*E13)/F13)</x:f>
        <x:v>0.5714285714285714</x:v>
      </x:c>
      <x:c r="H13" s="25" t="n">
        <x:f>SUMIFS('2023'!$E$24:$E$112,'2023'!$C$24:$C$112,A13,'2023'!$B$24:$B$112,"&lt;&gt;Playoffs")+SUMIFS('2023'!$H$24:$H$112,'2023'!$F$24:$F$112,A13,'2023'!$B$24:$B$112,"&lt;&gt;Playoffs")</x:f>
        <x:v>1673.6</x:v>
      </x:c>
      <x:c r="I13" s="25" t="n">
        <x:f>SUMIFS('2023'!$H$24:$H$112,'2023'!$C$24:$C$112,A13,'2023'!$B$24:$B$112,"&lt;&gt;Playoffs")+SUMIFS('2023'!$E$24:$E$112,'2023'!$F$24:$F$112,A13,'2023'!$B$24:$B$112,"&lt;&gt;Playoffs")</x:f>
        <x:v>1488.05</x:v>
      </x:c>
      <x:c r="J13" s="2" t="n">
        <x:v>11</x:v>
      </x:c>
      <x:c r="K13" s="2" t="n">
        <x:v>3</x:v>
      </x:c>
      <x:c r="L13" s="2" t="n">
        <x:v>7</x:v>
      </x:c>
    </x:row>
    <x:row r="14" ht="22" customHeight="1">
      <x:c r="A14" s="22" t="str">
        <x:v>Matt</x:v>
      </x:c>
      <x:c r="B14" s="22" t="str">
        <x:v>Mr.Montana</x:v>
      </x:c>
      <x:c r="C14" s="22" t="n">
        <x:f>COUNTIFS('2023'!$I$24:$I$112,A14,'2023'!$B$24:$B$112,"&lt;&gt;Playoffs")</x:f>
        <x:v>8</x:v>
      </x:c>
      <x:c r="D14" s="22" t="n">
        <x:f>COUNTIFS('2023'!$J$24:$J$112,A14,'2023'!$B$24:$B$112,"&lt;&gt;Playoffs")</x:f>
        <x:v>6</x:v>
      </x:c>
      <x:c r="E14" s="22" t="n">
        <x:f>COUNTIFS('2023'!$C$24:$C$112,A14,'2023'!$K$24:$K$112,1,'2023'!$B$24:$B$112,"&lt;&gt;Playoffs")+COUNTIFS('2023'!$F$24:$F$112,A14,'2023'!$K$24:$K$112,1,'2023'!$B$24:$B$112,"&lt;&gt;Playoffs")</x:f>
        <x:v>0</x:v>
      </x:c>
      <x:c r="F14" s="22" t="n">
        <x:f>SUM(C14:E14)</x:f>
        <x:v>14</x:v>
      </x:c>
      <x:c r="G14" s="23" t="n">
        <x:f>IF(F14=0,0,(C14+0.5*E14)/F14)</x:f>
        <x:v>0.5714285714285714</x:v>
      </x:c>
      <x:c r="H14" s="26" t="n">
        <x:f>SUMIFS('2023'!$E$24:$E$112,'2023'!$C$24:$C$112,A14,'2023'!$B$24:$B$112,"&lt;&gt;Playoffs")+SUMIFS('2023'!$H$24:$H$112,'2023'!$F$24:$F$112,A14,'2023'!$B$24:$B$112,"&lt;&gt;Playoffs")</x:f>
        <x:v>1753.4999999999998</x:v>
      </x:c>
      <x:c r="I14" s="26" t="n">
        <x:f>SUMIFS('2023'!$H$24:$H$112,'2023'!$C$24:$C$112,A14,'2023'!$B$24:$B$112,"&lt;&gt;Playoffs")+SUMIFS('2023'!$E$24:$E$112,'2023'!$F$24:$F$112,A14,'2023'!$B$24:$B$112,"&lt;&gt;Playoffs")</x:f>
        <x:v>1683.1500000000003</x:v>
      </x:c>
      <x:c r="J14" s="22" t="n">
        <x:v>17</x:v>
      </x:c>
      <x:c r="K14" s="22" t="n">
        <x:v>1</x:v>
      </x:c>
      <x:c r="L14" s="22" t="n">
        <x:v>10</x:v>
      </x:c>
    </x:row>
    <x:row r="15" ht="22" customHeight="1">
      <x:c r="A15" s="2" t="str">
        <x:v>Michael</x:v>
      </x:c>
      <x:c r="B15" s="2" t="str">
        <x:v>Big Butler Bids</x:v>
      </x:c>
      <x:c r="C15" s="2" t="n">
        <x:f>COUNTIFS('2023'!$I$24:$I$112,A15,'2023'!$B$24:$B$112,"&lt;&gt;Playoffs")</x:f>
        <x:v>7</x:v>
      </x:c>
      <x:c r="D15" s="2" t="n">
        <x:f>COUNTIFS('2023'!$J$24:$J$112,A15,'2023'!$B$24:$B$112,"&lt;&gt;Playoffs")</x:f>
        <x:v>7</x:v>
      </x:c>
      <x:c r="E15" s="2" t="n">
        <x:f>COUNTIFS('2023'!$C$24:$C$112,A15,'2023'!$K$24:$K$112,1,'2023'!$B$24:$B$112,"&lt;&gt;Playoffs")+COUNTIFS('2023'!$F$24:$F$112,A15,'2023'!$K$24:$K$112,1,'2023'!$B$24:$B$112,"&lt;&gt;Playoffs")</x:f>
        <x:v>0</x:v>
      </x:c>
      <x:c r="F15" s="2" t="n">
        <x:f>SUM(C15:E15)</x:f>
        <x:v>14</x:v>
      </x:c>
      <x:c r="G15" s="11" t="n">
        <x:f>IF(F15=0,0,(C15+0.5*E15)/F15)</x:f>
        <x:v>0.5</x:v>
      </x:c>
      <x:c r="H15" s="25" t="n">
        <x:f>SUMIFS('2023'!$E$24:$E$112,'2023'!$C$24:$C$112,A15,'2023'!$B$24:$B$112,"&lt;&gt;Playoffs")+SUMIFS('2023'!$H$24:$H$112,'2023'!$F$24:$F$112,A15,'2023'!$B$24:$B$112,"&lt;&gt;Playoffs")</x:f>
        <x:v>1592.3999999999999</x:v>
      </x:c>
      <x:c r="I15" s="25" t="n">
        <x:f>SUMIFS('2023'!$H$24:$H$112,'2023'!$C$24:$C$112,A15,'2023'!$B$24:$B$112,"&lt;&gt;Playoffs")+SUMIFS('2023'!$E$24:$E$112,'2023'!$F$24:$F$112,A15,'2023'!$B$24:$B$112,"&lt;&gt;Playoffs")</x:f>
        <x:v>1687.7</x:v>
      </x:c>
      <x:c r="J15" s="2" t="n">
        <x:v>6</x:v>
      </x:c>
      <x:c r="K15" s="2" t="n">
        <x:v>1</x:v>
      </x:c>
      <x:c r="L15" s="2" t="n">
        <x:v>4</x:v>
      </x:c>
    </x:row>
    <x:row r="16" ht="22" customHeight="1">
      <x:c r="A16" s="22" t="str">
        <x:v>Mike</x:v>
      </x:c>
      <x:c r="B16" s="22" t="str">
        <x:v>Tahoe Josh</x:v>
      </x:c>
      <x:c r="C16" s="22" t="n">
        <x:f>COUNTIFS('2023'!$I$24:$I$112,A16,'2023'!$B$24:$B$112,"&lt;&gt;Playoffs")</x:f>
        <x:v>10</x:v>
      </x:c>
      <x:c r="D16" s="22" t="n">
        <x:f>COUNTIFS('2023'!$J$24:$J$112,A16,'2023'!$B$24:$B$112,"&lt;&gt;Playoffs")</x:f>
        <x:v>4</x:v>
      </x:c>
      <x:c r="E16" s="22" t="n">
        <x:f>COUNTIFS('2023'!$C$24:$C$112,A16,'2023'!$K$24:$K$112,1,'2023'!$B$24:$B$112,"&lt;&gt;Playoffs")+COUNTIFS('2023'!$F$24:$F$112,A16,'2023'!$K$24:$K$112,1,'2023'!$B$24:$B$112,"&lt;&gt;Playoffs")</x:f>
        <x:v>0</x:v>
      </x:c>
      <x:c r="F16" s="22" t="n">
        <x:f>SUM(C16:E16)</x:f>
        <x:v>14</x:v>
      </x:c>
      <x:c r="G16" s="23" t="n">
        <x:f>IF(F16=0,0,(C16+0.5*E16)/F16)</x:f>
        <x:v>0.7142857142857143</x:v>
      </x:c>
      <x:c r="H16" s="26" t="n">
        <x:f>SUMIFS('2023'!$E$24:$E$112,'2023'!$C$24:$C$112,A16,'2023'!$B$24:$B$112,"&lt;&gt;Playoffs")+SUMIFS('2023'!$H$24:$H$112,'2023'!$F$24:$F$112,A16,'2023'!$B$24:$B$112,"&lt;&gt;Playoffs")</x:f>
        <x:v>1692.8999999999999</x:v>
      </x:c>
      <x:c r="I16" s="26" t="n">
        <x:f>SUMIFS('2023'!$H$24:$H$112,'2023'!$C$24:$C$112,A16,'2023'!$B$24:$B$112,"&lt;&gt;Playoffs")+SUMIFS('2023'!$E$24:$E$112,'2023'!$F$24:$F$112,A16,'2023'!$B$24:$B$112,"&lt;&gt;Playoffs")</x:f>
        <x:v>1519.7</x:v>
      </x:c>
      <x:c r="J16" s="22" t="n">
        <x:v>13</x:v>
      </x:c>
      <x:c r="K16" s="22" t="n">
        <x:v>4</x:v>
      </x:c>
      <x:c r="L16" s="22" t="n">
        <x:v>9</x:v>
      </x:c>
    </x:row>
    <x:row r="17" ht="22" customHeight="1">
      <x:c r="A17" s="2" t="str">
        <x:v>Nick</x:v>
      </x:c>
      <x:c r="B17" s="2" t="str">
        <x:v>Team Scoops</x:v>
      </x:c>
      <x:c r="C17" s="2" t="n">
        <x:f>COUNTIFS('2023'!$I$24:$I$112,A17,'2023'!$B$24:$B$112,"&lt;&gt;Playoffs")</x:f>
        <x:v>4</x:v>
      </x:c>
      <x:c r="D17" s="2" t="n">
        <x:f>COUNTIFS('2023'!$J$24:$J$112,A17,'2023'!$B$24:$B$112,"&lt;&gt;Playoffs")</x:f>
        <x:v>10</x:v>
      </x:c>
      <x:c r="E17" s="2" t="n">
        <x:f>COUNTIFS('2023'!$C$24:$C$112,A17,'2023'!$K$24:$K$112,1,'2023'!$B$24:$B$112,"&lt;&gt;Playoffs")+COUNTIFS('2023'!$F$24:$F$112,A17,'2023'!$K$24:$K$112,1,'2023'!$B$24:$B$112,"&lt;&gt;Playoffs")</x:f>
        <x:v>0</x:v>
      </x:c>
      <x:c r="F17" s="2" t="n">
        <x:f>SUM(C17:E17)</x:f>
        <x:v>14</x:v>
      </x:c>
      <x:c r="G17" s="11" t="n">
        <x:f>IF(F17=0,0,(C17+0.5*E17)/F17)</x:f>
        <x:v>0.2857142857142857</x:v>
      </x:c>
      <x:c r="H17" s="25" t="n">
        <x:f>SUMIFS('2023'!$E$24:$E$112,'2023'!$C$24:$C$112,A17,'2023'!$B$24:$B$112,"&lt;&gt;Playoffs")+SUMIFS('2023'!$H$24:$H$112,'2023'!$F$24:$F$112,A17,'2023'!$B$24:$B$112,"&lt;&gt;Playoffs")</x:f>
        <x:v>1485.1</x:v>
      </x:c>
      <x:c r="I17" s="25" t="n">
        <x:f>SUMIFS('2023'!$H$24:$H$112,'2023'!$C$24:$C$112,A17,'2023'!$B$24:$B$112,"&lt;&gt;Playoffs")+SUMIFS('2023'!$E$24:$E$112,'2023'!$F$24:$F$112,A17,'2023'!$B$24:$B$112,"&lt;&gt;Playoffs")</x:f>
        <x:v>1638.85</x:v>
      </x:c>
      <x:c r="J17" s="2" t="n">
        <x:v>9</x:v>
      </x:c>
      <x:c r="K17" s="2" t="n">
        <x:v>2</x:v>
      </x:c>
      <x:c r="L17" s="2" t="n">
        <x:v>1</x:v>
      </x:c>
    </x:row>
    <x:row r="18" ht="22" customHeight="1">
      <x:c r="A18" s="22" t="str">
        <x:v>Paul</x:v>
      </x:c>
      <x:c r="B18" s="22" t="str">
        <x:v>Space Dogs</x:v>
      </x:c>
      <x:c r="C18" s="22" t="n">
        <x:f>COUNTIFS('2023'!$I$24:$I$112,A18,'2023'!$B$24:$B$112,"&lt;&gt;Playoffs")</x:f>
        <x:v>7</x:v>
      </x:c>
      <x:c r="D18" s="22" t="n">
        <x:f>COUNTIFS('2023'!$J$24:$J$112,A18,'2023'!$B$24:$B$112,"&lt;&gt;Playoffs")</x:f>
        <x:v>7</x:v>
      </x:c>
      <x:c r="E18" s="22" t="n">
        <x:f>COUNTIFS('2023'!$C$24:$C$112,A18,'2023'!$K$24:$K$112,1,'2023'!$B$24:$B$112,"&lt;&gt;Playoffs")+COUNTIFS('2023'!$F$24:$F$112,A18,'2023'!$K$24:$K$112,1,'2023'!$B$24:$B$112,"&lt;&gt;Playoffs")</x:f>
        <x:v>0</x:v>
      </x:c>
      <x:c r="F18" s="22" t="n">
        <x:f>SUM(C18:E18)</x:f>
        <x:v>14</x:v>
      </x:c>
      <x:c r="G18" s="23" t="n">
        <x:f>IF(F18=0,0,(C18+0.5*E18)/F18)</x:f>
        <x:v>0.5</x:v>
      </x:c>
      <x:c r="H18" s="26" t="n">
        <x:f>SUMIFS('2023'!$E$24:$E$112,'2023'!$C$24:$C$112,A18,'2023'!$B$24:$B$112,"&lt;&gt;Playoffs")+SUMIFS('2023'!$H$24:$H$112,'2023'!$F$24:$F$112,A18,'2023'!$B$24:$B$112,"&lt;&gt;Playoffs")</x:f>
        <x:v>1825.6</x:v>
      </x:c>
      <x:c r="I18" s="26" t="n">
        <x:f>SUMIFS('2023'!$H$24:$H$112,'2023'!$C$24:$C$112,A18,'2023'!$B$24:$B$112,"&lt;&gt;Playoffs")+SUMIFS('2023'!$E$24:$E$112,'2023'!$F$24:$F$112,A18,'2023'!$B$24:$B$112,"&lt;&gt;Playoffs")</x:f>
        <x:v>1718.9499999999998</x:v>
      </x:c>
      <x:c r="J18" s="22" t="n">
        <x:v>20</x:v>
      </x:c>
      <x:c r="K18" s="22" t="n">
        <x:v>1</x:v>
      </x:c>
      <x:c r="L18" s="22" t="n">
        <x:v>11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18" t="str">
        <x:v>Week</x:v>
      </x:c>
      <x:c r="B23" s="18" t="str">
        <x:v>Phase</x:v>
      </x:c>
      <x:c r="C23" s="18" t="str">
        <x:v>Manager A</x:v>
      </x:c>
      <x:c r="D23" s="18" t="str">
        <x:v>Team A</x:v>
      </x:c>
      <x:c r="E23" s="18" t="str">
        <x:v>Score A</x:v>
      </x:c>
      <x:c r="F23" s="18" t="str">
        <x:v>Manager B</x:v>
      </x:c>
      <x:c r="G23" s="18" t="str">
        <x:v>Team B</x:v>
      </x:c>
      <x:c r="H23" s="18" t="str">
        <x:v>Score B</x:v>
      </x:c>
      <x:c r="I23" s="18" t="str">
        <x:v>Winner</x:v>
      </x:c>
      <x:c r="J23" s="18" t="str">
        <x:v>Loser</x:v>
      </x:c>
      <x:c r="K23" s="18" t="str">
        <x:v>Tie</x:v>
      </x:c>
      <x:c r="L23" s="18" t="str">
        <x:v>Pair</x:v>
      </x:c>
      <x:c r="M23" s="21" t="str">
        <x:v>Round</x:v>
      </x:c>
      <x:c r="N23" s="21" t="str">
        <x:v>Week source</x:v>
      </x:c>
      <x:c r="O23" s="21" t="str">
        <x:v>Source marker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105.7</x:v>
      </x:c>
      <x:c r="F24" s="2" t="str">
        <x:v>Paul</x:v>
      </x:c>
      <x:c r="G24" s="2" t="str">
        <x:v>Space Dogs</x:v>
      </x:c>
      <x:c r="H24" s="15" t="n">
        <x:v>139.45</x:v>
      </x:c>
      <x:c r="I24" s="2" t="str">
        <x:f>IF(E24&gt;H24,C24,IF(E24&lt;H24,F24,"Tie"))</x:f>
        <x:v>Paul</x:v>
      </x:c>
      <x:c r="J24" s="2" t="str">
        <x:f>IF(E24&gt;H24,F24,IF(E24&lt;H24,C24,"Tie"))</x:f>
        <x:v>Bruce</x:v>
      </x:c>
      <x:c r="K24" s="2" t="n">
        <x:f>IF(E24=H24,1,0)</x:f>
        <x:v>0</x:v>
      </x:c>
      <x:c r="L24" s="2" t="str">
        <x:v>Bruce / Paul</x:v>
      </x:c>
      <x:c r="M24" t="str"/>
      <x:c r="N24" t="str">
        <x:v>Supplied</x:v>
      </x:c>
      <x:c r="O24" t="str">
        <x:v>*</x:v>
      </x:c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57.3</x:v>
      </x:c>
      <x:c r="F25" s="2" t="str">
        <x:v>Nick</x:v>
      </x:c>
      <x:c r="G25" s="2" t="str">
        <x:v>Team Scoops</x:v>
      </x:c>
      <x:c r="H25" s="15" t="n">
        <x:v>109.1</x:v>
      </x:c>
      <x:c r="I25" s="2" t="str">
        <x:f>IF(E25&gt;H25,C25,IF(E25&lt;H25,F25,"Tie"))</x:f>
        <x:v>Nick</x:v>
      </x:c>
      <x:c r="J25" s="2" t="str">
        <x:f>IF(E25&gt;H25,F25,IF(E25&lt;H25,C25,"Tie"))</x:f>
        <x:v>Craig</x:v>
      </x:c>
      <x:c r="K25" s="2" t="n">
        <x:f>IF(E25=H25,1,0)</x:f>
        <x:v>0</x:v>
      </x:c>
      <x:c r="L25" s="2" t="str">
        <x:v>Craig / Nick</x:v>
      </x:c>
      <x:c r="M25" t="str"/>
      <x:c r="N25" t="str">
        <x:v>Supplied</x:v>
      </x:c>
      <x:c r="O25" t="str">
        <x:v>*</x:v>
      </x:c>
    </x:row>
    <x:row r="26" ht="22" customHeight="1">
      <x:c r="A26" s="2" t="n">
        <x:v>1</x:v>
      </x:c>
      <x:c r="B26" s="2" t="str">
        <x:v>Regular</x:v>
      </x:c>
      <x:c r="C26" s="2" t="str">
        <x:v>Dave</x:v>
      </x:c>
      <x:c r="D26" s="2" t="str">
        <x:v>2 Girls 1 Kupp</x:v>
      </x:c>
      <x:c r="E26" s="15" t="n">
        <x:v>108.4</x:v>
      </x:c>
      <x:c r="F26" s="2" t="str">
        <x:v>Ed</x:v>
      </x:c>
      <x:c r="G26" s="2" t="str">
        <x:v>Just Fu¢k£d</x:v>
      </x:c>
      <x:c r="H26" s="15" t="n">
        <x:v>108.3</x:v>
      </x:c>
      <x:c r="I26" s="2" t="str">
        <x:f>IF(E26&gt;H26,C26,IF(E26&lt;H26,F26,"Tie"))</x:f>
        <x:v>Dave</x:v>
      </x:c>
      <x:c r="J26" s="2" t="str">
        <x:f>IF(E26&gt;H26,F26,IF(E26&lt;H26,C26,"Tie"))</x:f>
        <x:v>Ed</x:v>
      </x:c>
      <x:c r="K26" s="2" t="n">
        <x:f>IF(E26=H26,1,0)</x:f>
        <x:v>0</x:v>
      </x:c>
      <x:c r="L26" s="2" t="str">
        <x:v>Dave / Ed</x:v>
      </x:c>
      <x:c r="M26" t="str"/>
      <x:c r="N26" t="str">
        <x:v>Supplied</x:v>
      </x:c>
      <x:c r="O26" t="str">
        <x:v>*</x:v>
      </x:c>
    </x:row>
    <x:row r="27" ht="22" customHeight="1">
      <x:c r="A27" s="2" t="n">
        <x:v>1</x:v>
      </x:c>
      <x:c r="B27" s="2" t="str">
        <x:v>Regular</x:v>
      </x:c>
      <x:c r="C27" s="2" t="str">
        <x:v>Frank</x:v>
      </x:c>
      <x:c r="D27" s="2" t="str">
        <x:v>Saquon Deez (Healthy) Nutz</x:v>
      </x:c>
      <x:c r="E27" s="15" t="n">
        <x:v>109.4</x:v>
      </x:c>
      <x:c r="F27" s="2" t="str">
        <x:v>Matt</x:v>
      </x:c>
      <x:c r="G27" s="2" t="str">
        <x:v>Mr.Montana</x:v>
      </x:c>
      <x:c r="H27" s="15" t="n">
        <x:v>121.85</x:v>
      </x:c>
      <x:c r="I27" s="2" t="str">
        <x:f>IF(E27&gt;H27,C27,IF(E27&lt;H27,F27,"Tie"))</x:f>
        <x:v>Matt</x:v>
      </x:c>
      <x:c r="J27" s="2" t="str">
        <x:f>IF(E27&gt;H27,F27,IF(E27&lt;H27,C27,"Tie"))</x:f>
        <x:v>Frank</x:v>
      </x:c>
      <x:c r="K27" s="2" t="n">
        <x:f>IF(E27=H27,1,0)</x:f>
        <x:v>0</x:v>
      </x:c>
      <x:c r="L27" s="2" t="str">
        <x:v>Frank / Matt</x:v>
      </x:c>
      <x:c r="M27" t="str"/>
      <x:c r="N27" t="str">
        <x:v>Supplied</x:v>
      </x:c>
      <x:c r="O27" t="str">
        <x:v>*</x:v>
      </x:c>
    </x:row>
    <x:row r="28" ht="22" customHeight="1">
      <x:c r="A28" s="2" t="n">
        <x:v>1</x:v>
      </x:c>
      <x:c r="B28" s="2" t="str">
        <x:v>Regular</x:v>
      </x:c>
      <x:c r="C28" s="2" t="str">
        <x:v>Mike</x:v>
      </x:c>
      <x:c r="D28" s="2" t="str">
        <x:v>Tahoe Josh</x:v>
      </x:c>
      <x:c r="E28" s="15" t="n">
        <x:v>77.2</x:v>
      </x:c>
      <x:c r="F28" s="2" t="str">
        <x:v>Josh</x:v>
      </x:c>
      <x:c r="G28" s="2" t="str">
        <x:v>I am Jerry</x:v>
      </x:c>
      <x:c r="H28" s="15" t="n">
        <x:v>82.45</x:v>
      </x:c>
      <x:c r="I28" s="2" t="str">
        <x:f>IF(E28&gt;H28,C28,IF(E28&lt;H28,F28,"Tie"))</x:f>
        <x:v>Josh</x:v>
      </x:c>
      <x:c r="J28" s="2" t="str">
        <x:f>IF(E28&gt;H28,F28,IF(E28&lt;H28,C28,"Tie"))</x:f>
        <x:v>Mike</x:v>
      </x:c>
      <x:c r="K28" s="2" t="n">
        <x:f>IF(E28=H28,1,0)</x:f>
        <x:v>0</x:v>
      </x:c>
      <x:c r="L28" s="2" t="str">
        <x:v>Josh / Mike</x:v>
      </x:c>
      <x:c r="M28" t="str"/>
      <x:c r="N28" t="str">
        <x:v>Supplied</x:v>
      </x:c>
      <x:c r="O28" t="str">
        <x:v>*</x:v>
      </x:c>
    </x:row>
    <x:row r="29" ht="22" customHeight="1">
      <x:c r="A29" s="2" t="n">
        <x:v>1</x:v>
      </x:c>
      <x:c r="B29" s="2" t="str">
        <x:v>Regular</x:v>
      </x:c>
      <x:c r="C29" s="2" t="str">
        <x:v>Mark</x:v>
      </x:c>
      <x:c r="D29" s="2" t="str">
        <x:v>wacky waving arms</x:v>
      </x:c>
      <x:c r="E29" s="15" t="n">
        <x:v>118.95</x:v>
      </x:c>
      <x:c r="F29" s="2" t="str">
        <x:v>Michael</x:v>
      </x:c>
      <x:c r="G29" s="2" t="str">
        <x:v>Big Butler Bids</x:v>
      </x:c>
      <x:c r="H29" s="15" t="n">
        <x:v>133.45</x:v>
      </x:c>
      <x:c r="I29" s="2" t="str">
        <x:f>IF(E29&gt;H29,C29,IF(E29&lt;H29,F29,"Tie"))</x:f>
        <x:v>Michael</x:v>
      </x:c>
      <x:c r="J29" s="2" t="str">
        <x:f>IF(E29&gt;H29,F29,IF(E29&lt;H29,C29,"Tie"))</x:f>
        <x:v>Mark</x:v>
      </x:c>
      <x:c r="K29" s="2" t="n">
        <x:f>IF(E29=H29,1,0)</x:f>
        <x:v>0</x:v>
      </x:c>
      <x:c r="L29" s="2" t="str">
        <x:v>Mark / Michael</x:v>
      </x:c>
      <x:c r="M29" t="str"/>
      <x:c r="N29" t="str">
        <x:v>Supplied</x:v>
      </x:c>
      <x:c r="O29" t="str">
        <x:v>*</x:v>
      </x:c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149</x:v>
      </x:c>
      <x:c r="F30" s="2" t="str">
        <x:v>Ed</x:v>
      </x:c>
      <x:c r="G30" s="2" t="str">
        <x:v>Just Fu¢k£d</x:v>
      </x:c>
      <x:c r="H30" s="15" t="n">
        <x:v>136.45</x:v>
      </x:c>
      <x:c r="I30" s="2" t="str">
        <x:f>IF(E30&gt;H30,C30,IF(E30&lt;H30,F30,"Tie"))</x:f>
        <x:v>Bruce</x:v>
      </x:c>
      <x:c r="J30" s="2" t="str">
        <x:f>IF(E30&gt;H30,F30,IF(E30&lt;H30,C30,"Tie"))</x:f>
        <x:v>Ed</x:v>
      </x:c>
      <x:c r="K30" s="2" t="n">
        <x:f>IF(E30=H30,1,0)</x:f>
        <x:v>0</x:v>
      </x:c>
      <x:c r="L30" s="2" t="str">
        <x:v>Bruce / Ed</x:v>
      </x:c>
      <x:c r="M30" t="str"/>
      <x:c r="N30" t="str">
        <x:v>Supplied</x:v>
      </x:c>
      <x:c r="O30" t="str"/>
    </x:row>
    <x:row r="31" ht="22" customHeight="1">
      <x:c r="A31" s="2" t="n">
        <x:v>2</x:v>
      </x:c>
      <x:c r="B31" s="2" t="str">
        <x:v>Regular</x:v>
      </x:c>
      <x:c r="C31" s="2" t="str">
        <x:v>Craig</x:v>
      </x:c>
      <x:c r="D31" s="2" t="str">
        <x:v>The Ants Marching</x:v>
      </x:c>
      <x:c r="E31" s="15" t="n">
        <x:v>106.2</x:v>
      </x:c>
      <x:c r="F31" s="2" t="str">
        <x:v>Josh</x:v>
      </x:c>
      <x:c r="G31" s="2" t="str">
        <x:v>I am Jerry</x:v>
      </x:c>
      <x:c r="H31" s="15" t="n">
        <x:v>128.75</x:v>
      </x:c>
      <x:c r="I31" s="2" t="str">
        <x:f>IF(E31&gt;H31,C31,IF(E31&lt;H31,F31,"Tie"))</x:f>
        <x:v>Josh</x:v>
      </x:c>
      <x:c r="J31" s="2" t="str">
        <x:f>IF(E31&gt;H31,F31,IF(E31&lt;H31,C31,"Tie"))</x:f>
        <x:v>Craig</x:v>
      </x:c>
      <x:c r="K31" s="2" t="n">
        <x:f>IF(E31=H31,1,0)</x:f>
        <x:v>0</x:v>
      </x:c>
      <x:c r="L31" s="2" t="str">
        <x:v>Craig / Josh</x:v>
      </x:c>
      <x:c r="M31" t="str"/>
      <x:c r="N31" t="str">
        <x:v>Supplied</x:v>
      </x:c>
      <x:c r="O31" t="str"/>
    </x:row>
    <x:row r="32" ht="22" customHeight="1">
      <x:c r="A32" s="2" t="n">
        <x:v>2</x:v>
      </x:c>
      <x:c r="B32" s="2" t="str">
        <x:v>Regular</x:v>
      </x:c>
      <x:c r="C32" s="2" t="str">
        <x:v>Dave</x:v>
      </x:c>
      <x:c r="D32" s="2" t="str">
        <x:v>2 Girls 1 Kupp</x:v>
      </x:c>
      <x:c r="E32" s="15" t="n">
        <x:v>138.1</x:v>
      </x:c>
      <x:c r="F32" s="2" t="str">
        <x:v>Matt</x:v>
      </x:c>
      <x:c r="G32" s="2" t="str">
        <x:v>Mr.Montana</x:v>
      </x:c>
      <x:c r="H32" s="15" t="n">
        <x:v>119</x:v>
      </x:c>
      <x:c r="I32" s="2" t="str">
        <x:f>IF(E32&gt;H32,C32,IF(E32&lt;H32,F32,"Tie"))</x:f>
        <x:v>Dave</x:v>
      </x:c>
      <x:c r="J32" s="2" t="str">
        <x:f>IF(E32&gt;H32,F32,IF(E32&lt;H32,C32,"Tie"))</x:f>
        <x:v>Matt</x:v>
      </x:c>
      <x:c r="K32" s="2" t="n">
        <x:f>IF(E32=H32,1,0)</x:f>
        <x:v>0</x:v>
      </x:c>
      <x:c r="L32" s="2" t="str">
        <x:v>Dave / Matt</x:v>
      </x:c>
      <x:c r="M32" t="str"/>
      <x:c r="N32" t="str">
        <x:v>Supplied</x:v>
      </x:c>
      <x:c r="O32" t="str"/>
    </x:row>
    <x:row r="33" ht="22" customHeight="1">
      <x:c r="A33" s="2" t="n">
        <x:v>2</x:v>
      </x:c>
      <x:c r="B33" s="2" t="str">
        <x:v>Regular</x:v>
      </x:c>
      <x:c r="C33" s="2" t="str">
        <x:v>Frank</x:v>
      </x:c>
      <x:c r="D33" s="2" t="str">
        <x:v>Saquon Deez (Healthy) Nutz</x:v>
      </x:c>
      <x:c r="E33" s="15" t="n">
        <x:v>158.95</x:v>
      </x:c>
      <x:c r="F33" s="2" t="str">
        <x:v>Paul</x:v>
      </x:c>
      <x:c r="G33" s="2" t="str">
        <x:v>Space Dogs</x:v>
      </x:c>
      <x:c r="H33" s="15" t="n">
        <x:v>120.55</x:v>
      </x:c>
      <x:c r="I33" s="2" t="str">
        <x:f>IF(E33&gt;H33,C33,IF(E33&lt;H33,F33,"Tie"))</x:f>
        <x:v>Frank</x:v>
      </x:c>
      <x:c r="J33" s="2" t="str">
        <x:f>IF(E33&gt;H33,F33,IF(E33&lt;H33,C33,"Tie"))</x:f>
        <x:v>Paul</x:v>
      </x:c>
      <x:c r="K33" s="2" t="n">
        <x:f>IF(E33=H33,1,0)</x:f>
        <x:v>0</x:v>
      </x:c>
      <x:c r="L33" s="2" t="str">
        <x:v>Frank / Paul</x:v>
      </x:c>
      <x:c r="M33" t="str"/>
      <x:c r="N33" t="str">
        <x:v>Supplied</x:v>
      </x:c>
      <x:c r="O33" t="str"/>
    </x:row>
    <x:row r="34" ht="22" customHeight="1">
      <x:c r="A34" s="2" t="n">
        <x:v>2</x:v>
      </x:c>
      <x:c r="B34" s="2" t="str">
        <x:v>Regular</x:v>
      </x:c>
      <x:c r="C34" s="2" t="str">
        <x:v>Mike</x:v>
      </x:c>
      <x:c r="D34" s="2" t="str">
        <x:v>Tahoe Josh</x:v>
      </x:c>
      <x:c r="E34" s="15" t="n">
        <x:v>127.15</x:v>
      </x:c>
      <x:c r="F34" s="2" t="str">
        <x:v>Mark</x:v>
      </x:c>
      <x:c r="G34" s="2" t="str">
        <x:v>wacky waving arms</x:v>
      </x:c>
      <x:c r="H34" s="15" t="n">
        <x:v>105.25</x:v>
      </x:c>
      <x:c r="I34" s="2" t="str">
        <x:f>IF(E34&gt;H34,C34,IF(E34&lt;H34,F34,"Tie"))</x:f>
        <x:v>Mike</x:v>
      </x:c>
      <x:c r="J34" s="2" t="str">
        <x:f>IF(E34&gt;H34,F34,IF(E34&lt;H34,C34,"Tie"))</x:f>
        <x:v>Mark</x:v>
      </x:c>
      <x:c r="K34" s="2" t="n">
        <x:f>IF(E34=H34,1,0)</x:f>
        <x:v>0</x:v>
      </x:c>
      <x:c r="L34" s="2" t="str">
        <x:v>Mark / Mike</x:v>
      </x:c>
      <x:c r="M34" t="str"/>
      <x:c r="N34" t="str">
        <x:v>Supplied</x:v>
      </x:c>
      <x:c r="O34" t="str"/>
    </x:row>
    <x:row r="35" ht="22" customHeight="1">
      <x:c r="A35" s="2" t="n">
        <x:v>2</x:v>
      </x:c>
      <x:c r="B35" s="2" t="str">
        <x:v>Regular</x:v>
      </x:c>
      <x:c r="C35" s="2" t="str">
        <x:v>Nick</x:v>
      </x:c>
      <x:c r="D35" s="2" t="str">
        <x:v>Team Scoops</x:v>
      </x:c>
      <x:c r="E35" s="15" t="n">
        <x:v>137.85</x:v>
      </x:c>
      <x:c r="F35" s="2" t="str">
        <x:v>Michael</x:v>
      </x:c>
      <x:c r="G35" s="2" t="str">
        <x:v>Big Butler Bids</x:v>
      </x:c>
      <x:c r="H35" s="15" t="n">
        <x:v>91.6</x:v>
      </x:c>
      <x:c r="I35" s="2" t="str">
        <x:f>IF(E35&gt;H35,C35,IF(E35&lt;H35,F35,"Tie"))</x:f>
        <x:v>Nick</x:v>
      </x:c>
      <x:c r="J35" s="2" t="str">
        <x:f>IF(E35&gt;H35,F35,IF(E35&lt;H35,C35,"Tie"))</x:f>
        <x:v>Michael</x:v>
      </x:c>
      <x:c r="K35" s="2" t="n">
        <x:f>IF(E35=H35,1,0)</x:f>
        <x:v>0</x:v>
      </x:c>
      <x:c r="L35" s="2" t="str">
        <x:v>Michael / Nick</x:v>
      </x:c>
      <x:c r="M35" t="str"/>
      <x:c r="N35" t="str">
        <x:v>Supplied</x:v>
      </x:c>
      <x:c r="O35" t="str"/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153.3</x:v>
      </x:c>
      <x:c r="F36" s="2" t="str">
        <x:v>Frank</x:v>
      </x:c>
      <x:c r="G36" s="2" t="str">
        <x:v>Saquon Deez (Healthy) Nutz</x:v>
      </x:c>
      <x:c r="H36" s="15" t="n">
        <x:v>86.75</x:v>
      </x:c>
      <x:c r="I36" s="2" t="str">
        <x:f>IF(E36&gt;H36,C36,IF(E36&lt;H36,F36,"Tie"))</x:f>
        <x:v>Bruce</x:v>
      </x:c>
      <x:c r="J36" s="2" t="str">
        <x:f>IF(E36&gt;H36,F36,IF(E36&lt;H36,C36,"Tie"))</x:f>
        <x:v>Frank</x:v>
      </x:c>
      <x:c r="K36" s="2" t="n">
        <x:f>IF(E36=H36,1,0)</x:f>
        <x:v>0</x:v>
      </x:c>
      <x:c r="L36" s="2" t="str">
        <x:v>Bruce / Frank</x:v>
      </x:c>
      <x:c r="M36" t="str"/>
      <x:c r="N36" t="str">
        <x:v>Supplied</x:v>
      </x:c>
      <x:c r="O36" t="str"/>
    </x:row>
    <x:row r="37" ht="22" customHeight="1">
      <x:c r="A37" s="2" t="n">
        <x:v>3</x:v>
      </x:c>
      <x:c r="B37" s="2" t="str">
        <x:v>Regular</x:v>
      </x:c>
      <x:c r="C37" s="2" t="str">
        <x:v>Craig</x:v>
      </x:c>
      <x:c r="D37" s="2" t="str">
        <x:v>The Ants Marching</x:v>
      </x:c>
      <x:c r="E37" s="15" t="n">
        <x:v>98.95</x:v>
      </x:c>
      <x:c r="F37" s="2" t="str">
        <x:v>Mark</x:v>
      </x:c>
      <x:c r="G37" s="2" t="str">
        <x:v>wacky waving arms</x:v>
      </x:c>
      <x:c r="H37" s="15" t="n">
        <x:v>152.85</x:v>
      </x:c>
      <x:c r="I37" s="2" t="str">
        <x:f>IF(E37&gt;H37,C37,IF(E37&lt;H37,F37,"Tie"))</x:f>
        <x:v>Mark</x:v>
      </x:c>
      <x:c r="J37" s="2" t="str">
        <x:f>IF(E37&gt;H37,F37,IF(E37&lt;H37,C37,"Tie"))</x:f>
        <x:v>Craig</x:v>
      </x:c>
      <x:c r="K37" s="2" t="n">
        <x:f>IF(E37=H37,1,0)</x:f>
        <x:v>0</x:v>
      </x:c>
      <x:c r="L37" s="2" t="str">
        <x:v>Craig / Mark</x:v>
      </x:c>
      <x:c r="M37" t="str"/>
      <x:c r="N37" t="str">
        <x:v>Supplied</x:v>
      </x:c>
      <x:c r="O37" t="str"/>
    </x:row>
    <x:row r="38" ht="22" customHeight="1">
      <x:c r="A38" s="2" t="n">
        <x:v>3</x:v>
      </x:c>
      <x:c r="B38" s="2" t="str">
        <x:v>Regular</x:v>
      </x:c>
      <x:c r="C38" s="2" t="str">
        <x:v>Dave</x:v>
      </x:c>
      <x:c r="D38" s="2" t="str">
        <x:v>2 Girls 1 Kupp</x:v>
      </x:c>
      <x:c r="E38" s="15" t="n">
        <x:v>121.75</x:v>
      </x:c>
      <x:c r="F38" s="2" t="str">
        <x:v>Paul</x:v>
      </x:c>
      <x:c r="G38" s="2" t="str">
        <x:v>Space Dogs</x:v>
      </x:c>
      <x:c r="H38" s="15" t="n">
        <x:v>140.05</x:v>
      </x:c>
      <x:c r="I38" s="2" t="str">
        <x:f>IF(E38&gt;H38,C38,IF(E38&lt;H38,F38,"Tie"))</x:f>
        <x:v>Paul</x:v>
      </x:c>
      <x:c r="J38" s="2" t="str">
        <x:f>IF(E38&gt;H38,F38,IF(E38&lt;H38,C38,"Tie"))</x:f>
        <x:v>Dave</x:v>
      </x:c>
      <x:c r="K38" s="2" t="n">
        <x:f>IF(E38=H38,1,0)</x:f>
        <x:v>0</x:v>
      </x:c>
      <x:c r="L38" s="2" t="str">
        <x:v>Dave / Paul</x:v>
      </x:c>
      <x:c r="M38" t="str"/>
      <x:c r="N38" t="str">
        <x:v>Supplied</x:v>
      </x:c>
      <x:c r="O38" t="str"/>
    </x:row>
    <x:row r="39" ht="22" customHeight="1">
      <x:c r="A39" s="2" t="n">
        <x:v>3</x:v>
      </x:c>
      <x:c r="B39" s="2" t="str">
        <x:v>Regular</x:v>
      </x:c>
      <x:c r="C39" s="2" t="str">
        <x:v>Ed</x:v>
      </x:c>
      <x:c r="D39" s="2" t="str">
        <x:v>Just Fu¢k£d</x:v>
      </x:c>
      <x:c r="E39" s="15" t="n">
        <x:v>159.6</x:v>
      </x:c>
      <x:c r="F39" s="2" t="str">
        <x:v>Matt</x:v>
      </x:c>
      <x:c r="G39" s="2" t="str">
        <x:v>Mr.Montana</x:v>
      </x:c>
      <x:c r="H39" s="15" t="n">
        <x:v>130.9</x:v>
      </x:c>
      <x:c r="I39" s="2" t="str">
        <x:f>IF(E39&gt;H39,C39,IF(E39&lt;H39,F39,"Tie"))</x:f>
        <x:v>Ed</x:v>
      </x:c>
      <x:c r="J39" s="2" t="str">
        <x:f>IF(E39&gt;H39,F39,IF(E39&lt;H39,C39,"Tie"))</x:f>
        <x:v>Matt</x:v>
      </x:c>
      <x:c r="K39" s="2" t="n">
        <x:f>IF(E39=H39,1,0)</x:f>
        <x:v>0</x:v>
      </x:c>
      <x:c r="L39" s="2" t="str">
        <x:v>Ed / Matt</x:v>
      </x:c>
      <x:c r="M39" t="str"/>
      <x:c r="N39" t="str">
        <x:v>Supplied</x:v>
      </x:c>
      <x:c r="O39" t="str"/>
    </x:row>
    <x:row r="40" ht="22" customHeight="1">
      <x:c r="A40" s="2" t="n">
        <x:v>3</x:v>
      </x:c>
      <x:c r="B40" s="2" t="str">
        <x:v>Regular</x:v>
      </x:c>
      <x:c r="C40" s="2" t="str">
        <x:v>Mike</x:v>
      </x:c>
      <x:c r="D40" s="2" t="str">
        <x:v>Tahoe Josh</x:v>
      </x:c>
      <x:c r="E40" s="15" t="n">
        <x:v>73.75</x:v>
      </x:c>
      <x:c r="F40" s="2" t="str">
        <x:v>Michael</x:v>
      </x:c>
      <x:c r="G40" s="2" t="str">
        <x:v>Big Butler Bids</x:v>
      </x:c>
      <x:c r="H40" s="15" t="n">
        <x:v>131.75</x:v>
      </x:c>
      <x:c r="I40" s="2" t="str">
        <x:f>IF(E40&gt;H40,C40,IF(E40&lt;H40,F40,"Tie"))</x:f>
        <x:v>Michael</x:v>
      </x:c>
      <x:c r="J40" s="2" t="str">
        <x:f>IF(E40&gt;H40,F40,IF(E40&lt;H40,C40,"Tie"))</x:f>
        <x:v>Mike</x:v>
      </x:c>
      <x:c r="K40" s="2" t="n">
        <x:f>IF(E40=H40,1,0)</x:f>
        <x:v>0</x:v>
      </x:c>
      <x:c r="L40" s="2" t="str">
        <x:v>Michael / Mike</x:v>
      </x:c>
      <x:c r="M40" t="str"/>
      <x:c r="N40" t="str">
        <x:v>Supplied</x:v>
      </x:c>
      <x:c r="O40" t="str"/>
    </x:row>
    <x:row r="41" ht="22" customHeight="1">
      <x:c r="A41" s="2" t="n">
        <x:v>3</x:v>
      </x:c>
      <x:c r="B41" s="2" t="str">
        <x:v>Regular</x:v>
      </x:c>
      <x:c r="C41" s="2" t="str">
        <x:v>Josh</x:v>
      </x:c>
      <x:c r="D41" s="2" t="str">
        <x:v>I am Jerry</x:v>
      </x:c>
      <x:c r="E41" s="15" t="n">
        <x:v>155.9</x:v>
      </x:c>
      <x:c r="F41" s="2" t="str">
        <x:v>Nick</x:v>
      </x:c>
      <x:c r="G41" s="2" t="str">
        <x:v>Team Scoops</x:v>
      </x:c>
      <x:c r="H41" s="15" t="n">
        <x:v>122.6</x:v>
      </x:c>
      <x:c r="I41" s="2" t="str">
        <x:f>IF(E41&gt;H41,C41,IF(E41&lt;H41,F41,"Tie"))</x:f>
        <x:v>Josh</x:v>
      </x:c>
      <x:c r="J41" s="2" t="str">
        <x:f>IF(E41&gt;H41,F41,IF(E41&lt;H41,C41,"Tie"))</x:f>
        <x:v>Nick</x:v>
      </x:c>
      <x:c r="K41" s="2" t="n">
        <x:f>IF(E41=H41,1,0)</x:f>
        <x:v>0</x:v>
      </x:c>
      <x:c r="L41" s="2" t="str">
        <x:v>Josh / Nick</x:v>
      </x:c>
      <x:c r="M41" t="str"/>
      <x:c r="N41" t="str">
        <x:v>Supplied</x:v>
      </x:c>
      <x:c r="O41" t="str"/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138</x:v>
      </x:c>
      <x:c r="F42" s="2" t="str">
        <x:v>Craig</x:v>
      </x:c>
      <x:c r="G42" s="2" t="str">
        <x:v>The Ants Marching</x:v>
      </x:c>
      <x:c r="H42" s="15" t="n">
        <x:v>117.45</x:v>
      </x:c>
      <x:c r="I42" s="2" t="str">
        <x:f>IF(E42&gt;H42,C42,IF(E42&lt;H42,F42,"Tie"))</x:f>
        <x:v>Bruce</x:v>
      </x:c>
      <x:c r="J42" s="2" t="str">
        <x:f>IF(E42&gt;H42,F42,IF(E42&lt;H42,C42,"Tie"))</x:f>
        <x:v>Craig</x:v>
      </x:c>
      <x:c r="K42" s="2" t="n">
        <x:f>IF(E42=H42,1,0)</x:f>
        <x:v>0</x:v>
      </x:c>
      <x:c r="L42" s="2" t="str">
        <x:v>Bruce / Craig</x:v>
      </x:c>
      <x:c r="M42" t="str"/>
      <x:c r="N42" t="str">
        <x:v>Supplied</x:v>
      </x:c>
      <x:c r="O42" t="str">
        <x:v>*</x:v>
      </x:c>
    </x:row>
    <x:row r="43" ht="22" customHeight="1">
      <x:c r="A43" s="2" t="n">
        <x:v>4</x:v>
      </x:c>
      <x:c r="B43" s="2" t="str">
        <x:v>Regular</x:v>
      </x:c>
      <x:c r="C43" s="2" t="str">
        <x:v>Dave</x:v>
      </x:c>
      <x:c r="D43" s="2" t="str">
        <x:v>2 Girls 1 Kupp</x:v>
      </x:c>
      <x:c r="E43" s="15" t="n">
        <x:v>117.35</x:v>
      </x:c>
      <x:c r="F43" s="2" t="str">
        <x:v>Michael</x:v>
      </x:c>
      <x:c r="G43" s="2" t="str">
        <x:v>Big Butler Bids</x:v>
      </x:c>
      <x:c r="H43" s="15" t="n">
        <x:v>118.45</x:v>
      </x:c>
      <x:c r="I43" s="2" t="str">
        <x:f>IF(E43&gt;H43,C43,IF(E43&lt;H43,F43,"Tie"))</x:f>
        <x:v>Michael</x:v>
      </x:c>
      <x:c r="J43" s="2" t="str">
        <x:f>IF(E43&gt;H43,F43,IF(E43&lt;H43,C43,"Tie"))</x:f>
        <x:v>Dave</x:v>
      </x:c>
      <x:c r="K43" s="2" t="n">
        <x:f>IF(E43=H43,1,0)</x:f>
        <x:v>0</x:v>
      </x:c>
      <x:c r="L43" s="2" t="str">
        <x:v>Dave / Michael</x:v>
      </x:c>
      <x:c r="M43" t="str"/>
      <x:c r="N43" t="str">
        <x:v>Supplied</x:v>
      </x:c>
      <x:c r="O43" t="str">
        <x:v>*</x:v>
      </x:c>
    </x:row>
    <x:row r="44" ht="22" customHeight="1">
      <x:c r="A44" s="2" t="n">
        <x:v>4</x:v>
      </x:c>
      <x:c r="B44" s="2" t="str">
        <x:v>Regular</x:v>
      </x:c>
      <x:c r="C44" s="2" t="str">
        <x:v>Ed</x:v>
      </x:c>
      <x:c r="D44" s="2" t="str">
        <x:v>Just Fu¢k£d</x:v>
      </x:c>
      <x:c r="E44" s="15" t="n">
        <x:v>65.75</x:v>
      </x:c>
      <x:c r="F44" s="2" t="str">
        <x:v>Mark</x:v>
      </x:c>
      <x:c r="G44" s="2" t="str">
        <x:v>wacky waving arms</x:v>
      </x:c>
      <x:c r="H44" s="15" t="n">
        <x:v>96.55</x:v>
      </x:c>
      <x:c r="I44" s="2" t="str">
        <x:f>IF(E44&gt;H44,C44,IF(E44&lt;H44,F44,"Tie"))</x:f>
        <x:v>Mark</x:v>
      </x:c>
      <x:c r="J44" s="2" t="str">
        <x:f>IF(E44&gt;H44,F44,IF(E44&lt;H44,C44,"Tie"))</x:f>
        <x:v>Ed</x:v>
      </x:c>
      <x:c r="K44" s="2" t="n">
        <x:f>IF(E44=H44,1,0)</x:f>
        <x:v>0</x:v>
      </x:c>
      <x:c r="L44" s="2" t="str">
        <x:v>Ed / Mark</x:v>
      </x:c>
      <x:c r="M44" t="str"/>
      <x:c r="N44" t="str">
        <x:v>Supplied</x:v>
      </x:c>
      <x:c r="O44" t="str">
        <x:v>*</x:v>
      </x:c>
    </x:row>
    <x:row r="45" ht="22" customHeight="1">
      <x:c r="A45" s="2" t="n">
        <x:v>4</x:v>
      </x:c>
      <x:c r="B45" s="2" t="str">
        <x:v>Regular</x:v>
      </x:c>
      <x:c r="C45" s="2" t="str">
        <x:v>Frank</x:v>
      </x:c>
      <x:c r="D45" s="2" t="str">
        <x:v>Saquon Deez (Healthy) Nutz</x:v>
      </x:c>
      <x:c r="E45" s="15" t="n">
        <x:v>153.05</x:v>
      </x:c>
      <x:c r="F45" s="2" t="str">
        <x:v>Mike</x:v>
      </x:c>
      <x:c r="G45" s="2" t="str">
        <x:v>Tahoe Josh</x:v>
      </x:c>
      <x:c r="H45" s="15" t="n">
        <x:v>140.3</x:v>
      </x:c>
      <x:c r="I45" s="2" t="str">
        <x:f>IF(E45&gt;H45,C45,IF(E45&lt;H45,F45,"Tie"))</x:f>
        <x:v>Frank</x:v>
      </x:c>
      <x:c r="J45" s="2" t="str">
        <x:f>IF(E45&gt;H45,F45,IF(E45&lt;H45,C45,"Tie"))</x:f>
        <x:v>Mike</x:v>
      </x:c>
      <x:c r="K45" s="2" t="n">
        <x:f>IF(E45=H45,1,0)</x:f>
        <x:v>0</x:v>
      </x:c>
      <x:c r="L45" s="2" t="str">
        <x:v>Frank / Mike</x:v>
      </x:c>
      <x:c r="M45" t="str"/>
      <x:c r="N45" t="str">
        <x:v>Supplied</x:v>
      </x:c>
      <x:c r="O45" t="str">
        <x:v>*</x:v>
      </x:c>
    </x:row>
    <x:row r="46" ht="22" customHeight="1">
      <x:c r="A46" s="2" t="n">
        <x:v>4</x:v>
      </x:c>
      <x:c r="B46" s="2" t="str">
        <x:v>Regular</x:v>
      </x:c>
      <x:c r="C46" s="2" t="str">
        <x:v>Josh</x:v>
      </x:c>
      <x:c r="D46" s="2" t="str">
        <x:v>I am Jerry</x:v>
      </x:c>
      <x:c r="E46" s="15" t="n">
        <x:v>135.9</x:v>
      </x:c>
      <x:c r="F46" s="2" t="str">
        <x:v>Matt</x:v>
      </x:c>
      <x:c r="G46" s="2" t="str">
        <x:v>Mr.Montana</x:v>
      </x:c>
      <x:c r="H46" s="15" t="n">
        <x:v>114.1</x:v>
      </x:c>
      <x:c r="I46" s="2" t="str">
        <x:f>IF(E46&gt;H46,C46,IF(E46&lt;H46,F46,"Tie"))</x:f>
        <x:v>Josh</x:v>
      </x:c>
      <x:c r="J46" s="2" t="str">
        <x:f>IF(E46&gt;H46,F46,IF(E46&lt;H46,C46,"Tie"))</x:f>
        <x:v>Matt</x:v>
      </x:c>
      <x:c r="K46" s="2" t="n">
        <x:f>IF(E46=H46,1,0)</x:f>
        <x:v>0</x:v>
      </x:c>
      <x:c r="L46" s="2" t="str">
        <x:v>Josh / Matt</x:v>
      </x:c>
      <x:c r="M46" t="str"/>
      <x:c r="N46" t="str">
        <x:v>Supplied</x:v>
      </x:c>
      <x:c r="O46" t="str">
        <x:v>*</x:v>
      </x:c>
    </x:row>
    <x:row r="47" ht="22" customHeight="1">
      <x:c r="A47" s="2" t="n">
        <x:v>4</x:v>
      </x:c>
      <x:c r="B47" s="2" t="str">
        <x:v>Regular</x:v>
      </x:c>
      <x:c r="C47" s="2" t="str">
        <x:v>Paul</x:v>
      </x:c>
      <x:c r="D47" s="2" t="str">
        <x:v>Space Dogs</x:v>
      </x:c>
      <x:c r="E47" s="15" t="n">
        <x:v>78.3</x:v>
      </x:c>
      <x:c r="F47" s="2" t="str">
        <x:v>Nick</x:v>
      </x:c>
      <x:c r="G47" s="2" t="str">
        <x:v>Team Scoops</x:v>
      </x:c>
      <x:c r="H47" s="15" t="n">
        <x:v>114.15</x:v>
      </x:c>
      <x:c r="I47" s="2" t="str">
        <x:f>IF(E47&gt;H47,C47,IF(E47&lt;H47,F47,"Tie"))</x:f>
        <x:v>Nick</x:v>
      </x:c>
      <x:c r="J47" s="2" t="str">
        <x:f>IF(E47&gt;H47,F47,IF(E47&lt;H47,C47,"Tie"))</x:f>
        <x:v>Paul</x:v>
      </x:c>
      <x:c r="K47" s="2" t="n">
        <x:f>IF(E47=H47,1,0)</x:f>
        <x:v>0</x:v>
      </x:c>
      <x:c r="L47" s="2" t="str">
        <x:v>Nick / Paul</x:v>
      </x:c>
      <x:c r="M47" t="str"/>
      <x:c r="N47" t="str">
        <x:v>Supplied</x:v>
      </x:c>
      <x:c r="O47" t="str">
        <x:v>*</x:v>
      </x:c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131.35</x:v>
      </x:c>
      <x:c r="F48" s="2" t="str">
        <x:v>Dave</x:v>
      </x:c>
      <x:c r="G48" s="2" t="str">
        <x:v>2 Girls 1 Kupp</x:v>
      </x:c>
      <x:c r="H48" s="15" t="n">
        <x:v>91.5</x:v>
      </x:c>
      <x:c r="I48" s="2" t="str">
        <x:f>IF(E48&gt;H48,C48,IF(E48&lt;H48,F48,"Tie"))</x:f>
        <x:v>Bruce</x:v>
      </x:c>
      <x:c r="J48" s="2" t="str">
        <x:f>IF(E48&gt;H48,F48,IF(E48&lt;H48,C48,"Tie"))</x:f>
        <x:v>Dave</x:v>
      </x:c>
      <x:c r="K48" s="2" t="n">
        <x:f>IF(E48=H48,1,0)</x:f>
        <x:v>0</x:v>
      </x:c>
      <x:c r="L48" s="2" t="str">
        <x:v>Bruce / Dave</x:v>
      </x:c>
      <x:c r="M48" t="str"/>
      <x:c r="N48" t="str">
        <x:v>Supplied</x:v>
      </x:c>
      <x:c r="O48" t="str"/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104.15</x:v>
      </x:c>
      <x:c r="F49" s="2" t="str">
        <x:v>Mike</x:v>
      </x:c>
      <x:c r="G49" s="2" t="str">
        <x:v>Tahoe Josh</x:v>
      </x:c>
      <x:c r="H49" s="15" t="n">
        <x:v>147.3</x:v>
      </x:c>
      <x:c r="I49" s="2" t="str">
        <x:f>IF(E49&gt;H49,C49,IF(E49&lt;H49,F49,"Tie"))</x:f>
        <x:v>Mike</x:v>
      </x:c>
      <x:c r="J49" s="2" t="str">
        <x:f>IF(E49&gt;H49,F49,IF(E49&lt;H49,C49,"Tie"))</x:f>
        <x:v>Craig</x:v>
      </x:c>
      <x:c r="K49" s="2" t="n">
        <x:f>IF(E49=H49,1,0)</x:f>
        <x:v>0</x:v>
      </x:c>
      <x:c r="L49" s="2" t="str">
        <x:v>Craig / Mike</x:v>
      </x:c>
      <x:c r="M49" t="str"/>
      <x:c r="N49" t="str">
        <x:v>Supplied</x:v>
      </x:c>
      <x:c r="O49" t="str"/>
    </x:row>
    <x:row r="50" ht="22" customHeight="1">
      <x:c r="A50" s="2" t="n">
        <x:v>5</x:v>
      </x:c>
      <x:c r="B50" s="2" t="str">
        <x:v>Regular</x:v>
      </x:c>
      <x:c r="C50" s="2" t="str">
        <x:v>Ed</x:v>
      </x:c>
      <x:c r="D50" s="2" t="str">
        <x:v>Just Fu¢k£d</x:v>
      </x:c>
      <x:c r="E50" s="15" t="n">
        <x:v>132.4</x:v>
      </x:c>
      <x:c r="F50" s="2" t="str">
        <x:v>Frank</x:v>
      </x:c>
      <x:c r="G50" s="2" t="str">
        <x:v>Saquon Deez (Healthy) Nutz</x:v>
      </x:c>
      <x:c r="H50" s="15" t="n">
        <x:v>112.45</x:v>
      </x:c>
      <x:c r="I50" s="2" t="str">
        <x:f>IF(E50&gt;H50,C50,IF(E50&lt;H50,F50,"Tie"))</x:f>
        <x:v>Ed</x:v>
      </x:c>
      <x:c r="J50" s="2" t="str">
        <x:f>IF(E50&gt;H50,F50,IF(E50&lt;H50,C50,"Tie"))</x:f>
        <x:v>Frank</x:v>
      </x:c>
      <x:c r="K50" s="2" t="n">
        <x:f>IF(E50=H50,1,0)</x:f>
        <x:v>0</x:v>
      </x:c>
      <x:c r="L50" s="2" t="str">
        <x:v>Ed / Frank</x:v>
      </x:c>
      <x:c r="M50" t="str"/>
      <x:c r="N50" t="str">
        <x:v>Supplied</x:v>
      </x:c>
      <x:c r="O50" t="str"/>
    </x:row>
    <x:row r="51" ht="22" customHeight="1">
      <x:c r="A51" s="2" t="n">
        <x:v>5</x:v>
      </x:c>
      <x:c r="B51" s="2" t="str">
        <x:v>Regular</x:v>
      </x:c>
      <x:c r="C51" s="2" t="str">
        <x:v>Josh</x:v>
      </x:c>
      <x:c r="D51" s="2" t="str">
        <x:v>I am Jerry</x:v>
      </x:c>
      <x:c r="E51" s="15" t="n">
        <x:v>117.8</x:v>
      </x:c>
      <x:c r="F51" s="2" t="str">
        <x:v>Michael</x:v>
      </x:c>
      <x:c r="G51" s="2" t="str">
        <x:v>Big Butler Bids</x:v>
      </x:c>
      <x:c r="H51" s="15" t="n">
        <x:v>111.45</x:v>
      </x:c>
      <x:c r="I51" s="2" t="str">
        <x:f>IF(E51&gt;H51,C51,IF(E51&lt;H51,F51,"Tie"))</x:f>
        <x:v>Josh</x:v>
      </x:c>
      <x:c r="J51" s="2" t="str">
        <x:f>IF(E51&gt;H51,F51,IF(E51&lt;H51,C51,"Tie"))</x:f>
        <x:v>Michael</x:v>
      </x:c>
      <x:c r="K51" s="2" t="n">
        <x:f>IF(E51=H51,1,0)</x:f>
        <x:v>0</x:v>
      </x:c>
      <x:c r="L51" s="2" t="str">
        <x:v>Josh / Michael</x:v>
      </x:c>
      <x:c r="M51" t="str"/>
      <x:c r="N51" t="str">
        <x:v>Supplied</x:v>
      </x:c>
      <x:c r="O51" t="str"/>
    </x:row>
    <x:row r="52" ht="22" customHeight="1">
      <x:c r="A52" s="2" t="n">
        <x:v>5</x:v>
      </x:c>
      <x:c r="B52" s="2" t="str">
        <x:v>Regular</x:v>
      </x:c>
      <x:c r="C52" s="2" t="str">
        <x:v>Mark</x:v>
      </x:c>
      <x:c r="D52" s="2" t="str">
        <x:v>wacky waving arms</x:v>
      </x:c>
      <x:c r="E52" s="15" t="n">
        <x:v>116.3</x:v>
      </x:c>
      <x:c r="F52" s="2" t="str">
        <x:v>Nick</x:v>
      </x:c>
      <x:c r="G52" s="2" t="str">
        <x:v>Team Scoops</x:v>
      </x:c>
      <x:c r="H52" s="15" t="n">
        <x:v>93.35</x:v>
      </x:c>
      <x:c r="I52" s="2" t="str">
        <x:f>IF(E52&gt;H52,C52,IF(E52&lt;H52,F52,"Tie"))</x:f>
        <x:v>Mark</x:v>
      </x:c>
      <x:c r="J52" s="2" t="str">
        <x:f>IF(E52&gt;H52,F52,IF(E52&lt;H52,C52,"Tie"))</x:f>
        <x:v>Nick</x:v>
      </x:c>
      <x:c r="K52" s="2" t="n">
        <x:f>IF(E52=H52,1,0)</x:f>
        <x:v>0</x:v>
      </x:c>
      <x:c r="L52" s="2" t="str">
        <x:v>Mark / Nick</x:v>
      </x:c>
      <x:c r="M52" t="str"/>
      <x:c r="N52" t="str">
        <x:v>Supplied</x:v>
      </x:c>
      <x:c r="O52" t="str"/>
    </x:row>
    <x:row r="53" ht="22" customHeight="1">
      <x:c r="A53" s="2" t="n">
        <x:v>5</x:v>
      </x:c>
      <x:c r="B53" s="2" t="str">
        <x:v>Regular</x:v>
      </x:c>
      <x:c r="C53" s="2" t="str">
        <x:v>Paul</x:v>
      </x:c>
      <x:c r="D53" s="2" t="str">
        <x:v>Space Dogs</x:v>
      </x:c>
      <x:c r="E53" s="15" t="n">
        <x:v>160.2</x:v>
      </x:c>
      <x:c r="F53" s="2" t="str">
        <x:v>Matt</x:v>
      </x:c>
      <x:c r="G53" s="2" t="str">
        <x:v>Mr.Montana</x:v>
      </x:c>
      <x:c r="H53" s="15" t="n">
        <x:v>161.65</x:v>
      </x:c>
      <x:c r="I53" s="2" t="str">
        <x:f>IF(E53&gt;H53,C53,IF(E53&lt;H53,F53,"Tie"))</x:f>
        <x:v>Matt</x:v>
      </x:c>
      <x:c r="J53" s="2" t="str">
        <x:f>IF(E53&gt;H53,F53,IF(E53&lt;H53,C53,"Tie"))</x:f>
        <x:v>Paul</x:v>
      </x:c>
      <x:c r="K53" s="2" t="n">
        <x:f>IF(E53=H53,1,0)</x:f>
        <x:v>0</x:v>
      </x:c>
      <x:c r="L53" s="2" t="str">
        <x:v>Matt / Paul</x:v>
      </x:c>
      <x:c r="M53" t="str"/>
      <x:c r="N53" t="str">
        <x:v>Supplied</x:v>
      </x:c>
      <x:c r="O53" t="str"/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142.05</x:v>
      </x:c>
      <x:c r="F54" s="2" t="str">
        <x:v>Matt</x:v>
      </x:c>
      <x:c r="G54" s="2" t="str">
        <x:v>Mr.Montana</x:v>
      </x:c>
      <x:c r="H54" s="15" t="n">
        <x:v>76.25</x:v>
      </x:c>
      <x:c r="I54" s="2" t="str">
        <x:f>IF(E54&gt;H54,C54,IF(E54&lt;H54,F54,"Tie"))</x:f>
        <x:v>Bruce</x:v>
      </x:c>
      <x:c r="J54" s="2" t="str">
        <x:f>IF(E54&gt;H54,F54,IF(E54&lt;H54,C54,"Tie"))</x:f>
        <x:v>Matt</x:v>
      </x:c>
      <x:c r="K54" s="2" t="n">
        <x:f>IF(E54=H54,1,0)</x:f>
        <x:v>0</x:v>
      </x:c>
      <x:c r="L54" s="2" t="str">
        <x:v>Bruce / Matt</x:v>
      </x:c>
      <x:c r="M54" t="str"/>
      <x:c r="N54" t="str">
        <x:v>Supplied</x:v>
      </x:c>
      <x:c r="O54" t="str"/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114.25</x:v>
      </x:c>
      <x:c r="F55" s="2" t="str">
        <x:v>Michael</x:v>
      </x:c>
      <x:c r="G55" s="2" t="str">
        <x:v>Big Butler Bids</x:v>
      </x:c>
      <x:c r="H55" s="15" t="n">
        <x:v>102.35</x:v>
      </x:c>
      <x:c r="I55" s="2" t="str">
        <x:f>IF(E55&gt;H55,C55,IF(E55&lt;H55,F55,"Tie"))</x:f>
        <x:v>Craig</x:v>
      </x:c>
      <x:c r="J55" s="2" t="str">
        <x:f>IF(E55&gt;H55,F55,IF(E55&lt;H55,C55,"Tie"))</x:f>
        <x:v>Michael</x:v>
      </x:c>
      <x:c r="K55" s="2" t="n">
        <x:f>IF(E55=H55,1,0)</x:f>
        <x:v>0</x:v>
      </x:c>
      <x:c r="L55" s="2" t="str">
        <x:v>Craig / Michael</x:v>
      </x:c>
      <x:c r="M55" t="str"/>
      <x:c r="N55" t="str">
        <x:v>Supplied</x:v>
      </x:c>
      <x:c r="O55" t="str"/>
    </x:row>
    <x:row r="56" ht="22" customHeight="1">
      <x:c r="A56" s="2" t="n">
        <x:v>6</x:v>
      </x:c>
      <x:c r="B56" s="2" t="str">
        <x:v>Regular</x:v>
      </x:c>
      <x:c r="C56" s="2" t="str">
        <x:v>Dave</x:v>
      </x:c>
      <x:c r="D56" s="2" t="str">
        <x:v>2 Girls 1 Kupp</x:v>
      </x:c>
      <x:c r="E56" s="15" t="n">
        <x:v>101.5</x:v>
      </x:c>
      <x:c r="F56" s="2" t="str">
        <x:v>Frank</x:v>
      </x:c>
      <x:c r="G56" s="2" t="str">
        <x:v>Saquon Deez (Healthy) Nutz</x:v>
      </x:c>
      <x:c r="H56" s="15" t="n">
        <x:v>106.9</x:v>
      </x:c>
      <x:c r="I56" s="2" t="str">
        <x:f>IF(E56&gt;H56,C56,IF(E56&lt;H56,F56,"Tie"))</x:f>
        <x:v>Frank</x:v>
      </x:c>
      <x:c r="J56" s="2" t="str">
        <x:f>IF(E56&gt;H56,F56,IF(E56&lt;H56,C56,"Tie"))</x:f>
        <x:v>Dave</x:v>
      </x:c>
      <x:c r="K56" s="2" t="n">
        <x:f>IF(E56=H56,1,0)</x:f>
        <x:v>0</x:v>
      </x:c>
      <x:c r="L56" s="2" t="str">
        <x:v>Dave / Frank</x:v>
      </x:c>
      <x:c r="M56" t="str"/>
      <x:c r="N56" t="str">
        <x:v>Supplied</x:v>
      </x:c>
      <x:c r="O56" t="str"/>
    </x:row>
    <x:row r="57" ht="22" customHeight="1">
      <x:c r="A57" s="2" t="n">
        <x:v>6</x:v>
      </x:c>
      <x:c r="B57" s="2" t="str">
        <x:v>Regular</x:v>
      </x:c>
      <x:c r="C57" s="2" t="str">
        <x:v>Ed</x:v>
      </x:c>
      <x:c r="D57" s="2" t="str">
        <x:v>Just Fu¢k£d</x:v>
      </x:c>
      <x:c r="E57" s="15" t="n">
        <x:v>99.35</x:v>
      </x:c>
      <x:c r="F57" s="2" t="str">
        <x:v>Paul</x:v>
      </x:c>
      <x:c r="G57" s="2" t="str">
        <x:v>Space Dogs</x:v>
      </x:c>
      <x:c r="H57" s="15" t="n">
        <x:v>150.65</x:v>
      </x:c>
      <x:c r="I57" s="2" t="str">
        <x:f>IF(E57&gt;H57,C57,IF(E57&lt;H57,F57,"Tie"))</x:f>
        <x:v>Paul</x:v>
      </x:c>
      <x:c r="J57" s="2" t="str">
        <x:f>IF(E57&gt;H57,F57,IF(E57&lt;H57,C57,"Tie"))</x:f>
        <x:v>Ed</x:v>
      </x:c>
      <x:c r="K57" s="2" t="n">
        <x:f>IF(E57=H57,1,0)</x:f>
        <x:v>0</x:v>
      </x:c>
      <x:c r="L57" s="2" t="str">
        <x:v>Ed / Paul</x:v>
      </x:c>
      <x:c r="M57" t="str"/>
      <x:c r="N57" t="str">
        <x:v>Supplied</x:v>
      </x:c>
      <x:c r="O57" t="str"/>
    </x:row>
    <x:row r="58" ht="22" customHeight="1">
      <x:c r="A58" s="2" t="n">
        <x:v>6</x:v>
      </x:c>
      <x:c r="B58" s="2" t="str">
        <x:v>Regular</x:v>
      </x:c>
      <x:c r="C58" s="2" t="str">
        <x:v>Mike</x:v>
      </x:c>
      <x:c r="D58" s="2" t="str">
        <x:v>Tahoe Josh</x:v>
      </x:c>
      <x:c r="E58" s="15" t="n">
        <x:v>132.7</x:v>
      </x:c>
      <x:c r="F58" s="2" t="str">
        <x:v>Nick</x:v>
      </x:c>
      <x:c r="G58" s="2" t="str">
        <x:v>Team Scoops</x:v>
      </x:c>
      <x:c r="H58" s="15" t="n">
        <x:v>95</x:v>
      </x:c>
      <x:c r="I58" s="2" t="str">
        <x:f>IF(E58&gt;H58,C58,IF(E58&lt;H58,F58,"Tie"))</x:f>
        <x:v>Mike</x:v>
      </x:c>
      <x:c r="J58" s="2" t="str">
        <x:f>IF(E58&gt;H58,F58,IF(E58&lt;H58,C58,"Tie"))</x:f>
        <x:v>Nick</x:v>
      </x:c>
      <x:c r="K58" s="2" t="n">
        <x:f>IF(E58=H58,1,0)</x:f>
        <x:v>0</x:v>
      </x:c>
      <x:c r="L58" s="2" t="str">
        <x:v>Mike / Nick</x:v>
      </x:c>
      <x:c r="M58" t="str"/>
      <x:c r="N58" t="str">
        <x:v>Supplied</x:v>
      </x:c>
      <x:c r="O58" t="str"/>
    </x:row>
    <x:row r="59" ht="22" customHeight="1">
      <x:c r="A59" s="2" t="n">
        <x:v>6</x:v>
      </x:c>
      <x:c r="B59" s="2" t="str">
        <x:v>Regular</x:v>
      </x:c>
      <x:c r="C59" s="2" t="str">
        <x:v>Josh</x:v>
      </x:c>
      <x:c r="D59" s="2" t="str">
        <x:v>I am Jerry</x:v>
      </x:c>
      <x:c r="E59" s="15" t="n">
        <x:v>103.95</x:v>
      </x:c>
      <x:c r="F59" s="2" t="str">
        <x:v>Mark</x:v>
      </x:c>
      <x:c r="G59" s="2" t="str">
        <x:v>wacky waving arms</x:v>
      </x:c>
      <x:c r="H59" s="15" t="n">
        <x:v>119.35</x:v>
      </x:c>
      <x:c r="I59" s="2" t="str">
        <x:f>IF(E59&gt;H59,C59,IF(E59&lt;H59,F59,"Tie"))</x:f>
        <x:v>Mark</x:v>
      </x:c>
      <x:c r="J59" s="2" t="str">
        <x:f>IF(E59&gt;H59,F59,IF(E59&lt;H59,C59,"Tie"))</x:f>
        <x:v>Josh</x:v>
      </x:c>
      <x:c r="K59" s="2" t="n">
        <x:f>IF(E59=H59,1,0)</x:f>
        <x:v>0</x:v>
      </x:c>
      <x:c r="L59" s="2" t="str">
        <x:v>Josh / Mark</x:v>
      </x:c>
      <x:c r="M59" t="str"/>
      <x:c r="N59" t="str">
        <x:v>Supplied</x:v>
      </x:c>
      <x:c r="O59" t="str"/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127.05</x:v>
      </x:c>
      <x:c r="F60" s="2" t="str">
        <x:v>Nick</x:v>
      </x:c>
      <x:c r="G60" s="2" t="str">
        <x:v>Team Scoops</x:v>
      </x:c>
      <x:c r="H60" s="15" t="n">
        <x:v>119.7</x:v>
      </x:c>
      <x:c r="I60" s="2" t="str">
        <x:f>IF(E60&gt;H60,C60,IF(E60&lt;H60,F60,"Tie"))</x:f>
        <x:v>Bruce</x:v>
      </x:c>
      <x:c r="J60" s="2" t="str">
        <x:f>IF(E60&gt;H60,F60,IF(E60&lt;H60,C60,"Tie"))</x:f>
        <x:v>Nick</x:v>
      </x:c>
      <x:c r="K60" s="2" t="n">
        <x:f>IF(E60=H60,1,0)</x:f>
        <x:v>0</x:v>
      </x:c>
      <x:c r="L60" s="2" t="str">
        <x:v>Bruce / Nick</x:v>
      </x:c>
      <x:c r="M60" t="str"/>
      <x:c r="N60" t="str">
        <x:v>Supplied</x:v>
      </x:c>
      <x:c r="O60" t="str">
        <x:v>*</x:v>
      </x:c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88.7</x:v>
      </x:c>
      <x:c r="F61" s="2" t="str">
        <x:v>Paul</x:v>
      </x:c>
      <x:c r="G61" s="2" t="str">
        <x:v>Space Dogs</x:v>
      </x:c>
      <x:c r="H61" s="15" t="n">
        <x:v>149.8</x:v>
      </x:c>
      <x:c r="I61" s="2" t="str">
        <x:f>IF(E61&gt;H61,C61,IF(E61&lt;H61,F61,"Tie"))</x:f>
        <x:v>Paul</x:v>
      </x:c>
      <x:c r="J61" s="2" t="str">
        <x:f>IF(E61&gt;H61,F61,IF(E61&lt;H61,C61,"Tie"))</x:f>
        <x:v>Craig</x:v>
      </x:c>
      <x:c r="K61" s="2" t="n">
        <x:f>IF(E61=H61,1,0)</x:f>
        <x:v>0</x:v>
      </x:c>
      <x:c r="L61" s="2" t="str">
        <x:v>Craig / Paul</x:v>
      </x:c>
      <x:c r="M61" t="str"/>
      <x:c r="N61" t="str">
        <x:v>Supplied</x:v>
      </x:c>
      <x:c r="O61" t="str">
        <x:v>*</x:v>
      </x:c>
    </x:row>
    <x:row r="62" ht="22" customHeight="1">
      <x:c r="A62" s="2" t="n">
        <x:v>7</x:v>
      </x:c>
      <x:c r="B62" s="2" t="str">
        <x:v>Regular</x:v>
      </x:c>
      <x:c r="C62" s="2" t="str">
        <x:v>Dave</x:v>
      </x:c>
      <x:c r="D62" s="2" t="str">
        <x:v>2 Girls 1 Kupp</x:v>
      </x:c>
      <x:c r="E62" s="15" t="n">
        <x:v>138.5</x:v>
      </x:c>
      <x:c r="F62" s="2" t="str">
        <x:v>Mark</x:v>
      </x:c>
      <x:c r="G62" s="2" t="str">
        <x:v>wacky waving arms</x:v>
      </x:c>
      <x:c r="H62" s="15" t="n">
        <x:v>81.35</x:v>
      </x:c>
      <x:c r="I62" s="2" t="str">
        <x:f>IF(E62&gt;H62,C62,IF(E62&lt;H62,F62,"Tie"))</x:f>
        <x:v>Dave</x:v>
      </x:c>
      <x:c r="J62" s="2" t="str">
        <x:f>IF(E62&gt;H62,F62,IF(E62&lt;H62,C62,"Tie"))</x:f>
        <x:v>Mark</x:v>
      </x:c>
      <x:c r="K62" s="2" t="n">
        <x:f>IF(E62=H62,1,0)</x:f>
        <x:v>0</x:v>
      </x:c>
      <x:c r="L62" s="2" t="str">
        <x:v>Dave / Mark</x:v>
      </x:c>
      <x:c r="M62" t="str"/>
      <x:c r="N62" t="str">
        <x:v>Supplied</x:v>
      </x:c>
      <x:c r="O62" t="str">
        <x:v>*</x:v>
      </x:c>
    </x:row>
    <x:row r="63" ht="22" customHeight="1">
      <x:c r="A63" s="2" t="n">
        <x:v>7</x:v>
      </x:c>
      <x:c r="B63" s="2" t="str">
        <x:v>Regular</x:v>
      </x:c>
      <x:c r="C63" s="2" t="str">
        <x:v>Ed</x:v>
      </x:c>
      <x:c r="D63" s="2" t="str">
        <x:v>Just Fu¢k£d</x:v>
      </x:c>
      <x:c r="E63" s="15" t="n">
        <x:v>69.8</x:v>
      </x:c>
      <x:c r="F63" s="2" t="str">
        <x:v>Michael</x:v>
      </x:c>
      <x:c r="G63" s="2" t="str">
        <x:v>Big Butler Bids</x:v>
      </x:c>
      <x:c r="H63" s="15" t="n">
        <x:v>115.9</x:v>
      </x:c>
      <x:c r="I63" s="2" t="str">
        <x:f>IF(E63&gt;H63,C63,IF(E63&lt;H63,F63,"Tie"))</x:f>
        <x:v>Michael</x:v>
      </x:c>
      <x:c r="J63" s="2" t="str">
        <x:f>IF(E63&gt;H63,F63,IF(E63&lt;H63,C63,"Tie"))</x:f>
        <x:v>Ed</x:v>
      </x:c>
      <x:c r="K63" s="2" t="n">
        <x:f>IF(E63=H63,1,0)</x:f>
        <x:v>0</x:v>
      </x:c>
      <x:c r="L63" s="2" t="str">
        <x:v>Ed / Michael</x:v>
      </x:c>
      <x:c r="M63" t="str"/>
      <x:c r="N63" t="str">
        <x:v>Supplied</x:v>
      </x:c>
      <x:c r="O63" t="str">
        <x:v>*</x:v>
      </x:c>
    </x:row>
    <x:row r="64" ht="22" customHeight="1">
      <x:c r="A64" s="2" t="n">
        <x:v>7</x:v>
      </x:c>
      <x:c r="B64" s="2" t="str">
        <x:v>Regular</x:v>
      </x:c>
      <x:c r="C64" s="2" t="str">
        <x:v>Frank</x:v>
      </x:c>
      <x:c r="D64" s="2" t="str">
        <x:v>Saquon Deez (Healthy) Nutz</x:v>
      </x:c>
      <x:c r="E64" s="15" t="n">
        <x:v>145.75</x:v>
      </x:c>
      <x:c r="F64" s="2" t="str">
        <x:v>Josh</x:v>
      </x:c>
      <x:c r="G64" s="2" t="str">
        <x:v>I am Jerry</x:v>
      </x:c>
      <x:c r="H64" s="15" t="n">
        <x:v>148.85</x:v>
      </x:c>
      <x:c r="I64" s="2" t="str">
        <x:f>IF(E64&gt;H64,C64,IF(E64&lt;H64,F64,"Tie"))</x:f>
        <x:v>Josh</x:v>
      </x:c>
      <x:c r="J64" s="2" t="str">
        <x:f>IF(E64&gt;H64,F64,IF(E64&lt;H64,C64,"Tie"))</x:f>
        <x:v>Frank</x:v>
      </x:c>
      <x:c r="K64" s="2" t="n">
        <x:f>IF(E64=H64,1,0)</x:f>
        <x:v>0</x:v>
      </x:c>
      <x:c r="L64" s="2" t="str">
        <x:v>Frank / Josh</x:v>
      </x:c>
      <x:c r="M64" t="str"/>
      <x:c r="N64" t="str">
        <x:v>Supplied</x:v>
      </x:c>
      <x:c r="O64" t="str">
        <x:v>*</x:v>
      </x:c>
    </x:row>
    <x:row r="65" ht="22" customHeight="1">
      <x:c r="A65" s="2" t="n">
        <x:v>7</x:v>
      </x:c>
      <x:c r="B65" s="2" t="str">
        <x:v>Regular</x:v>
      </x:c>
      <x:c r="C65" s="2" t="str">
        <x:v>Mike</x:v>
      </x:c>
      <x:c r="D65" s="2" t="str">
        <x:v>Tahoe Josh</x:v>
      </x:c>
      <x:c r="E65" s="15" t="n">
        <x:v>130.8</x:v>
      </x:c>
      <x:c r="F65" s="2" t="str">
        <x:v>Matt</x:v>
      </x:c>
      <x:c r="G65" s="2" t="str">
        <x:v>Mr.Montana</x:v>
      </x:c>
      <x:c r="H65" s="15" t="n">
        <x:v>109</x:v>
      </x:c>
      <x:c r="I65" s="2" t="str">
        <x:f>IF(E65&gt;H65,C65,IF(E65&lt;H65,F65,"Tie"))</x:f>
        <x:v>Mike</x:v>
      </x:c>
      <x:c r="J65" s="2" t="str">
        <x:f>IF(E65&gt;H65,F65,IF(E65&lt;H65,C65,"Tie"))</x:f>
        <x:v>Matt</x:v>
      </x:c>
      <x:c r="K65" s="2" t="n">
        <x:f>IF(E65=H65,1,0)</x:f>
        <x:v>0</x:v>
      </x:c>
      <x:c r="L65" s="2" t="str">
        <x:v>Matt / Mike</x:v>
      </x:c>
      <x:c r="M65" t="str"/>
      <x:c r="N65" t="str">
        <x:v>Supplied</x:v>
      </x:c>
      <x:c r="O65" t="str">
        <x:v>*</x:v>
      </x:c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131.1</x:v>
      </x:c>
      <x:c r="F66" s="2" t="str">
        <x:v>Michael</x:v>
      </x:c>
      <x:c r="G66" s="2" t="str">
        <x:v>Big Butler Bids</x:v>
      </x:c>
      <x:c r="H66" s="15" t="n">
        <x:v>112</x:v>
      </x:c>
      <x:c r="I66" s="2" t="str">
        <x:f>IF(E66&gt;H66,C66,IF(E66&lt;H66,F66,"Tie"))</x:f>
        <x:v>Bruce</x:v>
      </x:c>
      <x:c r="J66" s="2" t="str">
        <x:f>IF(E66&gt;H66,F66,IF(E66&lt;H66,C66,"Tie"))</x:f>
        <x:v>Michael</x:v>
      </x:c>
      <x:c r="K66" s="2" t="n">
        <x:f>IF(E66=H66,1,0)</x:f>
        <x:v>0</x:v>
      </x:c>
      <x:c r="L66" s="2" t="str">
        <x:v>Bruce / Michael</x:v>
      </x:c>
      <x:c r="M66" t="str"/>
      <x:c r="N66" t="str">
        <x:v>Supplied</x:v>
      </x:c>
      <x:c r="O66" t="str"/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158.85</x:v>
      </x:c>
      <x:c r="F67" s="2" t="str">
        <x:v>Frank</x:v>
      </x:c>
      <x:c r="G67" s="2" t="str">
        <x:v>Saquon Deez (Healthy) Nutz</x:v>
      </x:c>
      <x:c r="H67" s="15" t="n">
        <x:v>119.65</x:v>
      </x:c>
      <x:c r="I67" s="2" t="str">
        <x:f>IF(E67&gt;H67,C67,IF(E67&lt;H67,F67,"Tie"))</x:f>
        <x:v>Craig</x:v>
      </x:c>
      <x:c r="J67" s="2" t="str">
        <x:f>IF(E67&gt;H67,F67,IF(E67&lt;H67,C67,"Tie"))</x:f>
        <x:v>Frank</x:v>
      </x:c>
      <x:c r="K67" s="2" t="n">
        <x:f>IF(E67=H67,1,0)</x:f>
        <x:v>0</x:v>
      </x:c>
      <x:c r="L67" s="2" t="str">
        <x:v>Craig / Frank</x:v>
      </x:c>
      <x:c r="M67" t="str"/>
      <x:c r="N67" t="str">
        <x:v>Supplied</x:v>
      </x:c>
      <x:c r="O67" t="str"/>
    </x:row>
    <x:row r="68" ht="22" customHeight="1">
      <x:c r="A68" s="2" t="n">
        <x:v>8</x:v>
      </x:c>
      <x:c r="B68" s="2" t="str">
        <x:v>Regular</x:v>
      </x:c>
      <x:c r="C68" s="2" t="str">
        <x:v>Dave</x:v>
      </x:c>
      <x:c r="D68" s="2" t="str">
        <x:v>2 Girls 1 Kupp</x:v>
      </x:c>
      <x:c r="E68" s="15" t="n">
        <x:v>121.6</x:v>
      </x:c>
      <x:c r="F68" s="2" t="str">
        <x:v>Josh</x:v>
      </x:c>
      <x:c r="G68" s="2" t="str">
        <x:v>I am Jerry</x:v>
      </x:c>
      <x:c r="H68" s="15" t="n">
        <x:v>131.55</x:v>
      </x:c>
      <x:c r="I68" s="2" t="str">
        <x:f>IF(E68&gt;H68,C68,IF(E68&lt;H68,F68,"Tie"))</x:f>
        <x:v>Josh</x:v>
      </x:c>
      <x:c r="J68" s="2" t="str">
        <x:f>IF(E68&gt;H68,F68,IF(E68&lt;H68,C68,"Tie"))</x:f>
        <x:v>Dave</x:v>
      </x:c>
      <x:c r="K68" s="2" t="n">
        <x:f>IF(E68=H68,1,0)</x:f>
        <x:v>0</x:v>
      </x:c>
      <x:c r="L68" s="2" t="str">
        <x:v>Dave / Josh</x:v>
      </x:c>
      <x:c r="M68" t="str"/>
      <x:c r="N68" t="str">
        <x:v>Supplied</x:v>
      </x:c>
      <x:c r="O68" t="str"/>
    </x:row>
    <x:row r="69" ht="22" customHeight="1">
      <x:c r="A69" s="2" t="n">
        <x:v>8</x:v>
      </x:c>
      <x:c r="B69" s="2" t="str">
        <x:v>Regular</x:v>
      </x:c>
      <x:c r="C69" s="2" t="str">
        <x:v>Ed</x:v>
      </x:c>
      <x:c r="D69" s="2" t="str">
        <x:v>Just Fu¢k£d</x:v>
      </x:c>
      <x:c r="E69" s="15" t="n">
        <x:v>120</x:v>
      </x:c>
      <x:c r="F69" s="2" t="str">
        <x:v>Mike</x:v>
      </x:c>
      <x:c r="G69" s="2" t="str">
        <x:v>Tahoe Josh</x:v>
      </x:c>
      <x:c r="H69" s="15" t="n">
        <x:v>150.7</x:v>
      </x:c>
      <x:c r="I69" s="2" t="str">
        <x:f>IF(E69&gt;H69,C69,IF(E69&lt;H69,F69,"Tie"))</x:f>
        <x:v>Mike</x:v>
      </x:c>
      <x:c r="J69" s="2" t="str">
        <x:f>IF(E69&gt;H69,F69,IF(E69&lt;H69,C69,"Tie"))</x:f>
        <x:v>Ed</x:v>
      </x:c>
      <x:c r="K69" s="2" t="n">
        <x:f>IF(E69=H69,1,0)</x:f>
        <x:v>0</x:v>
      </x:c>
      <x:c r="L69" s="2" t="str">
        <x:v>Ed / Mike</x:v>
      </x:c>
      <x:c r="M69" t="str"/>
      <x:c r="N69" t="str">
        <x:v>Supplied</x:v>
      </x:c>
      <x:c r="O69" t="str"/>
    </x:row>
    <x:row r="70" ht="22" customHeight="1">
      <x:c r="A70" s="2" t="n">
        <x:v>8</x:v>
      </x:c>
      <x:c r="B70" s="2" t="str">
        <x:v>Regular</x:v>
      </x:c>
      <x:c r="C70" s="2" t="str">
        <x:v>Mark</x:v>
      </x:c>
      <x:c r="D70" s="2" t="str">
        <x:v>wacky waving arms</x:v>
      </x:c>
      <x:c r="E70" s="15" t="n">
        <x:v>138.6</x:v>
      </x:c>
      <x:c r="F70" s="2" t="str">
        <x:v>Paul</x:v>
      </x:c>
      <x:c r="G70" s="2" t="str">
        <x:v>Space Dogs</x:v>
      </x:c>
      <x:c r="H70" s="15" t="n">
        <x:v>160.5</x:v>
      </x:c>
      <x:c r="I70" s="2" t="str">
        <x:f>IF(E70&gt;H70,C70,IF(E70&lt;H70,F70,"Tie"))</x:f>
        <x:v>Paul</x:v>
      </x:c>
      <x:c r="J70" s="2" t="str">
        <x:f>IF(E70&gt;H70,F70,IF(E70&lt;H70,C70,"Tie"))</x:f>
        <x:v>Mark</x:v>
      </x:c>
      <x:c r="K70" s="2" t="n">
        <x:f>IF(E70=H70,1,0)</x:f>
        <x:v>0</x:v>
      </x:c>
      <x:c r="L70" s="2" t="str">
        <x:v>Mark / Paul</x:v>
      </x:c>
      <x:c r="M70" t="str"/>
      <x:c r="N70" t="str">
        <x:v>Supplied</x:v>
      </x:c>
      <x:c r="O70" t="str"/>
    </x:row>
    <x:row r="71" ht="22" customHeight="1">
      <x:c r="A71" s="2" t="n">
        <x:v>8</x:v>
      </x:c>
      <x:c r="B71" s="2" t="str">
        <x:v>Regular</x:v>
      </x:c>
      <x:c r="C71" s="2" t="str">
        <x:v>Nick</x:v>
      </x:c>
      <x:c r="D71" s="2" t="str">
        <x:v>Team Scoops</x:v>
      </x:c>
      <x:c r="E71" s="15" t="n">
        <x:v>79</x:v>
      </x:c>
      <x:c r="F71" s="2" t="str">
        <x:v>Matt</x:v>
      </x:c>
      <x:c r="G71" s="2" t="str">
        <x:v>Mr.Montana</x:v>
      </x:c>
      <x:c r="H71" s="15" t="n">
        <x:v>116.9</x:v>
      </x:c>
      <x:c r="I71" s="2" t="str">
        <x:f>IF(E71&gt;H71,C71,IF(E71&lt;H71,F71,"Tie"))</x:f>
        <x:v>Matt</x:v>
      </x:c>
      <x:c r="J71" s="2" t="str">
        <x:f>IF(E71&gt;H71,F71,IF(E71&lt;H71,C71,"Tie"))</x:f>
        <x:v>Nick</x:v>
      </x:c>
      <x:c r="K71" s="2" t="n">
        <x:f>IF(E71=H71,1,0)</x:f>
        <x:v>0</x:v>
      </x:c>
      <x:c r="L71" s="2" t="str">
        <x:v>Matt / Nick</x:v>
      </x:c>
      <x:c r="M71" t="str"/>
      <x:c r="N71" t="str">
        <x:v>Supplied</x:v>
      </x:c>
      <x:c r="O71" t="str"/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119.6</x:v>
      </x:c>
      <x:c r="F72" s="2" t="str">
        <x:v>Josh</x:v>
      </x:c>
      <x:c r="G72" s="2" t="str">
        <x:v>I am Jerry</x:v>
      </x:c>
      <x:c r="H72" s="15" t="n">
        <x:v>106.55</x:v>
      </x:c>
      <x:c r="I72" s="2" t="str">
        <x:f>IF(E72&gt;H72,C72,IF(E72&lt;H72,F72,"Tie"))</x:f>
        <x:v>Bruce</x:v>
      </x:c>
      <x:c r="J72" s="2" t="str">
        <x:f>IF(E72&gt;H72,F72,IF(E72&lt;H72,C72,"Tie"))</x:f>
        <x:v>Josh</x:v>
      </x:c>
      <x:c r="K72" s="2" t="n">
        <x:f>IF(E72=H72,1,0)</x:f>
        <x:v>0</x:v>
      </x:c>
      <x:c r="L72" s="2" t="str">
        <x:v>Bruce / Josh</x:v>
      </x:c>
      <x:c r="M72" t="str"/>
      <x:c r="N72" t="str">
        <x:v>Supplied</x:v>
      </x:c>
      <x:c r="O72" t="str"/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138.1</x:v>
      </x:c>
      <x:c r="F73" s="2" t="str">
        <x:v>Ed</x:v>
      </x:c>
      <x:c r="G73" s="2" t="str">
        <x:v>Just Fu¢k£d</x:v>
      </x:c>
      <x:c r="H73" s="15" t="n">
        <x:v>128.15</x:v>
      </x:c>
      <x:c r="I73" s="2" t="str">
        <x:f>IF(E73&gt;H73,C73,IF(E73&lt;H73,F73,"Tie"))</x:f>
        <x:v>Craig</x:v>
      </x:c>
      <x:c r="J73" s="2" t="str">
        <x:f>IF(E73&gt;H73,F73,IF(E73&lt;H73,C73,"Tie"))</x:f>
        <x:v>Ed</x:v>
      </x:c>
      <x:c r="K73" s="2" t="n">
        <x:f>IF(E73=H73,1,0)</x:f>
        <x:v>0</x:v>
      </x:c>
      <x:c r="L73" s="2" t="str">
        <x:v>Craig / Ed</x:v>
      </x:c>
      <x:c r="M73" t="str"/>
      <x:c r="N73" t="str">
        <x:v>Supplied</x:v>
      </x:c>
      <x:c r="O73" t="str"/>
    </x:row>
    <x:row r="74" ht="22" customHeight="1">
      <x:c r="A74" s="2" t="n">
        <x:v>9</x:v>
      </x:c>
      <x:c r="B74" s="2" t="str">
        <x:v>Regular</x:v>
      </x:c>
      <x:c r="C74" s="2" t="str">
        <x:v>Dave</x:v>
      </x:c>
      <x:c r="D74" s="2" t="str">
        <x:v>2 Girls 1 Kupp</x:v>
      </x:c>
      <x:c r="E74" s="15" t="n">
        <x:v>118.7</x:v>
      </x:c>
      <x:c r="F74" s="2" t="str">
        <x:v>Nick</x:v>
      </x:c>
      <x:c r="G74" s="2" t="str">
        <x:v>Team Scoops</x:v>
      </x:c>
      <x:c r="H74" s="15" t="n">
        <x:v>96.35</x:v>
      </x:c>
      <x:c r="I74" s="2" t="str">
        <x:f>IF(E74&gt;H74,C74,IF(E74&lt;H74,F74,"Tie"))</x:f>
        <x:v>Dave</x:v>
      </x:c>
      <x:c r="J74" s="2" t="str">
        <x:f>IF(E74&gt;H74,F74,IF(E74&lt;H74,C74,"Tie"))</x:f>
        <x:v>Nick</x:v>
      </x:c>
      <x:c r="K74" s="2" t="n">
        <x:f>IF(E74=H74,1,0)</x:f>
        <x:v>0</x:v>
      </x:c>
      <x:c r="L74" s="2" t="str">
        <x:v>Dave / Nick</x:v>
      </x:c>
      <x:c r="M74" t="str"/>
      <x:c r="N74" t="str">
        <x:v>Supplied</x:v>
      </x:c>
      <x:c r="O74" t="str"/>
    </x:row>
    <x:row r="75" ht="22" customHeight="1">
      <x:c r="A75" s="2" t="n">
        <x:v>9</x:v>
      </x:c>
      <x:c r="B75" s="2" t="str">
        <x:v>Regular</x:v>
      </x:c>
      <x:c r="C75" s="2" t="str">
        <x:v>Frank</x:v>
      </x:c>
      <x:c r="D75" s="2" t="str">
        <x:v>Saquon Deez (Healthy) Nutz</x:v>
      </x:c>
      <x:c r="E75" s="15" t="n">
        <x:v>122.25</x:v>
      </x:c>
      <x:c r="F75" s="2" t="str">
        <x:v>Michael</x:v>
      </x:c>
      <x:c r="G75" s="2" t="str">
        <x:v>Big Butler Bids</x:v>
      </x:c>
      <x:c r="H75" s="15" t="n">
        <x:v>69.35</x:v>
      </x:c>
      <x:c r="I75" s="2" t="str">
        <x:f>IF(E75&gt;H75,C75,IF(E75&lt;H75,F75,"Tie"))</x:f>
        <x:v>Frank</x:v>
      </x:c>
      <x:c r="J75" s="2" t="str">
        <x:f>IF(E75&gt;H75,F75,IF(E75&lt;H75,C75,"Tie"))</x:f>
        <x:v>Michael</x:v>
      </x:c>
      <x:c r="K75" s="2" t="n">
        <x:f>IF(E75=H75,1,0)</x:f>
        <x:v>0</x:v>
      </x:c>
      <x:c r="L75" s="2" t="str">
        <x:v>Frank / Michael</x:v>
      </x:c>
      <x:c r="M75" t="str"/>
      <x:c r="N75" t="str">
        <x:v>Supplied</x:v>
      </x:c>
      <x:c r="O75" t="str"/>
    </x:row>
    <x:row r="76" ht="22" customHeight="1">
      <x:c r="A76" s="2" t="n">
        <x:v>9</x:v>
      </x:c>
      <x:c r="B76" s="2" t="str">
        <x:v>Regular</x:v>
      </x:c>
      <x:c r="C76" s="2" t="str">
        <x:v>Mike</x:v>
      </x:c>
      <x:c r="D76" s="2" t="str">
        <x:v>Tahoe Josh</x:v>
      </x:c>
      <x:c r="E76" s="15" t="n">
        <x:v>109.25</x:v>
      </x:c>
      <x:c r="F76" s="2" t="str">
        <x:v>Paul</x:v>
      </x:c>
      <x:c r="G76" s="2" t="str">
        <x:v>Space Dogs</x:v>
      </x:c>
      <x:c r="H76" s="15" t="n">
        <x:v>85.95</x:v>
      </x:c>
      <x:c r="I76" s="2" t="str">
        <x:f>IF(E76&gt;H76,C76,IF(E76&lt;H76,F76,"Tie"))</x:f>
        <x:v>Mike</x:v>
      </x:c>
      <x:c r="J76" s="2" t="str">
        <x:f>IF(E76&gt;H76,F76,IF(E76&lt;H76,C76,"Tie"))</x:f>
        <x:v>Paul</x:v>
      </x:c>
      <x:c r="K76" s="2" t="n">
        <x:f>IF(E76=H76,1,0)</x:f>
        <x:v>0</x:v>
      </x:c>
      <x:c r="L76" s="2" t="str">
        <x:v>Mike / Paul</x:v>
      </x:c>
      <x:c r="M76" t="str"/>
      <x:c r="N76" t="str">
        <x:v>Supplied</x:v>
      </x:c>
      <x:c r="O76" t="str"/>
    </x:row>
    <x:row r="77" ht="22" customHeight="1">
      <x:c r="A77" s="2" t="n">
        <x:v>9</x:v>
      </x:c>
      <x:c r="B77" s="2" t="str">
        <x:v>Regular</x:v>
      </x:c>
      <x:c r="C77" s="2" t="str">
        <x:v>Mark</x:v>
      </x:c>
      <x:c r="D77" s="2" t="str">
        <x:v>wacky waving arms</x:v>
      </x:c>
      <x:c r="E77" s="15" t="n">
        <x:v>110.2</x:v>
      </x:c>
      <x:c r="F77" s="2" t="str">
        <x:v>Matt</x:v>
      </x:c>
      <x:c r="G77" s="2" t="str">
        <x:v>Mr.Montana</x:v>
      </x:c>
      <x:c r="H77" s="15" t="n">
        <x:v>120.7</x:v>
      </x:c>
      <x:c r="I77" s="2" t="str">
        <x:f>IF(E77&gt;H77,C77,IF(E77&lt;H77,F77,"Tie"))</x:f>
        <x:v>Matt</x:v>
      </x:c>
      <x:c r="J77" s="2" t="str">
        <x:f>IF(E77&gt;H77,F77,IF(E77&lt;H77,C77,"Tie"))</x:f>
        <x:v>Mark</x:v>
      </x:c>
      <x:c r="K77" s="2" t="n">
        <x:f>IF(E77=H77,1,0)</x:f>
        <x:v>0</x:v>
      </x:c>
      <x:c r="L77" s="2" t="str">
        <x:v>Mark / Matt</x:v>
      </x:c>
      <x:c r="M77" t="str"/>
      <x:c r="N77" t="str">
        <x:v>Supplied</x:v>
      </x:c>
      <x:c r="O77" t="str"/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98.95</x:v>
      </x:c>
      <x:c r="F78" s="2" t="str">
        <x:v>Paul</x:v>
      </x:c>
      <x:c r="G78" s="2" t="str">
        <x:v>Space Dogs</x:v>
      </x:c>
      <x:c r="H78" s="15" t="n">
        <x:v>139.95</x:v>
      </x:c>
      <x:c r="I78" s="2" t="str">
        <x:f>IF(E78&gt;H78,C78,IF(E78&lt;H78,F78,"Tie"))</x:f>
        <x:v>Paul</x:v>
      </x:c>
      <x:c r="J78" s="2" t="str">
        <x:f>IF(E78&gt;H78,F78,IF(E78&lt;H78,C78,"Tie"))</x:f>
        <x:v>Bruce</x:v>
      </x:c>
      <x:c r="K78" s="2" t="n">
        <x:f>IF(E78=H78,1,0)</x:f>
        <x:v>0</x:v>
      </x:c>
      <x:c r="L78" s="2" t="str">
        <x:v>Bruce / Paul</x:v>
      </x:c>
      <x:c r="M78" t="str"/>
      <x:c r="N78" t="str">
        <x:v>Supplied</x:v>
      </x:c>
      <x:c r="O78" t="str">
        <x:v>*</x:v>
      </x:c>
    </x:row>
    <x:row r="79" ht="22" customHeight="1">
      <x:c r="A79" s="2" t="n">
        <x:v>10</x:v>
      </x:c>
      <x:c r="B79" s="2" t="str">
        <x:v>Regular</x:v>
      </x:c>
      <x:c r="C79" s="2" t="str">
        <x:v>Craig</x:v>
      </x:c>
      <x:c r="D79" s="2" t="str">
        <x:v>The Ants Marching</x:v>
      </x:c>
      <x:c r="E79" s="15" t="n">
        <x:v>143.25</x:v>
      </x:c>
      <x:c r="F79" s="2" t="str">
        <x:v>Nick</x:v>
      </x:c>
      <x:c r="G79" s="2" t="str">
        <x:v>Team Scoops</x:v>
      </x:c>
      <x:c r="H79" s="15" t="n">
        <x:v>130.6</x:v>
      </x:c>
      <x:c r="I79" s="2" t="str">
        <x:f>IF(E79&gt;H79,C79,IF(E79&lt;H79,F79,"Tie"))</x:f>
        <x:v>Craig</x:v>
      </x:c>
      <x:c r="J79" s="2" t="str">
        <x:f>IF(E79&gt;H79,F79,IF(E79&lt;H79,C79,"Tie"))</x:f>
        <x:v>Nick</x:v>
      </x:c>
      <x:c r="K79" s="2" t="n">
        <x:f>IF(E79=H79,1,0)</x:f>
        <x:v>0</x:v>
      </x:c>
      <x:c r="L79" s="2" t="str">
        <x:v>Craig / Nick</x:v>
      </x:c>
      <x:c r="M79" t="str"/>
      <x:c r="N79" t="str">
        <x:v>Supplied</x:v>
      </x:c>
      <x:c r="O79" t="str">
        <x:v>*</x:v>
      </x:c>
    </x:row>
    <x:row r="80" ht="22" customHeight="1">
      <x:c r="A80" s="2" t="n">
        <x:v>10</x:v>
      </x:c>
      <x:c r="B80" s="2" t="str">
        <x:v>Regular</x:v>
      </x:c>
      <x:c r="C80" s="2" t="str">
        <x:v>Dave</x:v>
      </x:c>
      <x:c r="D80" s="2" t="str">
        <x:v>2 Girls 1 Kupp</x:v>
      </x:c>
      <x:c r="E80" s="15" t="n">
        <x:v>157.25</x:v>
      </x:c>
      <x:c r="F80" s="2" t="str">
        <x:v>Ed</x:v>
      </x:c>
      <x:c r="G80" s="2" t="str">
        <x:v>Just Fu¢k£d</x:v>
      </x:c>
      <x:c r="H80" s="15" t="n">
        <x:v>132.3</x:v>
      </x:c>
      <x:c r="I80" s="2" t="str">
        <x:f>IF(E80&gt;H80,C80,IF(E80&lt;H80,F80,"Tie"))</x:f>
        <x:v>Dave</x:v>
      </x:c>
      <x:c r="J80" s="2" t="str">
        <x:f>IF(E80&gt;H80,F80,IF(E80&lt;H80,C80,"Tie"))</x:f>
        <x:v>Ed</x:v>
      </x:c>
      <x:c r="K80" s="2" t="n">
        <x:f>IF(E80=H80,1,0)</x:f>
        <x:v>0</x:v>
      </x:c>
      <x:c r="L80" s="2" t="str">
        <x:v>Dave / Ed</x:v>
      </x:c>
      <x:c r="M80" t="str"/>
      <x:c r="N80" t="str">
        <x:v>Supplied</x:v>
      </x:c>
      <x:c r="O80" t="str">
        <x:v>*</x:v>
      </x:c>
    </x:row>
    <x:row r="81" ht="22" customHeight="1">
      <x:c r="A81" s="2" t="n">
        <x:v>10</x:v>
      </x:c>
      <x:c r="B81" s="2" t="str">
        <x:v>Regular</x:v>
      </x:c>
      <x:c r="C81" s="2" t="str">
        <x:v>Frank</x:v>
      </x:c>
      <x:c r="D81" s="2" t="str">
        <x:v>Saquon Deez (Healthy) Nutz</x:v>
      </x:c>
      <x:c r="E81" s="15" t="n">
        <x:v>117.15</x:v>
      </x:c>
      <x:c r="F81" s="2" t="str">
        <x:v>Matt</x:v>
      </x:c>
      <x:c r="G81" s="2" t="str">
        <x:v>Mr.Montana</x:v>
      </x:c>
      <x:c r="H81" s="15" t="n">
        <x:v>116.1</x:v>
      </x:c>
      <x:c r="I81" s="2" t="str">
        <x:f>IF(E81&gt;H81,C81,IF(E81&lt;H81,F81,"Tie"))</x:f>
        <x:v>Frank</x:v>
      </x:c>
      <x:c r="J81" s="2" t="str">
        <x:f>IF(E81&gt;H81,F81,IF(E81&lt;H81,C81,"Tie"))</x:f>
        <x:v>Matt</x:v>
      </x:c>
      <x:c r="K81" s="2" t="n">
        <x:f>IF(E81=H81,1,0)</x:f>
        <x:v>0</x:v>
      </x:c>
      <x:c r="L81" s="2" t="str">
        <x:v>Frank / Matt</x:v>
      </x:c>
      <x:c r="M81" t="str"/>
      <x:c r="N81" t="str">
        <x:v>Supplied</x:v>
      </x:c>
      <x:c r="O81" t="str">
        <x:v>*</x:v>
      </x:c>
    </x:row>
    <x:row r="82" ht="22" customHeight="1">
      <x:c r="A82" s="2" t="n">
        <x:v>10</x:v>
      </x:c>
      <x:c r="B82" s="2" t="str">
        <x:v>Regular</x:v>
      </x:c>
      <x:c r="C82" s="2" t="str">
        <x:v>Mike</x:v>
      </x:c>
      <x:c r="D82" s="2" t="str">
        <x:v>Tahoe Josh</x:v>
      </x:c>
      <x:c r="E82" s="15" t="n">
        <x:v>138.2</x:v>
      </x:c>
      <x:c r="F82" s="2" t="str">
        <x:v>Josh</x:v>
      </x:c>
      <x:c r="G82" s="2" t="str">
        <x:v>I am Jerry</x:v>
      </x:c>
      <x:c r="H82" s="15" t="n">
        <x:v>113.55</x:v>
      </x:c>
      <x:c r="I82" s="2" t="str">
        <x:f>IF(E82&gt;H82,C82,IF(E82&lt;H82,F82,"Tie"))</x:f>
        <x:v>Mike</x:v>
      </x:c>
      <x:c r="J82" s="2" t="str">
        <x:f>IF(E82&gt;H82,F82,IF(E82&lt;H82,C82,"Tie"))</x:f>
        <x:v>Josh</x:v>
      </x:c>
      <x:c r="K82" s="2" t="n">
        <x:f>IF(E82=H82,1,0)</x:f>
        <x:v>0</x:v>
      </x:c>
      <x:c r="L82" s="2" t="str">
        <x:v>Josh / Mike</x:v>
      </x:c>
      <x:c r="M82" t="str"/>
      <x:c r="N82" t="str">
        <x:v>Supplied</x:v>
      </x:c>
      <x:c r="O82" t="str">
        <x:v>*</x:v>
      </x:c>
    </x:row>
    <x:row r="83" ht="22" customHeight="1">
      <x:c r="A83" s="2" t="n">
        <x:v>10</x:v>
      </x:c>
      <x:c r="B83" s="2" t="str">
        <x:v>Regular</x:v>
      </x:c>
      <x:c r="C83" s="2" t="str">
        <x:v>Mark</x:v>
      </x:c>
      <x:c r="D83" s="2" t="str">
        <x:v>wacky waving arms</x:v>
      </x:c>
      <x:c r="E83" s="15" t="n">
        <x:v>144.05</x:v>
      </x:c>
      <x:c r="F83" s="2" t="str">
        <x:v>Michael</x:v>
      </x:c>
      <x:c r="G83" s="2" t="str">
        <x:v>Big Butler Bids</x:v>
      </x:c>
      <x:c r="H83" s="15" t="n">
        <x:v>59.25</x:v>
      </x:c>
      <x:c r="I83" s="2" t="str">
        <x:f>IF(E83&gt;H83,C83,IF(E83&lt;H83,F83,"Tie"))</x:f>
        <x:v>Mark</x:v>
      </x:c>
      <x:c r="J83" s="2" t="str">
        <x:f>IF(E83&gt;H83,F83,IF(E83&lt;H83,C83,"Tie"))</x:f>
        <x:v>Michael</x:v>
      </x:c>
      <x:c r="K83" s="2" t="n">
        <x:f>IF(E83=H83,1,0)</x:f>
        <x:v>0</x:v>
      </x:c>
      <x:c r="L83" s="2" t="str">
        <x:v>Mark / Michael</x:v>
      </x:c>
      <x:c r="M83" t="str"/>
      <x:c r="N83" t="str">
        <x:v>Supplied</x:v>
      </x:c>
      <x:c r="O83" t="str">
        <x:v>*</x:v>
      </x:c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105.45</x:v>
      </x:c>
      <x:c r="F84" s="2" t="str">
        <x:v>Mark</x:v>
      </x:c>
      <x:c r="G84" s="2" t="str">
        <x:v>wacky waving arms</x:v>
      </x:c>
      <x:c r="H84" s="15" t="n">
        <x:v>136.2</x:v>
      </x:c>
      <x:c r="I84" s="2" t="str">
        <x:f>IF(E84&gt;H84,C84,IF(E84&lt;H84,F84,"Tie"))</x:f>
        <x:v>Mark</x:v>
      </x:c>
      <x:c r="J84" s="2" t="str">
        <x:f>IF(E84&gt;H84,F84,IF(E84&lt;H84,C84,"Tie"))</x:f>
        <x:v>Bruce</x:v>
      </x:c>
      <x:c r="K84" s="2" t="n">
        <x:f>IF(E84=H84,1,0)</x:f>
        <x:v>0</x:v>
      </x:c>
      <x:c r="L84" s="2" t="str">
        <x:v>Bruce / Mark</x:v>
      </x:c>
      <x:c r="M84" t="str"/>
      <x:c r="N84" t="str">
        <x:v>Supplied</x:v>
      </x:c>
      <x:c r="O84" t="str"/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76.15</x:v>
      </x:c>
      <x:c r="F85" s="2" t="str">
        <x:v>Matt</x:v>
      </x:c>
      <x:c r="G85" s="2" t="str">
        <x:v>Mr.Montana</x:v>
      </x:c>
      <x:c r="H85" s="15" t="n">
        <x:v>120.2</x:v>
      </x:c>
      <x:c r="I85" s="2" t="str">
        <x:f>IF(E85&gt;H85,C85,IF(E85&lt;H85,F85,"Tie"))</x:f>
        <x:v>Matt</x:v>
      </x:c>
      <x:c r="J85" s="2" t="str">
        <x:f>IF(E85&gt;H85,F85,IF(E85&lt;H85,C85,"Tie"))</x:f>
        <x:v>Craig</x:v>
      </x:c>
      <x:c r="K85" s="2" t="n">
        <x:f>IF(E85=H85,1,0)</x:f>
        <x:v>0</x:v>
      </x:c>
      <x:c r="L85" s="2" t="str">
        <x:v>Craig / Matt</x:v>
      </x:c>
      <x:c r="M85" t="str"/>
      <x:c r="N85" t="str">
        <x:v>Supplied</x:v>
      </x:c>
      <x:c r="O85" t="str"/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2 Girls 1 Kupp</x:v>
      </x:c>
      <x:c r="E86" s="15" t="n">
        <x:v>77.2</x:v>
      </x:c>
      <x:c r="F86" s="2" t="str">
        <x:v>Mike</x:v>
      </x:c>
      <x:c r="G86" s="2" t="str">
        <x:v>Tahoe Josh</x:v>
      </x:c>
      <x:c r="H86" s="15" t="n">
        <x:v>103.2</x:v>
      </x:c>
      <x:c r="I86" s="2" t="str">
        <x:f>IF(E86&gt;H86,C86,IF(E86&lt;H86,F86,"Tie"))</x:f>
        <x:v>Mike</x:v>
      </x:c>
      <x:c r="J86" s="2" t="str">
        <x:f>IF(E86&gt;H86,F86,IF(E86&lt;H86,C86,"Tie"))</x:f>
        <x:v>Dave</x:v>
      </x:c>
      <x:c r="K86" s="2" t="n">
        <x:f>IF(E86=H86,1,0)</x:f>
        <x:v>0</x:v>
      </x:c>
      <x:c r="L86" s="2" t="str">
        <x:v>Dave / Mike</x:v>
      </x:c>
      <x:c r="M86" t="str"/>
      <x:c r="N86" t="str">
        <x:v>Supplied</x:v>
      </x:c>
      <x:c r="O86" t="str"/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Just Fu¢k£d</x:v>
      </x:c>
      <x:c r="E87" s="15" t="n">
        <x:v>136.95</x:v>
      </x:c>
      <x:c r="F87" s="2" t="str">
        <x:v>Josh</x:v>
      </x:c>
      <x:c r="G87" s="2" t="str">
        <x:v>I am Jerry</x:v>
      </x:c>
      <x:c r="H87" s="15" t="n">
        <x:v>138.4</x:v>
      </x:c>
      <x:c r="I87" s="2" t="str">
        <x:f>IF(E87&gt;H87,C87,IF(E87&lt;H87,F87,"Tie"))</x:f>
        <x:v>Josh</x:v>
      </x:c>
      <x:c r="J87" s="2" t="str">
        <x:f>IF(E87&gt;H87,F87,IF(E87&lt;H87,C87,"Tie"))</x:f>
        <x:v>Ed</x:v>
      </x:c>
      <x:c r="K87" s="2" t="n">
        <x:f>IF(E87=H87,1,0)</x:f>
        <x:v>0</x:v>
      </x:c>
      <x:c r="L87" s="2" t="str">
        <x:v>Ed / Josh</x:v>
      </x:c>
      <x:c r="M87" t="str"/>
      <x:c r="N87" t="str">
        <x:v>Supplied</x:v>
      </x:c>
      <x:c r="O87" t="str"/>
    </x:row>
    <x:row r="88" ht="22" customHeight="1">
      <x:c r="A88" s="2" t="n">
        <x:v>11</x:v>
      </x:c>
      <x:c r="B88" s="2" t="str">
        <x:v>Regular</x:v>
      </x:c>
      <x:c r="C88" s="2" t="str">
        <x:v>Frank</x:v>
      </x:c>
      <x:c r="D88" s="2" t="str">
        <x:v>Saquon Deez (Healthy) Nutz</x:v>
      </x:c>
      <x:c r="E88" s="15" t="n">
        <x:v>139.6</x:v>
      </x:c>
      <x:c r="F88" s="2" t="str">
        <x:v>Nick</x:v>
      </x:c>
      <x:c r="G88" s="2" t="str">
        <x:v>Team Scoops</x:v>
      </x:c>
      <x:c r="H88" s="15" t="n">
        <x:v>87.05</x:v>
      </x:c>
      <x:c r="I88" s="2" t="str">
        <x:f>IF(E88&gt;H88,C88,IF(E88&lt;H88,F88,"Tie"))</x:f>
        <x:v>Frank</x:v>
      </x:c>
      <x:c r="J88" s="2" t="str">
        <x:f>IF(E88&gt;H88,F88,IF(E88&lt;H88,C88,"Tie"))</x:f>
        <x:v>Nick</x:v>
      </x:c>
      <x:c r="K88" s="2" t="n">
        <x:f>IF(E88=H88,1,0)</x:f>
        <x:v>0</x:v>
      </x:c>
      <x:c r="L88" s="2" t="str">
        <x:v>Frank / Nick</x:v>
      </x:c>
      <x:c r="M88" t="str"/>
      <x:c r="N88" t="str">
        <x:v>Supplied</x:v>
      </x:c>
      <x:c r="O88" t="str"/>
    </x:row>
    <x:row r="89" ht="22" customHeight="1">
      <x:c r="A89" s="2" t="n">
        <x:v>11</x:v>
      </x:c>
      <x:c r="B89" s="2" t="str">
        <x:v>Regular</x:v>
      </x:c>
      <x:c r="C89" s="2" t="str">
        <x:v>Paul</x:v>
      </x:c>
      <x:c r="D89" s="2" t="str">
        <x:v>Space Dogs</x:v>
      </x:c>
      <x:c r="E89" s="15" t="n">
        <x:v>130.5</x:v>
      </x:c>
      <x:c r="F89" s="2" t="str">
        <x:v>Michael</x:v>
      </x:c>
      <x:c r="G89" s="2" t="str">
        <x:v>Big Butler Bids</x:v>
      </x:c>
      <x:c r="H89" s="15" t="n">
        <x:v>163.75</x:v>
      </x:c>
      <x:c r="I89" s="2" t="str">
        <x:f>IF(E89&gt;H89,C89,IF(E89&lt;H89,F89,"Tie"))</x:f>
        <x:v>Michael</x:v>
      </x:c>
      <x:c r="J89" s="2" t="str">
        <x:f>IF(E89&gt;H89,F89,IF(E89&lt;H89,C89,"Tie"))</x:f>
        <x:v>Paul</x:v>
      </x:c>
      <x:c r="K89" s="2" t="n">
        <x:f>IF(E89=H89,1,0)</x:f>
        <x:v>0</x:v>
      </x:c>
      <x:c r="L89" s="2" t="str">
        <x:v>Michael / Paul</x:v>
      </x:c>
      <x:c r="M89" t="str"/>
      <x:c r="N89" t="str">
        <x:v>Supplied</x:v>
      </x:c>
      <x:c r="O89" t="str"/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141.45</x:v>
      </x:c>
      <x:c r="F90" s="2" t="str">
        <x:v>Nick</x:v>
      </x:c>
      <x:c r="G90" s="2" t="str">
        <x:v>Team Scoops</x:v>
      </x:c>
      <x:c r="H90" s="15" t="n">
        <x:v>94.7</x:v>
      </x:c>
      <x:c r="I90" s="2" t="str">
        <x:f>IF(E90&gt;H90,C90,IF(E90&lt;H90,F90,"Tie"))</x:f>
        <x:v>Bruce</x:v>
      </x:c>
      <x:c r="J90" s="2" t="str">
        <x:f>IF(E90&gt;H90,F90,IF(E90&lt;H90,C90,"Tie"))</x:f>
        <x:v>Nick</x:v>
      </x:c>
      <x:c r="K90" s="2" t="n">
        <x:f>IF(E90=H90,1,0)</x:f>
        <x:v>0</x:v>
      </x:c>
      <x:c r="L90" s="2" t="str">
        <x:v>Bruce / Nick</x:v>
      </x:c>
      <x:c r="M90" t="str"/>
      <x:c r="N90" t="str">
        <x:v>Supplied</x:v>
      </x:c>
      <x:c r="O90" t="str">
        <x:v>*</x:v>
      </x:c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145.25</x:v>
      </x:c>
      <x:c r="F91" s="2" t="str">
        <x:v>Paul</x:v>
      </x:c>
      <x:c r="G91" s="2" t="str">
        <x:v>Space Dogs</x:v>
      </x:c>
      <x:c r="H91" s="15" t="n">
        <x:v>129</x:v>
      </x:c>
      <x:c r="I91" s="2" t="str">
        <x:f>IF(E91&gt;H91,C91,IF(E91&lt;H91,F91,"Tie"))</x:f>
        <x:v>Craig</x:v>
      </x:c>
      <x:c r="J91" s="2" t="str">
        <x:f>IF(E91&gt;H91,F91,IF(E91&lt;H91,C91,"Tie"))</x:f>
        <x:v>Paul</x:v>
      </x:c>
      <x:c r="K91" s="2" t="n">
        <x:f>IF(E91=H91,1,0)</x:f>
        <x:v>0</x:v>
      </x:c>
      <x:c r="L91" s="2" t="str">
        <x:v>Craig / Paul</x:v>
      </x:c>
      <x:c r="M91" t="str"/>
      <x:c r="N91" t="str">
        <x:v>Supplied</x:v>
      </x:c>
      <x:c r="O91" t="str">
        <x:v>*</x:v>
      </x:c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2 Girls 1 Kupp</x:v>
      </x:c>
      <x:c r="E92" s="15" t="n">
        <x:v>96.3</x:v>
      </x:c>
      <x:c r="F92" s="2" t="str">
        <x:v>Mark</x:v>
      </x:c>
      <x:c r="G92" s="2" t="str">
        <x:v>wacky waving arms</x:v>
      </x:c>
      <x:c r="H92" s="15" t="n">
        <x:v>131.45</x:v>
      </x:c>
      <x:c r="I92" s="2" t="str">
        <x:f>IF(E92&gt;H92,C92,IF(E92&lt;H92,F92,"Tie"))</x:f>
        <x:v>Mark</x:v>
      </x:c>
      <x:c r="J92" s="2" t="str">
        <x:f>IF(E92&gt;H92,F92,IF(E92&lt;H92,C92,"Tie"))</x:f>
        <x:v>Dave</x:v>
      </x:c>
      <x:c r="K92" s="2" t="n">
        <x:f>IF(E92=H92,1,0)</x:f>
        <x:v>0</x:v>
      </x:c>
      <x:c r="L92" s="2" t="str">
        <x:v>Dave / Mark</x:v>
      </x:c>
      <x:c r="M92" t="str"/>
      <x:c r="N92" t="str">
        <x:v>Supplied</x:v>
      </x:c>
      <x:c r="O92" t="str">
        <x:v>*</x:v>
      </x:c>
    </x:row>
    <x:row r="93" ht="22" customHeight="1">
      <x:c r="A93" s="2" t="n">
        <x:v>12</x:v>
      </x:c>
      <x:c r="B93" s="2" t="str">
        <x:v>Regular</x:v>
      </x:c>
      <x:c r="C93" s="2" t="str">
        <x:v>Ed</x:v>
      </x:c>
      <x:c r="D93" s="2" t="str">
        <x:v>Just Fu¢k£d</x:v>
      </x:c>
      <x:c r="E93" s="15" t="n">
        <x:v>142.65</x:v>
      </x:c>
      <x:c r="F93" s="2" t="str">
        <x:v>Michael</x:v>
      </x:c>
      <x:c r="G93" s="2" t="str">
        <x:v>Big Butler Bids</x:v>
      </x:c>
      <x:c r="H93" s="15" t="n">
        <x:v>152.05</x:v>
      </x:c>
      <x:c r="I93" s="2" t="str">
        <x:f>IF(E93&gt;H93,C93,IF(E93&lt;H93,F93,"Tie"))</x:f>
        <x:v>Michael</x:v>
      </x:c>
      <x:c r="J93" s="2" t="str">
        <x:f>IF(E93&gt;H93,F93,IF(E93&lt;H93,C93,"Tie"))</x:f>
        <x:v>Ed</x:v>
      </x:c>
      <x:c r="K93" s="2" t="n">
        <x:f>IF(E93=H93,1,0)</x:f>
        <x:v>0</x:v>
      </x:c>
      <x:c r="L93" s="2" t="str">
        <x:v>Ed / Michael</x:v>
      </x:c>
      <x:c r="M93" t="str"/>
      <x:c r="N93" t="str">
        <x:v>Supplied</x:v>
      </x:c>
      <x:c r="O93" t="str">
        <x:v>*</x:v>
      </x:c>
    </x:row>
    <x:row r="94" ht="22" customHeight="1">
      <x:c r="A94" s="2" t="n">
        <x:v>12</x:v>
      </x:c>
      <x:c r="B94" s="2" t="str">
        <x:v>Regular</x:v>
      </x:c>
      <x:c r="C94" s="2" t="str">
        <x:v>Frank</x:v>
      </x:c>
      <x:c r="D94" s="2" t="str">
        <x:v>Saquon Deez (Healthy) Nutz</x:v>
      </x:c>
      <x:c r="E94" s="15" t="n">
        <x:v>145.4</x:v>
      </x:c>
      <x:c r="F94" s="2" t="str">
        <x:v>Josh</x:v>
      </x:c>
      <x:c r="G94" s="2" t="str">
        <x:v>I am Jerry</x:v>
      </x:c>
      <x:c r="H94" s="15" t="n">
        <x:v>111.65</x:v>
      </x:c>
      <x:c r="I94" s="2" t="str">
        <x:f>IF(E94&gt;H94,C94,IF(E94&lt;H94,F94,"Tie"))</x:f>
        <x:v>Frank</x:v>
      </x:c>
      <x:c r="J94" s="2" t="str">
        <x:f>IF(E94&gt;H94,F94,IF(E94&lt;H94,C94,"Tie"))</x:f>
        <x:v>Josh</x:v>
      </x:c>
      <x:c r="K94" s="2" t="n">
        <x:f>IF(E94=H94,1,0)</x:f>
        <x:v>0</x:v>
      </x:c>
      <x:c r="L94" s="2" t="str">
        <x:v>Frank / Josh</x:v>
      </x:c>
      <x:c r="M94" t="str"/>
      <x:c r="N94" t="str">
        <x:v>Supplied</x:v>
      </x:c>
      <x:c r="O94" t="str">
        <x:v>*</x:v>
      </x:c>
    </x:row>
    <x:row r="95" ht="22" customHeight="1">
      <x:c r="A95" s="2" t="n">
        <x:v>12</x:v>
      </x:c>
      <x:c r="B95" s="2" t="str">
        <x:v>Regular</x:v>
      </x:c>
      <x:c r="C95" s="2" t="str">
        <x:v>Mike</x:v>
      </x:c>
      <x:c r="D95" s="2" t="str">
        <x:v>Tahoe Josh</x:v>
      </x:c>
      <x:c r="E95" s="15" t="n">
        <x:v>111.4</x:v>
      </x:c>
      <x:c r="F95" s="2" t="str">
        <x:v>Matt</x:v>
      </x:c>
      <x:c r="G95" s="2" t="str">
        <x:v>Mr.Montana</x:v>
      </x:c>
      <x:c r="H95" s="15" t="n">
        <x:v>165.1</x:v>
      </x:c>
      <x:c r="I95" s="2" t="str">
        <x:f>IF(E95&gt;H95,C95,IF(E95&lt;H95,F95,"Tie"))</x:f>
        <x:v>Matt</x:v>
      </x:c>
      <x:c r="J95" s="2" t="str">
        <x:f>IF(E95&gt;H95,F95,IF(E95&lt;H95,C95,"Tie"))</x:f>
        <x:v>Mike</x:v>
      </x:c>
      <x:c r="K95" s="2" t="n">
        <x:f>IF(E95=H95,1,0)</x:f>
        <x:v>0</x:v>
      </x:c>
      <x:c r="L95" s="2" t="str">
        <x:v>Matt / Mike</x:v>
      </x:c>
      <x:c r="M95" t="str"/>
      <x:c r="N95" t="str">
        <x:v>Supplied</x:v>
      </x:c>
      <x:c r="O95" t="str">
        <x:v>*</x:v>
      </x:c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76.6</x:v>
      </x:c>
      <x:c r="F96" s="2" t="str">
        <x:v>Mike</x:v>
      </x:c>
      <x:c r="G96" s="2" t="str">
        <x:v>Tahoe Josh</x:v>
      </x:c>
      <x:c r="H96" s="15" t="n">
        <x:v>122.05</x:v>
      </x:c>
      <x:c r="I96" s="2" t="str">
        <x:f>IF(E96&gt;H96,C96,IF(E96&lt;H96,F96,"Tie"))</x:f>
        <x:v>Mike</x:v>
      </x:c>
      <x:c r="J96" s="2" t="str">
        <x:f>IF(E96&gt;H96,F96,IF(E96&lt;H96,C96,"Tie"))</x:f>
        <x:v>Bruce</x:v>
      </x:c>
      <x:c r="K96" s="2" t="n">
        <x:f>IF(E96=H96,1,0)</x:f>
        <x:v>0</x:v>
      </x:c>
      <x:c r="L96" s="2" t="str">
        <x:v>Bruce / Mike</x:v>
      </x:c>
      <x:c r="M96" t="str"/>
      <x:c r="N96" t="str">
        <x:v>Supplied</x:v>
      </x:c>
      <x:c r="O96" t="str"/>
    </x:row>
    <x:row r="97" ht="22" customHeight="1">
      <x:c r="A97" s="2" t="n">
        <x:v>13</x:v>
      </x:c>
      <x:c r="B97" s="2" t="str">
        <x:v>Regular</x:v>
      </x:c>
      <x:c r="C97" s="2" t="str">
        <x:v>Craig</x:v>
      </x:c>
      <x:c r="D97" s="2" t="str">
        <x:v>The Ants Marching</x:v>
      </x:c>
      <x:c r="E97" s="15" t="n">
        <x:v>171.8</x:v>
      </x:c>
      <x:c r="F97" s="2" t="str">
        <x:v>Dave</x:v>
      </x:c>
      <x:c r="G97" s="2" t="str">
        <x:v>2 Girls 1 Kupp</x:v>
      </x:c>
      <x:c r="H97" s="15" t="n">
        <x:v>87.85</x:v>
      </x:c>
      <x:c r="I97" s="2" t="str">
        <x:f>IF(E97&gt;H97,C97,IF(E97&lt;H97,F97,"Tie"))</x:f>
        <x:v>Craig</x:v>
      </x:c>
      <x:c r="J97" s="2" t="str">
        <x:f>IF(E97&gt;H97,F97,IF(E97&lt;H97,C97,"Tie"))</x:f>
        <x:v>Dave</x:v>
      </x:c>
      <x:c r="K97" s="2" t="n">
        <x:f>IF(E97=H97,1,0)</x:f>
        <x:v>0</x:v>
      </x:c>
      <x:c r="L97" s="2" t="str">
        <x:v>Craig / Dave</x:v>
      </x:c>
      <x:c r="M97" t="str"/>
      <x:c r="N97" t="str">
        <x:v>Supplied</x:v>
      </x:c>
      <x:c r="O97" t="str"/>
    </x:row>
    <x:row r="98" ht="22" customHeight="1">
      <x:c r="A98" s="2" t="n">
        <x:v>13</x:v>
      </x:c>
      <x:c r="B98" s="2" t="str">
        <x:v>Regular</x:v>
      </x:c>
      <x:c r="C98" s="2" t="str">
        <x:v>Ed</x:v>
      </x:c>
      <x:c r="D98" s="2" t="str">
        <x:v>Just Fu¢k£d</x:v>
      </x:c>
      <x:c r="E98" s="15" t="n">
        <x:v>124.95</x:v>
      </x:c>
      <x:c r="F98" s="2" t="str">
        <x:v>Nick</x:v>
      </x:c>
      <x:c r="G98" s="2" t="str">
        <x:v>Team Scoops</x:v>
      </x:c>
      <x:c r="H98" s="15" t="n">
        <x:v>109.3</x:v>
      </x:c>
      <x:c r="I98" s="2" t="str">
        <x:f>IF(E98&gt;H98,C98,IF(E98&lt;H98,F98,"Tie"))</x:f>
        <x:v>Ed</x:v>
      </x:c>
      <x:c r="J98" s="2" t="str">
        <x:f>IF(E98&gt;H98,F98,IF(E98&lt;H98,C98,"Tie"))</x:f>
        <x:v>Nick</x:v>
      </x:c>
      <x:c r="K98" s="2" t="n">
        <x:f>IF(E98=H98,1,0)</x:f>
        <x:v>0</x:v>
      </x:c>
      <x:c r="L98" s="2" t="str">
        <x:v>Ed / Nick</x:v>
      </x:c>
      <x:c r="M98" t="str"/>
      <x:c r="N98" t="str">
        <x:v>Supplied</x:v>
      </x:c>
      <x:c r="O98" t="str"/>
    </x:row>
    <x:row r="99" ht="22" customHeight="1">
      <x:c r="A99" s="2" t="n">
        <x:v>13</x:v>
      </x:c>
      <x:c r="B99" s="2" t="str">
        <x:v>Regular</x:v>
      </x:c>
      <x:c r="C99" s="2" t="str">
        <x:v>Frank</x:v>
      </x:c>
      <x:c r="D99" s="2" t="str">
        <x:v>Saquon Deez (Healthy) Nutz</x:v>
      </x:c>
      <x:c r="E99" s="15" t="n">
        <x:v>80.3</x:v>
      </x:c>
      <x:c r="F99" s="2" t="str">
        <x:v>Mark</x:v>
      </x:c>
      <x:c r="G99" s="2" t="str">
        <x:v>wacky waving arms</x:v>
      </x:c>
      <x:c r="H99" s="15" t="n">
        <x:v>127.2</x:v>
      </x:c>
      <x:c r="I99" s="2" t="str">
        <x:f>IF(E99&gt;H99,C99,IF(E99&lt;H99,F99,"Tie"))</x:f>
        <x:v>Mark</x:v>
      </x:c>
      <x:c r="J99" s="2" t="str">
        <x:f>IF(E99&gt;H99,F99,IF(E99&lt;H99,C99,"Tie"))</x:f>
        <x:v>Frank</x:v>
      </x:c>
      <x:c r="K99" s="2" t="n">
        <x:f>IF(E99=H99,1,0)</x:f>
        <x:v>0</x:v>
      </x:c>
      <x:c r="L99" s="2" t="str">
        <x:v>Frank / Mark</x:v>
      </x:c>
      <x:c r="M99" t="str"/>
      <x:c r="N99" t="str">
        <x:v>Supplied</x:v>
      </x:c>
      <x:c r="O99" t="str"/>
    </x:row>
    <x:row r="100" ht="22" customHeight="1">
      <x:c r="A100" s="2" t="n">
        <x:v>13</x:v>
      </x:c>
      <x:c r="B100" s="2" t="str">
        <x:v>Regular</x:v>
      </x:c>
      <x:c r="C100" s="2" t="str">
        <x:v>Josh</x:v>
      </x:c>
      <x:c r="D100" s="2" t="str">
        <x:v>I am Jerry</x:v>
      </x:c>
      <x:c r="E100" s="15" t="n">
        <x:v>116.55</x:v>
      </x:c>
      <x:c r="F100" s="2" t="str">
        <x:v>Paul</x:v>
      </x:c>
      <x:c r="G100" s="2" t="str">
        <x:v>Space Dogs</x:v>
      </x:c>
      <x:c r="H100" s="15" t="n">
        <x:v>145.85</x:v>
      </x:c>
      <x:c r="I100" s="2" t="str">
        <x:f>IF(E100&gt;H100,C100,IF(E100&lt;H100,F100,"Tie"))</x:f>
        <x:v>Paul</x:v>
      </x:c>
      <x:c r="J100" s="2" t="str">
        <x:f>IF(E100&gt;H100,F100,IF(E100&lt;H100,C100,"Tie"))</x:f>
        <x:v>Josh</x:v>
      </x:c>
      <x:c r="K100" s="2" t="n">
        <x:f>IF(E100=H100,1,0)</x:f>
        <x:v>0</x:v>
      </x:c>
      <x:c r="L100" s="2" t="str">
        <x:v>Josh / Paul</x:v>
      </x:c>
      <x:c r="M100" t="str"/>
      <x:c r="N100" t="str">
        <x:v>Supplied</x:v>
      </x:c>
      <x:c r="O100" t="str"/>
    </x:row>
    <x:row r="101" ht="22" customHeight="1">
      <x:c r="A101" s="2" t="n">
        <x:v>13</x:v>
      </x:c>
      <x:c r="B101" s="2" t="str">
        <x:v>Regular</x:v>
      </x:c>
      <x:c r="C101" s="2" t="str">
        <x:v>Matt</x:v>
      </x:c>
      <x:c r="D101" s="2" t="str">
        <x:v>Mr.Montana</x:v>
      </x:c>
      <x:c r="E101" s="15" t="n">
        <x:v>151.5</x:v>
      </x:c>
      <x:c r="F101" s="2" t="str">
        <x:v>Michael</x:v>
      </x:c>
      <x:c r="G101" s="2" t="str">
        <x:v>Big Butler Bids</x:v>
      </x:c>
      <x:c r="H101" s="15" t="n">
        <x:v>107.8</x:v>
      </x:c>
      <x:c r="I101" s="2" t="str">
        <x:f>IF(E101&gt;H101,C101,IF(E101&lt;H101,F101,"Tie"))</x:f>
        <x:v>Matt</x:v>
      </x:c>
      <x:c r="J101" s="2" t="str">
        <x:f>IF(E101&gt;H101,F101,IF(E101&lt;H101,C101,"Tie"))</x:f>
        <x:v>Michael</x:v>
      </x:c>
      <x:c r="K101" s="2" t="n">
        <x:f>IF(E101=H101,1,0)</x:f>
        <x:v>0</x:v>
      </x:c>
      <x:c r="L101" s="2" t="str">
        <x:v>Matt / Michael</x:v>
      </x:c>
      <x:c r="M101" t="str"/>
      <x:c r="N101" t="str">
        <x:v>Supplied</x:v>
      </x:c>
      <x:c r="O101" t="str"/>
    </x:row>
    <x:row r="102" ht="22" customHeight="1">
      <x:c r="A102" s="2" t="n">
        <x:v>14</x:v>
      </x:c>
      <x:c r="B102" s="2" t="str">
        <x:v>Regular</x:v>
      </x:c>
      <x:c r="C102" s="2" t="str">
        <x:v>Bruce</x:v>
      </x:c>
      <x:c r="D102" s="2" t="str">
        <x:v>The Storm</x:v>
      </x:c>
      <x:c r="E102" s="15" t="n">
        <x:v>138.45</x:v>
      </x:c>
      <x:c r="F102" s="2" t="str">
        <x:v>Craig</x:v>
      </x:c>
      <x:c r="G102" s="2" t="str">
        <x:v>The Ants Marching</x:v>
      </x:c>
      <x:c r="H102" s="15" t="n">
        <x:v>152</x:v>
      </x:c>
      <x:c r="I102" s="2" t="str">
        <x:f>IF(E102&gt;H102,C102,IF(E102&lt;H102,F102,"Tie"))</x:f>
        <x:v>Craig</x:v>
      </x:c>
      <x:c r="J102" s="2" t="str">
        <x:f>IF(E102&gt;H102,F102,IF(E102&lt;H102,C102,"Tie"))</x:f>
        <x:v>Bruce</x:v>
      </x:c>
      <x:c r="K102" s="2" t="n">
        <x:f>IF(E102=H102,1,0)</x:f>
        <x:v>0</x:v>
      </x:c>
      <x:c r="L102" s="2" t="str">
        <x:v>Bruce / Craig</x:v>
      </x:c>
      <x:c r="M102" t="str"/>
      <x:c r="N102" t="str">
        <x:v>Supplied</x:v>
      </x:c>
      <x:c r="O102" t="str">
        <x:v>*</x:v>
      </x:c>
    </x:row>
    <x:row r="103" ht="22" customHeight="1">
      <x:c r="A103" s="2" t="n">
        <x:v>14</x:v>
      </x:c>
      <x:c r="B103" s="2" t="str">
        <x:v>Regular</x:v>
      </x:c>
      <x:c r="C103" s="2" t="str">
        <x:v>Dave</x:v>
      </x:c>
      <x:c r="D103" s="2" t="str">
        <x:v>2 Girls 1 Kupp</x:v>
      </x:c>
      <x:c r="E103" s="15" t="n">
        <x:v>115.9</x:v>
      </x:c>
      <x:c r="F103" s="2" t="str">
        <x:v>Michael</x:v>
      </x:c>
      <x:c r="G103" s="2" t="str">
        <x:v>Big Butler Bids</x:v>
      </x:c>
      <x:c r="H103" s="15" t="n">
        <x:v>123.25</x:v>
      </x:c>
      <x:c r="I103" s="2" t="str">
        <x:f>IF(E103&gt;H103,C103,IF(E103&lt;H103,F103,"Tie"))</x:f>
        <x:v>Michael</x:v>
      </x:c>
      <x:c r="J103" s="2" t="str">
        <x:f>IF(E103&gt;H103,F103,IF(E103&lt;H103,C103,"Tie"))</x:f>
        <x:v>Dave</x:v>
      </x:c>
      <x:c r="K103" s="2" t="n">
        <x:f>IF(E103=H103,1,0)</x:f>
        <x:v>0</x:v>
      </x:c>
      <x:c r="L103" s="2" t="str">
        <x:v>Dave / Michael</x:v>
      </x:c>
      <x:c r="M103" t="str"/>
      <x:c r="N103" t="str">
        <x:v>Supplied</x:v>
      </x:c>
      <x:c r="O103" t="str">
        <x:v>*</x:v>
      </x:c>
    </x:row>
    <x:row r="104" ht="22" customHeight="1">
      <x:c r="A104" s="2" t="n">
        <x:v>14</x:v>
      </x:c>
      <x:c r="B104" s="2" t="str">
        <x:v>Regular</x:v>
      </x:c>
      <x:c r="C104" s="2" t="str">
        <x:v>Ed</x:v>
      </x:c>
      <x:c r="D104" s="2" t="str">
        <x:v>Just Fu¢k£d</x:v>
      </x:c>
      <x:c r="E104" s="15" t="n">
        <x:v>104.45</x:v>
      </x:c>
      <x:c r="F104" s="2" t="str">
        <x:v>Mark</x:v>
      </x:c>
      <x:c r="G104" s="2" t="str">
        <x:v>wacky waving arms</x:v>
      </x:c>
      <x:c r="H104" s="15" t="n">
        <x:v>95.3</x:v>
      </x:c>
      <x:c r="I104" s="2" t="str">
        <x:f>IF(E104&gt;H104,C104,IF(E104&lt;H104,F104,"Tie"))</x:f>
        <x:v>Ed</x:v>
      </x:c>
      <x:c r="J104" s="2" t="str">
        <x:f>IF(E104&gt;H104,F104,IF(E104&lt;H104,C104,"Tie"))</x:f>
        <x:v>Mark</x:v>
      </x:c>
      <x:c r="K104" s="2" t="n">
        <x:f>IF(E104=H104,1,0)</x:f>
        <x:v>0</x:v>
      </x:c>
      <x:c r="L104" s="2" t="str">
        <x:v>Ed / Mark</x:v>
      </x:c>
      <x:c r="M104" t="str"/>
      <x:c r="N104" t="str">
        <x:v>Supplied</x:v>
      </x:c>
      <x:c r="O104" t="str">
        <x:v>*</x:v>
      </x:c>
    </x:row>
    <x:row r="105" ht="22" customHeight="1">
      <x:c r="A105" s="2" t="n">
        <x:v>14</x:v>
      </x:c>
      <x:c r="B105" s="2" t="str">
        <x:v>Regular</x:v>
      </x:c>
      <x:c r="C105" s="2" t="str">
        <x:v>Frank</x:v>
      </x:c>
      <x:c r="D105" s="2" t="str">
        <x:v>Saquon Deez (Healthy) Nutz</x:v>
      </x:c>
      <x:c r="E105" s="15" t="n">
        <x:v>100.65</x:v>
      </x:c>
      <x:c r="F105" s="2" t="str">
        <x:v>Mike</x:v>
      </x:c>
      <x:c r="G105" s="2" t="str">
        <x:v>Tahoe Josh</x:v>
      </x:c>
      <x:c r="H105" s="15" t="n">
        <x:v>128.9</x:v>
      </x:c>
      <x:c r="I105" s="2" t="str">
        <x:f>IF(E105&gt;H105,C105,IF(E105&lt;H105,F105,"Tie"))</x:f>
        <x:v>Mike</x:v>
      </x:c>
      <x:c r="J105" s="2" t="str">
        <x:f>IF(E105&gt;H105,F105,IF(E105&lt;H105,C105,"Tie"))</x:f>
        <x:v>Frank</x:v>
      </x:c>
      <x:c r="K105" s="2" t="n">
        <x:f>IF(E105=H105,1,0)</x:f>
        <x:v>0</x:v>
      </x:c>
      <x:c r="L105" s="2" t="str">
        <x:v>Frank / Mike</x:v>
      </x:c>
      <x:c r="M105" t="str"/>
      <x:c r="N105" t="str">
        <x:v>Supplied</x:v>
      </x:c>
      <x:c r="O105" t="str">
        <x:v>*</x:v>
      </x:c>
    </x:row>
    <x:row r="106" ht="22" customHeight="1">
      <x:c r="A106" s="2" t="n">
        <x:v>14</x:v>
      </x:c>
      <x:c r="B106" s="2" t="str">
        <x:v>Regular</x:v>
      </x:c>
      <x:c r="C106" s="2" t="str">
        <x:v>Josh</x:v>
      </x:c>
      <x:c r="D106" s="2" t="str">
        <x:v>I am Jerry</x:v>
      </x:c>
      <x:c r="E106" s="15" t="n">
        <x:v>105.4</x:v>
      </x:c>
      <x:c r="F106" s="2" t="str">
        <x:v>Matt</x:v>
      </x:c>
      <x:c r="G106" s="2" t="str">
        <x:v>Mr.Montana</x:v>
      </x:c>
      <x:c r="H106" s="15" t="n">
        <x:v>130.25</x:v>
      </x:c>
      <x:c r="I106" s="2" t="str">
        <x:f>IF(E106&gt;H106,C106,IF(E106&lt;H106,F106,"Tie"))</x:f>
        <x:v>Matt</x:v>
      </x:c>
      <x:c r="J106" s="2" t="str">
        <x:f>IF(E106&gt;H106,F106,IF(E106&lt;H106,C106,"Tie"))</x:f>
        <x:v>Josh</x:v>
      </x:c>
      <x:c r="K106" s="2" t="n">
        <x:f>IF(E106=H106,1,0)</x:f>
        <x:v>0</x:v>
      </x:c>
      <x:c r="L106" s="2" t="str">
        <x:v>Josh / Matt</x:v>
      </x:c>
      <x:c r="M106" t="str"/>
      <x:c r="N106" t="str">
        <x:v>Supplied</x:v>
      </x:c>
      <x:c r="O106" t="str">
        <x:v>*</x:v>
      </x:c>
    </x:row>
    <x:row r="107" ht="22" customHeight="1">
      <x:c r="A107" s="2" t="n">
        <x:v>14</x:v>
      </x:c>
      <x:c r="B107" s="2" t="str">
        <x:v>Regular</x:v>
      </x:c>
      <x:c r="C107" s="2" t="str">
        <x:v>Paul</x:v>
      </x:c>
      <x:c r="D107" s="2" t="str">
        <x:v>Space Dogs</x:v>
      </x:c>
      <x:c r="E107" s="15" t="n">
        <x:v>94.85</x:v>
      </x:c>
      <x:c r="F107" s="2" t="str">
        <x:v>Nick</x:v>
      </x:c>
      <x:c r="G107" s="2" t="str">
        <x:v>Team Scoops</x:v>
      </x:c>
      <x:c r="H107" s="15" t="n">
        <x:v>96.35</x:v>
      </x:c>
      <x:c r="I107" s="2" t="str">
        <x:f>IF(E107&gt;H107,C107,IF(E107&lt;H107,F107,"Tie"))</x:f>
        <x:v>Nick</x:v>
      </x:c>
      <x:c r="J107" s="2" t="str">
        <x:f>IF(E107&gt;H107,F107,IF(E107&lt;H107,C107,"Tie"))</x:f>
        <x:v>Paul</x:v>
      </x:c>
      <x:c r="K107" s="2" t="n">
        <x:f>IF(E107=H107,1,0)</x:f>
        <x:v>0</x:v>
      </x:c>
      <x:c r="L107" s="2" t="str">
        <x:v>Nick / Paul</x:v>
      </x:c>
      <x:c r="M107" t="str"/>
      <x:c r="N107" t="str">
        <x:v>Supplied</x:v>
      </x:c>
      <x:c r="O107" t="str">
        <x:v>*</x:v>
      </x:c>
    </x:row>
    <x:row r="108" ht="22" customHeight="1">
      <x:c r="A108" s="2" t="n">
        <x:v>15</x:v>
      </x:c>
      <x:c r="B108" s="2" t="str">
        <x:v>Playoffs</x:v>
      </x:c>
      <x:c r="C108" s="2" t="str">
        <x:v>Josh</x:v>
      </x:c>
      <x:c r="D108" s="2" t="str">
        <x:v>I am Jerry</x:v>
      </x:c>
      <x:c r="E108" s="15" t="n">
        <x:v>148.5</x:v>
      </x:c>
      <x:c r="F108" s="2" t="str">
        <x:v>Matt</x:v>
      </x:c>
      <x:c r="G108" s="2" t="str">
        <x:v>Mr.Montana</x:v>
      </x:c>
      <x:c r="H108" s="15" t="n">
        <x:v>89.75</x:v>
      </x:c>
      <x:c r="I108" s="2" t="str">
        <x:f>IF(E108&gt;H108,C108,IF(E108&lt;H108,F108,"Tie"))</x:f>
        <x:v>Josh</x:v>
      </x:c>
      <x:c r="J108" s="2" t="str">
        <x:f>IF(E108&gt;H108,F108,IF(E108&lt;H108,C108,"Tie"))</x:f>
        <x:v>Matt</x:v>
      </x:c>
      <x:c r="K108" s="2" t="n">
        <x:f>IF(E108=H108,1,0)</x:f>
        <x:v>0</x:v>
      </x:c>
      <x:c r="L108" s="2" t="str">
        <x:v>Josh / Matt</x:v>
      </x:c>
      <x:c r="M108" t="str">
        <x:v>Quarterfinal</x:v>
      </x:c>
      <x:c r="N108" t="str">
        <x:v>Supplied</x:v>
      </x:c>
      <x:c r="O108" t="str"/>
    </x:row>
    <x:row r="109" ht="22" customHeight="1">
      <x:c r="A109" s="2" t="n">
        <x:v>15</x:v>
      </x:c>
      <x:c r="B109" s="2" t="str">
        <x:v>Playoffs</x:v>
      </x:c>
      <x:c r="C109" s="2" t="str">
        <x:v>Mark</x:v>
      </x:c>
      <x:c r="D109" s="2" t="str">
        <x:v>wacky waving arms</x:v>
      </x:c>
      <x:c r="E109" s="15" t="n">
        <x:v>126.2</x:v>
      </x:c>
      <x:c r="F109" s="2" t="str">
        <x:v>Paul</x:v>
      </x:c>
      <x:c r="G109" s="2" t="str">
        <x:v>Space Dogs</x:v>
      </x:c>
      <x:c r="H109" s="15" t="n">
        <x:v>150.3</x:v>
      </x:c>
      <x:c r="I109" s="2" t="str">
        <x:f>IF(E109&gt;H109,C109,IF(E109&lt;H109,F109,"Tie"))</x:f>
        <x:v>Paul</x:v>
      </x:c>
      <x:c r="J109" s="2" t="str">
        <x:f>IF(E109&gt;H109,F109,IF(E109&lt;H109,C109,"Tie"))</x:f>
        <x:v>Mark</x:v>
      </x:c>
      <x:c r="K109" s="2" t="n">
        <x:f>IF(E109=H109,1,0)</x:f>
        <x:v>0</x:v>
      </x:c>
      <x:c r="L109" s="2" t="str">
        <x:v>Mark / Paul</x:v>
      </x:c>
      <x:c r="M109" t="str">
        <x:v>Quarterfinal</x:v>
      </x:c>
      <x:c r="N109" t="str">
        <x:v>Supplied</x:v>
      </x:c>
      <x:c r="O109" t="str"/>
    </x:row>
    <x:row r="110" ht="22" customHeight="1">
      <x:c r="A110" s="2" t="n">
        <x:v>16</x:v>
      </x:c>
      <x:c r="B110" s="2" t="str">
        <x:v>Playoffs</x:v>
      </x:c>
      <x:c r="C110" s="2" t="str">
        <x:v>Bruce</x:v>
      </x:c>
      <x:c r="D110" s="2" t="str">
        <x:v>The Storm</x:v>
      </x:c>
      <x:c r="E110" s="15" t="n">
        <x:v>105.45</x:v>
      </x:c>
      <x:c r="F110" s="2" t="str">
        <x:v>Paul</x:v>
      </x:c>
      <x:c r="G110" s="2" t="str">
        <x:v>Space Dogs</x:v>
      </x:c>
      <x:c r="H110" s="15" t="n">
        <x:v>145.35</x:v>
      </x:c>
      <x:c r="I110" s="2" t="str">
        <x:f>IF(E110&gt;H110,C110,IF(E110&lt;H110,F110,"Tie"))</x:f>
        <x:v>Paul</x:v>
      </x:c>
      <x:c r="J110" s="2" t="str">
        <x:f>IF(E110&gt;H110,F110,IF(E110&lt;H110,C110,"Tie"))</x:f>
        <x:v>Bruce</x:v>
      </x:c>
      <x:c r="K110" s="2" t="n">
        <x:f>IF(E110=H110,1,0)</x:f>
        <x:v>0</x:v>
      </x:c>
      <x:c r="L110" s="2" t="str">
        <x:v>Bruce / Paul</x:v>
      </x:c>
      <x:c r="M110" t="str">
        <x:v>Semifinal</x:v>
      </x:c>
      <x:c r="N110" t="str">
        <x:v>Inferred</x:v>
      </x:c>
      <x:c r="O110" t="str"/>
    </x:row>
    <x:row r="111" ht="22" customHeight="1">
      <x:c r="A111" s="2" t="n">
        <x:v>16</x:v>
      </x:c>
      <x:c r="B111" s="2" t="str">
        <x:v>Playoffs</x:v>
      </x:c>
      <x:c r="C111" s="2" t="str">
        <x:v>Josh</x:v>
      </x:c>
      <x:c r="D111" s="2" t="str">
        <x:v>I am Jerry</x:v>
      </x:c>
      <x:c r="E111" s="15" t="n">
        <x:v>112</x:v>
      </x:c>
      <x:c r="F111" s="2" t="str">
        <x:v>Mike</x:v>
      </x:c>
      <x:c r="G111" s="2" t="str">
        <x:v>Tahoe Josh</x:v>
      </x:c>
      <x:c r="H111" s="15" t="n">
        <x:v>91.45</x:v>
      </x:c>
      <x:c r="I111" s="2" t="str">
        <x:f>IF(E111&gt;H111,C111,IF(E111&lt;H111,F111,"Tie"))</x:f>
        <x:v>Josh</x:v>
      </x:c>
      <x:c r="J111" s="2" t="str">
        <x:f>IF(E111&gt;H111,F111,IF(E111&lt;H111,C111,"Tie"))</x:f>
        <x:v>Mike</x:v>
      </x:c>
      <x:c r="K111" s="2" t="n">
        <x:f>IF(E111=H111,1,0)</x:f>
        <x:v>0</x:v>
      </x:c>
      <x:c r="L111" s="2" t="str">
        <x:v>Josh / Mike</x:v>
      </x:c>
      <x:c r="M111" t="str">
        <x:v>Semifinal</x:v>
      </x:c>
      <x:c r="N111" t="str">
        <x:v>Inferred</x:v>
      </x:c>
      <x:c r="O111" t="str"/>
    </x:row>
    <x:row r="112" ht="22" customHeight="1">
      <x:c r="A112" s="2" t="n">
        <x:v>17</x:v>
      </x:c>
      <x:c r="B112" s="2" t="str">
        <x:v>Playoffs</x:v>
      </x:c>
      <x:c r="C112" s="2" t="str">
        <x:v>Josh</x:v>
      </x:c>
      <x:c r="D112" s="2" t="str">
        <x:v>I am Jerry</x:v>
      </x:c>
      <x:c r="E112" s="15" t="n">
        <x:v>136.15</x:v>
      </x:c>
      <x:c r="F112" s="2" t="str">
        <x:v>Paul</x:v>
      </x:c>
      <x:c r="G112" s="2" t="str">
        <x:v>Space Dogs</x:v>
      </x:c>
      <x:c r="H112" s="15" t="n">
        <x:v>137.25</x:v>
      </x:c>
      <x:c r="I112" s="2" t="str">
        <x:f>IF(E112&gt;H112,C112,IF(E112&lt;H112,F112,"Tie"))</x:f>
        <x:v>Paul</x:v>
      </x:c>
      <x:c r="J112" s="2" t="str">
        <x:f>IF(E112&gt;H112,F112,IF(E112&lt;H112,C112,"Tie"))</x:f>
        <x:v>Josh</x:v>
      </x:c>
      <x:c r="K112" s="2" t="n">
        <x:f>IF(E112=H112,1,0)</x:f>
        <x:v>0</x:v>
      </x:c>
      <x:c r="L112" s="2" t="str">
        <x:v>Josh / Paul</x:v>
      </x:c>
      <x:c r="M112" t="str">
        <x:v>Final</x:v>
      </x:c>
      <x:c r="N112" t="str">
        <x:v>Inferred</x:v>
      </x:c>
      <x:c r="O112" t="str"/>
    </x:row>
  </x:sheetData>
  <x:pageMargins left="0.7" right="0.7" top="0.75" bottom="0.75" header="0.3" footer="0.3"/>
  <x:tableParts count="1">
    <x:tablePart xmlns:r="http://schemas.openxmlformats.org/officeDocument/2006/relationships" r:id="R2af18b9b8e6648d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2024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Craig</x:v>
      </x:c>
      <x:c r="C4" s="2"/>
      <x:c r="D4" s="2" t="str">
        <x:v>Runner-up</x:v>
      </x:c>
      <x:c r="E4" s="2" t="str">
        <x:v>Michael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18" t="str">
        <x:v>Manager</x:v>
      </x:c>
      <x:c r="B6" s="18" t="str">
        <x:v>Team</x:v>
      </x:c>
      <x:c r="C6" s="18" t="str">
        <x:v>W</x:v>
      </x:c>
      <x:c r="D6" s="18" t="str">
        <x:v>L</x:v>
      </x:c>
      <x:c r="E6" s="18" t="str">
        <x:v>T</x:v>
      </x:c>
      <x:c r="F6" s="18" t="str">
        <x:v>Games</x:v>
      </x:c>
      <x:c r="G6" s="18" t="str">
        <x:v>Win %</x:v>
      </x:c>
      <x:c r="H6" s="18" t="str">
        <x:v>PF</x:v>
      </x:c>
      <x:c r="I6" s="18" t="str">
        <x:v>PA</x:v>
      </x:c>
      <x:c r="J6" s="18" t="str">
        <x:v>Moves</x:v>
      </x:c>
      <x:c r="K6" s="18" t="str">
        <x:v>Trades</x:v>
      </x:c>
      <x:c r="L6" s="18" t="str">
        <x:v>Waiver</x:v>
      </x:c>
    </x:row>
    <x:row r="7" ht="22" customHeight="1">
      <x:c r="A7" s="2" t="str">
        <x:v>Bruce</x:v>
      </x:c>
      <x:c r="B7" s="2" t="str">
        <x:v>The Storm</x:v>
      </x:c>
      <x:c r="C7" s="2" t="n">
        <x:f>COUNTIFS('2024'!$I$24:$I$112,A7,'2024'!$B$24:$B$112,"&lt;&gt;Playoffs")</x:f>
        <x:v>7</x:v>
      </x:c>
      <x:c r="D7" s="2" t="n">
        <x:f>COUNTIFS('2024'!$J$24:$J$112,A7,'2024'!$B$24:$B$112,"&lt;&gt;Playoffs")</x:f>
        <x:v>7</x:v>
      </x:c>
      <x:c r="E7" s="2" t="n">
        <x:f>COUNTIFS('2024'!$C$24:$C$112,A7,'2024'!$K$24:$K$112,1,'2024'!$B$24:$B$112,"&lt;&gt;Playoffs")+COUNTIFS('2024'!$F$24:$F$112,A7,'2024'!$K$24:$K$112,1,'2024'!$B$24:$B$112,"&lt;&gt;Playoffs")</x:f>
        <x:v>0</x:v>
      </x:c>
      <x:c r="F7" s="2" t="n">
        <x:f>SUM(C7:E7)</x:f>
        <x:v>14</x:v>
      </x:c>
      <x:c r="G7" s="11" t="n">
        <x:f>IF(F7=0,0,(C7+0.5*E7)/F7)</x:f>
        <x:v>0.5</x:v>
      </x:c>
      <x:c r="H7" s="25" t="n">
        <x:f>SUMIFS('2024'!$E$24:$E$112,'2024'!$C$24:$C$112,A7,'2024'!$B$24:$B$112,"&lt;&gt;Playoffs")+SUMIFS('2024'!$H$24:$H$112,'2024'!$F$24:$F$112,A7,'2024'!$B$24:$B$112,"&lt;&gt;Playoffs")</x:f>
        <x:v>1842.25</x:v>
      </x:c>
      <x:c r="I7" s="25" t="n">
        <x:f>SUMIFS('2024'!$H$24:$H$112,'2024'!$C$24:$C$112,A7,'2024'!$B$24:$B$112,"&lt;&gt;Playoffs")+SUMIFS('2024'!$E$24:$E$112,'2024'!$F$24:$F$112,A7,'2024'!$B$24:$B$112,"&lt;&gt;Playoffs")</x:f>
        <x:v>1803.5500000000002</x:v>
      </x:c>
      <x:c r="J7" s="2" t="n">
        <x:v>6</x:v>
      </x:c>
      <x:c r="K7" s="2" t="n">
        <x:v>0</x:v>
      </x:c>
      <x:c r="L7" s="2" t="n">
        <x:v>8</x:v>
      </x:c>
    </x:row>
    <x:row r="8" ht="22" customHeight="1">
      <x:c r="A8" s="22" t="str">
        <x:v>Craig</x:v>
      </x:c>
      <x:c r="B8" s="22" t="str">
        <x:v>The Ants Marching</x:v>
      </x:c>
      <x:c r="C8" s="22" t="n">
        <x:f>COUNTIFS('2024'!$I$24:$I$112,A8,'2024'!$B$24:$B$112,"&lt;&gt;Playoffs")</x:f>
        <x:v>9</x:v>
      </x:c>
      <x:c r="D8" s="22" t="n">
        <x:f>COUNTIFS('2024'!$J$24:$J$112,A8,'2024'!$B$24:$B$112,"&lt;&gt;Playoffs")</x:f>
        <x:v>5</x:v>
      </x:c>
      <x:c r="E8" s="22" t="n">
        <x:f>COUNTIFS('2024'!$C$24:$C$112,A8,'2024'!$K$24:$K$112,1,'2024'!$B$24:$B$112,"&lt;&gt;Playoffs")+COUNTIFS('2024'!$F$24:$F$112,A8,'2024'!$K$24:$K$112,1,'2024'!$B$24:$B$112,"&lt;&gt;Playoffs")</x:f>
        <x:v>0</x:v>
      </x:c>
      <x:c r="F8" s="22" t="n">
        <x:f>SUM(C8:E8)</x:f>
        <x:v>14</x:v>
      </x:c>
      <x:c r="G8" s="23" t="n">
        <x:f>IF(F8=0,0,(C8+0.5*E8)/F8)</x:f>
        <x:v>0.6428571428571429</x:v>
      </x:c>
      <x:c r="H8" s="26" t="n">
        <x:f>SUMIFS('2024'!$E$24:$E$112,'2024'!$C$24:$C$112,A8,'2024'!$B$24:$B$112,"&lt;&gt;Playoffs")+SUMIFS('2024'!$H$24:$H$112,'2024'!$F$24:$F$112,A8,'2024'!$B$24:$B$112,"&lt;&gt;Playoffs")</x:f>
        <x:v>1651.3</x:v>
      </x:c>
      <x:c r="I8" s="26" t="n">
        <x:f>SUMIFS('2024'!$H$24:$H$112,'2024'!$C$24:$C$112,A8,'2024'!$B$24:$B$112,"&lt;&gt;Playoffs")+SUMIFS('2024'!$E$24:$E$112,'2024'!$F$24:$F$112,A8,'2024'!$B$24:$B$112,"&lt;&gt;Playoffs")</x:f>
        <x:v>1581.3500000000001</x:v>
      </x:c>
      <x:c r="J8" s="22" t="n">
        <x:v>20</x:v>
      </x:c>
      <x:c r="K8" s="22" t="n">
        <x:v>2</x:v>
      </x:c>
      <x:c r="L8" s="22" t="n">
        <x:v>11</x:v>
      </x:c>
    </x:row>
    <x:row r="9" ht="22" customHeight="1">
      <x:c r="A9" s="2" t="str">
        <x:v>Dave</x:v>
      </x:c>
      <x:c r="B9" s="2" t="str">
        <x:v>Mr. Girth</x:v>
      </x:c>
      <x:c r="C9" s="2" t="n">
        <x:f>COUNTIFS('2024'!$I$24:$I$112,A9,'2024'!$B$24:$B$112,"&lt;&gt;Playoffs")</x:f>
        <x:v>6</x:v>
      </x:c>
      <x:c r="D9" s="2" t="n">
        <x:f>COUNTIFS('2024'!$J$24:$J$112,A9,'2024'!$B$24:$B$112,"&lt;&gt;Playoffs")</x:f>
        <x:v>8</x:v>
      </x:c>
      <x:c r="E9" s="2" t="n">
        <x:f>COUNTIFS('2024'!$C$24:$C$112,A9,'2024'!$K$24:$K$112,1,'2024'!$B$24:$B$112,"&lt;&gt;Playoffs")+COUNTIFS('2024'!$F$24:$F$112,A9,'2024'!$K$24:$K$112,1,'2024'!$B$24:$B$112,"&lt;&gt;Playoffs")</x:f>
        <x:v>0</x:v>
      </x:c>
      <x:c r="F9" s="2" t="n">
        <x:f>SUM(C9:E9)</x:f>
        <x:v>14</x:v>
      </x:c>
      <x:c r="G9" s="11" t="n">
        <x:f>IF(F9=0,0,(C9+0.5*E9)/F9)</x:f>
        <x:v>0.42857142857142855</x:v>
      </x:c>
      <x:c r="H9" s="25" t="n">
        <x:f>SUMIFS('2024'!$E$24:$E$112,'2024'!$C$24:$C$112,A9,'2024'!$B$24:$B$112,"&lt;&gt;Playoffs")+SUMIFS('2024'!$H$24:$H$112,'2024'!$F$24:$F$112,A9,'2024'!$B$24:$B$112,"&lt;&gt;Playoffs")</x:f>
        <x:v>1699.25</x:v>
      </x:c>
      <x:c r="I9" s="25" t="n">
        <x:f>SUMIFS('2024'!$H$24:$H$112,'2024'!$C$24:$C$112,A9,'2024'!$B$24:$B$112,"&lt;&gt;Playoffs")+SUMIFS('2024'!$E$24:$E$112,'2024'!$F$24:$F$112,A9,'2024'!$B$24:$B$112,"&lt;&gt;Playoffs")</x:f>
        <x:v>1756.4</x:v>
      </x:c>
      <x:c r="J9" s="2" t="n">
        <x:v>12</x:v>
      </x:c>
      <x:c r="K9" s="2" t="n">
        <x:v>2</x:v>
      </x:c>
      <x:c r="L9" s="2" t="n">
        <x:v>3</x:v>
      </x:c>
    </x:row>
    <x:row r="10" ht="22" customHeight="1">
      <x:c r="A10" s="22" t="str">
        <x:v>Ed</x:v>
      </x:c>
      <x:c r="B10" s="22" t="str">
        <x:v>Fu¢ked Again</x:v>
      </x:c>
      <x:c r="C10" s="22" t="n">
        <x:f>COUNTIFS('2024'!$I$24:$I$112,A10,'2024'!$B$24:$B$112,"&lt;&gt;Playoffs")</x:f>
        <x:v>8</x:v>
      </x:c>
      <x:c r="D10" s="22" t="n">
        <x:f>COUNTIFS('2024'!$J$24:$J$112,A10,'2024'!$B$24:$B$112,"&lt;&gt;Playoffs")</x:f>
        <x:v>6</x:v>
      </x:c>
      <x:c r="E10" s="22" t="n">
        <x:f>COUNTIFS('2024'!$C$24:$C$112,A10,'2024'!$K$24:$K$112,1,'2024'!$B$24:$B$112,"&lt;&gt;Playoffs")+COUNTIFS('2024'!$F$24:$F$112,A10,'2024'!$K$24:$K$112,1,'2024'!$B$24:$B$112,"&lt;&gt;Playoffs")</x:f>
        <x:v>0</x:v>
      </x:c>
      <x:c r="F10" s="22" t="n">
        <x:f>SUM(C10:E10)</x:f>
        <x:v>14</x:v>
      </x:c>
      <x:c r="G10" s="23" t="n">
        <x:f>IF(F10=0,0,(C10+0.5*E10)/F10)</x:f>
        <x:v>0.5714285714285714</x:v>
      </x:c>
      <x:c r="H10" s="26" t="n">
        <x:f>SUMIFS('2024'!$E$24:$E$112,'2024'!$C$24:$C$112,A10,'2024'!$B$24:$B$112,"&lt;&gt;Playoffs")+SUMIFS('2024'!$H$24:$H$112,'2024'!$F$24:$F$112,A10,'2024'!$B$24:$B$112,"&lt;&gt;Playoffs")</x:f>
        <x:v>1622.75</x:v>
      </x:c>
      <x:c r="I10" s="26" t="n">
        <x:f>SUMIFS('2024'!$H$24:$H$112,'2024'!$C$24:$C$112,A10,'2024'!$B$24:$B$112,"&lt;&gt;Playoffs")+SUMIFS('2024'!$E$24:$E$112,'2024'!$F$24:$F$112,A10,'2024'!$B$24:$B$112,"&lt;&gt;Playoffs")</x:f>
        <x:v>1654.6499999999999</x:v>
      </x:c>
      <x:c r="J10" s="22" t="n">
        <x:v>17</x:v>
      </x:c>
      <x:c r="K10" s="22" t="n">
        <x:v>5</x:v>
      </x:c>
      <x:c r="L10" s="22" t="n">
        <x:v>9</x:v>
      </x:c>
    </x:row>
    <x:row r="11" ht="22" customHeight="1">
      <x:c r="A11" s="2" t="str">
        <x:v>Frank</x:v>
      </x:c>
      <x:c r="B11" s="2" t="str">
        <x:v>Hawk Tua's</x:v>
      </x:c>
      <x:c r="C11" s="2" t="n">
        <x:f>COUNTIFS('2024'!$I$24:$I$112,A11,'2024'!$B$24:$B$112,"&lt;&gt;Playoffs")</x:f>
        <x:v>6</x:v>
      </x:c>
      <x:c r="D11" s="2" t="n">
        <x:f>COUNTIFS('2024'!$J$24:$J$112,A11,'2024'!$B$24:$B$112,"&lt;&gt;Playoffs")</x:f>
        <x:v>8</x:v>
      </x:c>
      <x:c r="E11" s="2" t="n">
        <x:f>COUNTIFS('2024'!$C$24:$C$112,A11,'2024'!$K$24:$K$112,1,'2024'!$B$24:$B$112,"&lt;&gt;Playoffs")+COUNTIFS('2024'!$F$24:$F$112,A11,'2024'!$K$24:$K$112,1,'2024'!$B$24:$B$112,"&lt;&gt;Playoffs")</x:f>
        <x:v>0</x:v>
      </x:c>
      <x:c r="F11" s="2" t="n">
        <x:f>SUM(C11:E11)</x:f>
        <x:v>14</x:v>
      </x:c>
      <x:c r="G11" s="11" t="n">
        <x:f>IF(F11=0,0,(C11+0.5*E11)/F11)</x:f>
        <x:v>0.42857142857142855</x:v>
      </x:c>
      <x:c r="H11" s="25" t="n">
        <x:f>SUMIFS('2024'!$E$24:$E$112,'2024'!$C$24:$C$112,A11,'2024'!$B$24:$B$112,"&lt;&gt;Playoffs")+SUMIFS('2024'!$H$24:$H$112,'2024'!$F$24:$F$112,A11,'2024'!$B$24:$B$112,"&lt;&gt;Playoffs")</x:f>
        <x:v>1433.35</x:v>
      </x:c>
      <x:c r="I11" s="25" t="n">
        <x:f>SUMIFS('2024'!$H$24:$H$112,'2024'!$C$24:$C$112,A11,'2024'!$B$24:$B$112,"&lt;&gt;Playoffs")+SUMIFS('2024'!$E$24:$E$112,'2024'!$F$24:$F$112,A11,'2024'!$B$24:$B$112,"&lt;&gt;Playoffs")</x:f>
        <x:v>1539.9</x:v>
      </x:c>
      <x:c r="J11" s="2" t="n">
        <x:v>10</x:v>
      </x:c>
      <x:c r="K11" s="2" t="n">
        <x:v>2</x:v>
      </x:c>
      <x:c r="L11" s="2" t="n">
        <x:v>2</x:v>
      </x:c>
    </x:row>
    <x:row r="12" ht="22" customHeight="1">
      <x:c r="A12" s="22" t="str">
        <x:v>Josh</x:v>
      </x:c>
      <x:c r="B12" s="22" t="str">
        <x:v>Mike Drunkdaniels</x:v>
      </x:c>
      <x:c r="C12" s="22" t="n">
        <x:f>COUNTIFS('2024'!$I$24:$I$112,A12,'2024'!$B$24:$B$112,"&lt;&gt;Playoffs")</x:f>
        <x:v>6</x:v>
      </x:c>
      <x:c r="D12" s="22" t="n">
        <x:f>COUNTIFS('2024'!$J$24:$J$112,A12,'2024'!$B$24:$B$112,"&lt;&gt;Playoffs")</x:f>
        <x:v>8</x:v>
      </x:c>
      <x:c r="E12" s="22" t="n">
        <x:f>COUNTIFS('2024'!$C$24:$C$112,A12,'2024'!$K$24:$K$112,1,'2024'!$B$24:$B$112,"&lt;&gt;Playoffs")+COUNTIFS('2024'!$F$24:$F$112,A12,'2024'!$K$24:$K$112,1,'2024'!$B$24:$B$112,"&lt;&gt;Playoffs")</x:f>
        <x:v>0</x:v>
      </x:c>
      <x:c r="F12" s="22" t="n">
        <x:f>SUM(C12:E12)</x:f>
        <x:v>14</x:v>
      </x:c>
      <x:c r="G12" s="23" t="n">
        <x:f>IF(F12=0,0,(C12+0.5*E12)/F12)</x:f>
        <x:v>0.42857142857142855</x:v>
      </x:c>
      <x:c r="H12" s="26" t="n">
        <x:f>SUMIFS('2024'!$E$24:$E$112,'2024'!$C$24:$C$112,A12,'2024'!$B$24:$B$112,"&lt;&gt;Playoffs")+SUMIFS('2024'!$H$24:$H$112,'2024'!$F$24:$F$112,A12,'2024'!$B$24:$B$112,"&lt;&gt;Playoffs")</x:f>
        <x:v>1835.05</x:v>
      </x:c>
      <x:c r="I12" s="26" t="n">
        <x:f>SUMIFS('2024'!$H$24:$H$112,'2024'!$C$24:$C$112,A12,'2024'!$B$24:$B$112,"&lt;&gt;Playoffs")+SUMIFS('2024'!$E$24:$E$112,'2024'!$F$24:$F$112,A12,'2024'!$B$24:$B$112,"&lt;&gt;Playoffs")</x:f>
        <x:v>1717.1999999999998</x:v>
      </x:c>
      <x:c r="J12" s="22" t="n">
        <x:v>18</x:v>
      </x:c>
      <x:c r="K12" s="22" t="n">
        <x:v>6</x:v>
      </x:c>
      <x:c r="L12" s="22" t="n">
        <x:v>4</x:v>
      </x:c>
    </x:row>
    <x:row r="13" ht="22" customHeight="1">
      <x:c r="A13" s="2" t="str">
        <x:v>Mark</x:v>
      </x:c>
      <x:c r="B13" s="2" t="str">
        <x:v>wacky waving arms</x:v>
      </x:c>
      <x:c r="C13" s="2" t="n">
        <x:f>COUNTIFS('2024'!$I$24:$I$112,A13,'2024'!$B$24:$B$112,"&lt;&gt;Playoffs")</x:f>
        <x:v>8</x:v>
      </x:c>
      <x:c r="D13" s="2" t="n">
        <x:f>COUNTIFS('2024'!$J$24:$J$112,A13,'2024'!$B$24:$B$112,"&lt;&gt;Playoffs")</x:f>
        <x:v>6</x:v>
      </x:c>
      <x:c r="E13" s="2" t="n">
        <x:f>COUNTIFS('2024'!$C$24:$C$112,A13,'2024'!$K$24:$K$112,1,'2024'!$B$24:$B$112,"&lt;&gt;Playoffs")+COUNTIFS('2024'!$F$24:$F$112,A13,'2024'!$K$24:$K$112,1,'2024'!$B$24:$B$112,"&lt;&gt;Playoffs")</x:f>
        <x:v>0</x:v>
      </x:c>
      <x:c r="F13" s="2" t="n">
        <x:f>SUM(C13:E13)</x:f>
        <x:v>14</x:v>
      </x:c>
      <x:c r="G13" s="11" t="n">
        <x:f>IF(F13=0,0,(C13+0.5*E13)/F13)</x:f>
        <x:v>0.5714285714285714</x:v>
      </x:c>
      <x:c r="H13" s="25" t="n">
        <x:f>SUMIFS('2024'!$E$24:$E$112,'2024'!$C$24:$C$112,A13,'2024'!$B$24:$B$112,"&lt;&gt;Playoffs")+SUMIFS('2024'!$H$24:$H$112,'2024'!$F$24:$F$112,A13,'2024'!$B$24:$B$112,"&lt;&gt;Playoffs")</x:f>
        <x:v>1645.2</x:v>
      </x:c>
      <x:c r="I13" s="25" t="n">
        <x:f>SUMIFS('2024'!$H$24:$H$112,'2024'!$C$24:$C$112,A13,'2024'!$B$24:$B$112,"&lt;&gt;Playoffs")+SUMIFS('2024'!$E$24:$E$112,'2024'!$F$24:$F$112,A13,'2024'!$B$24:$B$112,"&lt;&gt;Playoffs")</x:f>
        <x:v>1664.1</x:v>
      </x:c>
      <x:c r="J13" s="2" t="n">
        <x:v>10</x:v>
      </x:c>
      <x:c r="K13" s="2" t="n">
        <x:v>1</x:v>
      </x:c>
      <x:c r="L13" s="2" t="n">
        <x:v>10</x:v>
      </x:c>
    </x:row>
    <x:row r="14" ht="22" customHeight="1">
      <x:c r="A14" s="22" t="str">
        <x:v>Matt</x:v>
      </x:c>
      <x:c r="B14" s="22" t="str">
        <x:v>Mr.Montana</x:v>
      </x:c>
      <x:c r="C14" s="22" t="n">
        <x:f>COUNTIFS('2024'!$I$24:$I$112,A14,'2024'!$B$24:$B$112,"&lt;&gt;Playoffs")</x:f>
        <x:v>7</x:v>
      </x:c>
      <x:c r="D14" s="22" t="n">
        <x:f>COUNTIFS('2024'!$J$24:$J$112,A14,'2024'!$B$24:$B$112,"&lt;&gt;Playoffs")</x:f>
        <x:v>7</x:v>
      </x:c>
      <x:c r="E14" s="22" t="n">
        <x:f>COUNTIFS('2024'!$C$24:$C$112,A14,'2024'!$K$24:$K$112,1,'2024'!$B$24:$B$112,"&lt;&gt;Playoffs")+COUNTIFS('2024'!$F$24:$F$112,A14,'2024'!$K$24:$K$112,1,'2024'!$B$24:$B$112,"&lt;&gt;Playoffs")</x:f>
        <x:v>0</x:v>
      </x:c>
      <x:c r="F14" s="22" t="n">
        <x:f>SUM(C14:E14)</x:f>
        <x:v>14</x:v>
      </x:c>
      <x:c r="G14" s="23" t="n">
        <x:f>IF(F14=0,0,(C14+0.5*E14)/F14)</x:f>
        <x:v>0.5</x:v>
      </x:c>
      <x:c r="H14" s="26" t="n">
        <x:f>SUMIFS('2024'!$E$24:$E$112,'2024'!$C$24:$C$112,A14,'2024'!$B$24:$B$112,"&lt;&gt;Playoffs")+SUMIFS('2024'!$H$24:$H$112,'2024'!$F$24:$F$112,A14,'2024'!$B$24:$B$112,"&lt;&gt;Playoffs")</x:f>
        <x:v>1578.05</x:v>
      </x:c>
      <x:c r="I14" s="26" t="n">
        <x:f>SUMIFS('2024'!$H$24:$H$112,'2024'!$C$24:$C$112,A14,'2024'!$B$24:$B$112,"&lt;&gt;Playoffs")+SUMIFS('2024'!$E$24:$E$112,'2024'!$F$24:$F$112,A14,'2024'!$B$24:$B$112,"&lt;&gt;Playoffs")</x:f>
        <x:v>1523.6</x:v>
      </x:c>
      <x:c r="J14" s="22" t="n">
        <x:v>11</x:v>
      </x:c>
      <x:c r="K14" s="22" t="n">
        <x:v>1</x:v>
      </x:c>
      <x:c r="L14" s="22" t="n">
        <x:v>5</x:v>
      </x:c>
    </x:row>
    <x:row r="15" ht="22" customHeight="1">
      <x:c r="A15" s="2" t="str">
        <x:v>Michael</x:v>
      </x:c>
      <x:c r="B15" s="2" t="str">
        <x:v>Big Butler Bids</x:v>
      </x:c>
      <x:c r="C15" s="2" t="n">
        <x:f>COUNTIFS('2024'!$I$24:$I$112,A15,'2024'!$B$24:$B$112,"&lt;&gt;Playoffs")</x:f>
        <x:v>8</x:v>
      </x:c>
      <x:c r="D15" s="2" t="n">
        <x:f>COUNTIFS('2024'!$J$24:$J$112,A15,'2024'!$B$24:$B$112,"&lt;&gt;Playoffs")</x:f>
        <x:v>6</x:v>
      </x:c>
      <x:c r="E15" s="2" t="n">
        <x:f>COUNTIFS('2024'!$C$24:$C$112,A15,'2024'!$K$24:$K$112,1,'2024'!$B$24:$B$112,"&lt;&gt;Playoffs")+COUNTIFS('2024'!$F$24:$F$112,A15,'2024'!$K$24:$K$112,1,'2024'!$B$24:$B$112,"&lt;&gt;Playoffs")</x:f>
        <x:v>0</x:v>
      </x:c>
      <x:c r="F15" s="2" t="n">
        <x:f>SUM(C15:E15)</x:f>
        <x:v>14</x:v>
      </x:c>
      <x:c r="G15" s="11" t="n">
        <x:f>IF(F15=0,0,(C15+0.5*E15)/F15)</x:f>
        <x:v>0.5714285714285714</x:v>
      </x:c>
      <x:c r="H15" s="25" t="n">
        <x:f>SUMIFS('2024'!$E$24:$E$112,'2024'!$C$24:$C$112,A15,'2024'!$B$24:$B$112,"&lt;&gt;Playoffs")+SUMIFS('2024'!$H$24:$H$112,'2024'!$F$24:$F$112,A15,'2024'!$B$24:$B$112,"&lt;&gt;Playoffs")</x:f>
        <x:v>1775.9</x:v>
      </x:c>
      <x:c r="I15" s="25" t="n">
        <x:f>SUMIFS('2024'!$H$24:$H$112,'2024'!$C$24:$C$112,A15,'2024'!$B$24:$B$112,"&lt;&gt;Playoffs")+SUMIFS('2024'!$E$24:$E$112,'2024'!$F$24:$F$112,A15,'2024'!$B$24:$B$112,"&lt;&gt;Playoffs")</x:f>
        <x:v>1748.4500000000003</x:v>
      </x:c>
      <x:c r="J15" s="2" t="n">
        <x:v>14</x:v>
      </x:c>
      <x:c r="K15" s="2" t="n">
        <x:v>0</x:v>
      </x:c>
      <x:c r="L15" s="2" t="n">
        <x:v>12</x:v>
      </x:c>
    </x:row>
    <x:row r="16" ht="22" customHeight="1">
      <x:c r="A16" s="22" t="str">
        <x:v>Mike</x:v>
      </x:c>
      <x:c r="B16" s="22" t="str">
        <x:v>Team Questionable</x:v>
      </x:c>
      <x:c r="C16" s="22" t="n">
        <x:f>COUNTIFS('2024'!$I$24:$I$112,A16,'2024'!$B$24:$B$112,"&lt;&gt;Playoffs")</x:f>
        <x:v>7</x:v>
      </x:c>
      <x:c r="D16" s="22" t="n">
        <x:f>COUNTIFS('2024'!$J$24:$J$112,A16,'2024'!$B$24:$B$112,"&lt;&gt;Playoffs")</x:f>
        <x:v>7</x:v>
      </x:c>
      <x:c r="E16" s="22" t="n">
        <x:f>COUNTIFS('2024'!$C$24:$C$112,A16,'2024'!$K$24:$K$112,1,'2024'!$B$24:$B$112,"&lt;&gt;Playoffs")+COUNTIFS('2024'!$F$24:$F$112,A16,'2024'!$K$24:$K$112,1,'2024'!$B$24:$B$112,"&lt;&gt;Playoffs")</x:f>
        <x:v>0</x:v>
      </x:c>
      <x:c r="F16" s="22" t="n">
        <x:f>SUM(C16:E16)</x:f>
        <x:v>14</x:v>
      </x:c>
      <x:c r="G16" s="23" t="n">
        <x:f>IF(F16=0,0,(C16+0.5*E16)/F16)</x:f>
        <x:v>0.5</x:v>
      </x:c>
      <x:c r="H16" s="26" t="n">
        <x:f>SUMIFS('2024'!$E$24:$E$112,'2024'!$C$24:$C$112,A16,'2024'!$B$24:$B$112,"&lt;&gt;Playoffs")+SUMIFS('2024'!$H$24:$H$112,'2024'!$F$24:$F$112,A16,'2024'!$B$24:$B$112,"&lt;&gt;Playoffs")</x:f>
        <x:v>1642.7000000000003</x:v>
      </x:c>
      <x:c r="I16" s="26" t="n">
        <x:f>SUMIFS('2024'!$H$24:$H$112,'2024'!$C$24:$C$112,A16,'2024'!$B$24:$B$112,"&lt;&gt;Playoffs")+SUMIFS('2024'!$E$24:$E$112,'2024'!$F$24:$F$112,A16,'2024'!$B$24:$B$112,"&lt;&gt;Playoffs")</x:f>
        <x:v>1593.6499999999999</x:v>
      </x:c>
      <x:c r="J16" s="22" t="n">
        <x:v>14</x:v>
      </x:c>
      <x:c r="K16" s="22" t="n">
        <x:v>2</x:v>
      </x:c>
      <x:c r="L16" s="22" t="n">
        <x:v>6</x:v>
      </x:c>
    </x:row>
    <x:row r="17" ht="22" customHeight="1">
      <x:c r="A17" s="2" t="str">
        <x:v>Nick</x:v>
      </x:c>
      <x:c r="B17" s="2" t="str">
        <x:v>Team Scoops</x:v>
      </x:c>
      <x:c r="C17" s="2" t="n">
        <x:f>COUNTIFS('2024'!$I$24:$I$112,A17,'2024'!$B$24:$B$112,"&lt;&gt;Playoffs")</x:f>
        <x:v>5</x:v>
      </x:c>
      <x:c r="D17" s="2" t="n">
        <x:f>COUNTIFS('2024'!$J$24:$J$112,A17,'2024'!$B$24:$B$112,"&lt;&gt;Playoffs")</x:f>
        <x:v>9</x:v>
      </x:c>
      <x:c r="E17" s="2" t="n">
        <x:f>COUNTIFS('2024'!$C$24:$C$112,A17,'2024'!$K$24:$K$112,1,'2024'!$B$24:$B$112,"&lt;&gt;Playoffs")+COUNTIFS('2024'!$F$24:$F$112,A17,'2024'!$K$24:$K$112,1,'2024'!$B$24:$B$112,"&lt;&gt;Playoffs")</x:f>
        <x:v>0</x:v>
      </x:c>
      <x:c r="F17" s="2" t="n">
        <x:f>SUM(C17:E17)</x:f>
        <x:v>14</x:v>
      </x:c>
      <x:c r="G17" s="11" t="n">
        <x:f>IF(F17=0,0,(C17+0.5*E17)/F17)</x:f>
        <x:v>0.35714285714285715</x:v>
      </x:c>
      <x:c r="H17" s="25" t="n">
        <x:f>SUMIFS('2024'!$E$24:$E$112,'2024'!$C$24:$C$112,A17,'2024'!$B$24:$B$112,"&lt;&gt;Playoffs")+SUMIFS('2024'!$H$24:$H$112,'2024'!$F$24:$F$112,A17,'2024'!$B$24:$B$112,"&lt;&gt;Playoffs")</x:f>
        <x:v>1434.0999999999997</x:v>
      </x:c>
      <x:c r="I17" s="25" t="n">
        <x:f>SUMIFS('2024'!$H$24:$H$112,'2024'!$C$24:$C$112,A17,'2024'!$B$24:$B$112,"&lt;&gt;Playoffs")+SUMIFS('2024'!$E$24:$E$112,'2024'!$F$24:$F$112,A17,'2024'!$B$24:$B$112,"&lt;&gt;Playoffs")</x:f>
        <x:v>1650.75</x:v>
      </x:c>
      <x:c r="J17" s="2" t="n">
        <x:v>8</x:v>
      </x:c>
      <x:c r="K17" s="2" t="n">
        <x:v>2</x:v>
      </x:c>
      <x:c r="L17" s="2" t="n">
        <x:v>1</x:v>
      </x:c>
    </x:row>
    <x:row r="18" ht="22" customHeight="1">
      <x:c r="A18" s="22" t="str">
        <x:v>Paul</x:v>
      </x:c>
      <x:c r="B18" s="22" t="str">
        <x:v>Space Dogs</x:v>
      </x:c>
      <x:c r="C18" s="22" t="n">
        <x:f>COUNTIFS('2024'!$I$24:$I$112,A18,'2024'!$B$24:$B$112,"&lt;&gt;Playoffs")</x:f>
        <x:v>7</x:v>
      </x:c>
      <x:c r="D18" s="22" t="n">
        <x:f>COUNTIFS('2024'!$J$24:$J$112,A18,'2024'!$B$24:$B$112,"&lt;&gt;Playoffs")</x:f>
        <x:v>7</x:v>
      </x:c>
      <x:c r="E18" s="22" t="n">
        <x:f>COUNTIFS('2024'!$C$24:$C$112,A18,'2024'!$K$24:$K$112,1,'2024'!$B$24:$B$112,"&lt;&gt;Playoffs")+COUNTIFS('2024'!$F$24:$F$112,A18,'2024'!$K$24:$K$112,1,'2024'!$B$24:$B$112,"&lt;&gt;Playoffs")</x:f>
        <x:v>0</x:v>
      </x:c>
      <x:c r="F18" s="22" t="n">
        <x:f>SUM(C18:E18)</x:f>
        <x:v>14</x:v>
      </x:c>
      <x:c r="G18" s="23" t="n">
        <x:f>IF(F18=0,0,(C18+0.5*E18)/F18)</x:f>
        <x:v>0.5</x:v>
      </x:c>
      <x:c r="H18" s="26" t="n">
        <x:f>SUMIFS('2024'!$E$24:$E$112,'2024'!$C$24:$C$112,A18,'2024'!$B$24:$B$112,"&lt;&gt;Playoffs")+SUMIFS('2024'!$H$24:$H$112,'2024'!$F$24:$F$112,A18,'2024'!$B$24:$B$112,"&lt;&gt;Playoffs")</x:f>
        <x:v>1803</x:v>
      </x:c>
      <x:c r="I18" s="26" t="n">
        <x:f>SUMIFS('2024'!$H$24:$H$112,'2024'!$C$24:$C$112,A18,'2024'!$B$24:$B$112,"&lt;&gt;Playoffs")+SUMIFS('2024'!$E$24:$E$112,'2024'!$F$24:$F$112,A18,'2024'!$B$24:$B$112,"&lt;&gt;Playoffs")</x:f>
        <x:v>1729.3</x:v>
      </x:c>
      <x:c r="J18" s="22" t="n">
        <x:v>16</x:v>
      </x:c>
      <x:c r="K18" s="22" t="n">
        <x:v>1</x:v>
      </x:c>
      <x:c r="L18" s="22" t="n">
        <x:v>7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18" t="str">
        <x:v>Week</x:v>
      </x:c>
      <x:c r="B23" s="18" t="str">
        <x:v>Phase</x:v>
      </x:c>
      <x:c r="C23" s="18" t="str">
        <x:v>Manager A</x:v>
      </x:c>
      <x:c r="D23" s="18" t="str">
        <x:v>Team A</x:v>
      </x:c>
      <x:c r="E23" s="18" t="str">
        <x:v>Score A</x:v>
      </x:c>
      <x:c r="F23" s="18" t="str">
        <x:v>Manager B</x:v>
      </x:c>
      <x:c r="G23" s="18" t="str">
        <x:v>Team B</x:v>
      </x:c>
      <x:c r="H23" s="18" t="str">
        <x:v>Score B</x:v>
      </x:c>
      <x:c r="I23" s="18" t="str">
        <x:v>Winner</x:v>
      </x:c>
      <x:c r="J23" s="18" t="str">
        <x:v>Loser</x:v>
      </x:c>
      <x:c r="K23" s="18" t="str">
        <x:v>Tie</x:v>
      </x:c>
      <x:c r="L23" s="18" t="str">
        <x:v>Pair</x:v>
      </x:c>
      <x:c r="M23" s="21" t="str">
        <x:v>Round</x:v>
      </x:c>
      <x:c r="N23" s="21" t="str">
        <x:v>Week source</x:v>
      </x:c>
      <x:c r="O23" s="21" t="str">
        <x:v>Source marker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155.25</x:v>
      </x:c>
      <x:c r="F24" s="2" t="str">
        <x:v>Mike</x:v>
      </x:c>
      <x:c r="G24" s="2" t="str">
        <x:v>Team Questionable</x:v>
      </x:c>
      <x:c r="H24" s="15" t="n">
        <x:v>106.65</x:v>
      </x:c>
      <x:c r="I24" s="2" t="str">
        <x:f>IF(E24&gt;H24,C24,IF(E24&lt;H24,F24,"Tie"))</x:f>
        <x:v>Bruce</x:v>
      </x:c>
      <x:c r="J24" s="2" t="str">
        <x:f>IF(E24&gt;H24,F24,IF(E24&lt;H24,C24,"Tie"))</x:f>
        <x:v>Mike</x:v>
      </x:c>
      <x:c r="K24" s="2" t="n">
        <x:f>IF(E24=H24,1,0)</x:f>
        <x:v>0</x:v>
      </x:c>
      <x:c r="L24" s="2" t="str">
        <x:v>Bruce / Mike</x:v>
      </x:c>
      <x:c r="M24" t="str"/>
      <x:c r="N24" t="str">
        <x:v>Supplied</x:v>
      </x:c>
      <x:c r="O24" t="str">
        <x:v>*</x:v>
      </x:c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128.5</x:v>
      </x:c>
      <x:c r="F25" s="2" t="str">
        <x:v>Josh</x:v>
      </x:c>
      <x:c r="G25" s="2" t="str">
        <x:v>Mike Drunkdaniels</x:v>
      </x:c>
      <x:c r="H25" s="15" t="n">
        <x:v>105.4</x:v>
      </x:c>
      <x:c r="I25" s="2" t="str">
        <x:f>IF(E25&gt;H25,C25,IF(E25&lt;H25,F25,"Tie"))</x:f>
        <x:v>Craig</x:v>
      </x:c>
      <x:c r="J25" s="2" t="str">
        <x:f>IF(E25&gt;H25,F25,IF(E25&lt;H25,C25,"Tie"))</x:f>
        <x:v>Josh</x:v>
      </x:c>
      <x:c r="K25" s="2" t="n">
        <x:f>IF(E25=H25,1,0)</x:f>
        <x:v>0</x:v>
      </x:c>
      <x:c r="L25" s="2" t="str">
        <x:v>Craig / Josh</x:v>
      </x:c>
      <x:c r="M25" t="str"/>
      <x:c r="N25" t="str">
        <x:v>Supplied</x:v>
      </x:c>
      <x:c r="O25" t="str">
        <x:v>*</x:v>
      </x:c>
    </x:row>
    <x:row r="26" ht="22" customHeight="1">
      <x:c r="A26" s="2" t="n">
        <x:v>1</x:v>
      </x:c>
      <x:c r="B26" s="2" t="str">
        <x:v>Regular</x:v>
      </x:c>
      <x:c r="C26" s="2" t="str">
        <x:v>Dave</x:v>
      </x:c>
      <x:c r="D26" s="2" t="str">
        <x:v>Mr. Girth</x:v>
      </x:c>
      <x:c r="E26" s="15" t="n">
        <x:v>89.2</x:v>
      </x:c>
      <x:c r="F26" s="2" t="str">
        <x:v>Nick</x:v>
      </x:c>
      <x:c r="G26" s="2" t="str">
        <x:v>Team Scoops</x:v>
      </x:c>
      <x:c r="H26" s="15" t="n">
        <x:v>88.65</x:v>
      </x:c>
      <x:c r="I26" s="2" t="str">
        <x:f>IF(E26&gt;H26,C26,IF(E26&lt;H26,F26,"Tie"))</x:f>
        <x:v>Dave</x:v>
      </x:c>
      <x:c r="J26" s="2" t="str">
        <x:f>IF(E26&gt;H26,F26,IF(E26&lt;H26,C26,"Tie"))</x:f>
        <x:v>Nick</x:v>
      </x:c>
      <x:c r="K26" s="2" t="n">
        <x:f>IF(E26=H26,1,0)</x:f>
        <x:v>0</x:v>
      </x:c>
      <x:c r="L26" s="2" t="str">
        <x:v>Dave / Nick</x:v>
      </x:c>
      <x:c r="M26" t="str"/>
      <x:c r="N26" t="str">
        <x:v>Supplied</x:v>
      </x:c>
      <x:c r="O26" t="str">
        <x:v>*</x:v>
      </x:c>
    </x:row>
    <x:row r="27" ht="22" customHeight="1">
      <x:c r="A27" s="2" t="n">
        <x:v>1</x:v>
      </x:c>
      <x:c r="B27" s="2" t="str">
        <x:v>Regular</x:v>
      </x:c>
      <x:c r="C27" s="2" t="str">
        <x:v>Ed</x:v>
      </x:c>
      <x:c r="D27" s="2" t="str">
        <x:v>Fu¢ked Again</x:v>
      </x:c>
      <x:c r="E27" s="15" t="n">
        <x:v>132.5</x:v>
      </x:c>
      <x:c r="F27" s="2" t="str">
        <x:v>Michael</x:v>
      </x:c>
      <x:c r="G27" s="2" t="str">
        <x:v>Big Butler Bids</x:v>
      </x:c>
      <x:c r="H27" s="15" t="n">
        <x:v>144.5</x:v>
      </x:c>
      <x:c r="I27" s="2" t="str">
        <x:f>IF(E27&gt;H27,C27,IF(E27&lt;H27,F27,"Tie"))</x:f>
        <x:v>Michael</x:v>
      </x:c>
      <x:c r="J27" s="2" t="str">
        <x:f>IF(E27&gt;H27,F27,IF(E27&lt;H27,C27,"Tie"))</x:f>
        <x:v>Ed</x:v>
      </x:c>
      <x:c r="K27" s="2" t="n">
        <x:f>IF(E27=H27,1,0)</x:f>
        <x:v>0</x:v>
      </x:c>
      <x:c r="L27" s="2" t="str">
        <x:v>Ed / Michael</x:v>
      </x:c>
      <x:c r="M27" t="str"/>
      <x:c r="N27" t="str">
        <x:v>Supplied</x:v>
      </x:c>
      <x:c r="O27" t="str">
        <x:v>*</x:v>
      </x:c>
    </x:row>
    <x:row r="28" ht="22" customHeight="1">
      <x:c r="A28" s="2" t="n">
        <x:v>1</x:v>
      </x:c>
      <x:c r="B28" s="2" t="str">
        <x:v>Regular</x:v>
      </x:c>
      <x:c r="C28" s="2" t="str">
        <x:v>Frank</x:v>
      </x:c>
      <x:c r="D28" s="2" t="str">
        <x:v>Hawk Tua's</x:v>
      </x:c>
      <x:c r="E28" s="15" t="n">
        <x:v>110.5</x:v>
      </x:c>
      <x:c r="F28" s="2" t="str">
        <x:v>Mark</x:v>
      </x:c>
      <x:c r="G28" s="2" t="str">
        <x:v>wacky waving arms</x:v>
      </x:c>
      <x:c r="H28" s="15" t="n">
        <x:v>83.8</x:v>
      </x:c>
      <x:c r="I28" s="2" t="str">
        <x:f>IF(E28&gt;H28,C28,IF(E28&lt;H28,F28,"Tie"))</x:f>
        <x:v>Frank</x:v>
      </x:c>
      <x:c r="J28" s="2" t="str">
        <x:f>IF(E28&gt;H28,F28,IF(E28&lt;H28,C28,"Tie"))</x:f>
        <x:v>Mark</x:v>
      </x:c>
      <x:c r="K28" s="2" t="n">
        <x:f>IF(E28=H28,1,0)</x:f>
        <x:v>0</x:v>
      </x:c>
      <x:c r="L28" s="2" t="str">
        <x:v>Frank / Mark</x:v>
      </x:c>
      <x:c r="M28" t="str"/>
      <x:c r="N28" t="str">
        <x:v>Supplied</x:v>
      </x:c>
      <x:c r="O28" t="str">
        <x:v>*</x:v>
      </x:c>
    </x:row>
    <x:row r="29" ht="22" customHeight="1">
      <x:c r="A29" s="2" t="n">
        <x:v>1</x:v>
      </x:c>
      <x:c r="B29" s="2" t="str">
        <x:v>Regular</x:v>
      </x:c>
      <x:c r="C29" s="2" t="str">
        <x:v>Paul</x:v>
      </x:c>
      <x:c r="D29" s="2" t="str">
        <x:v>Space Dogs</x:v>
      </x:c>
      <x:c r="E29" s="15" t="n">
        <x:v>124.15</x:v>
      </x:c>
      <x:c r="F29" s="2" t="str">
        <x:v>Matt</x:v>
      </x:c>
      <x:c r="G29" s="2" t="str">
        <x:v>Mr.Montana</x:v>
      </x:c>
      <x:c r="H29" s="15" t="n">
        <x:v>97.75</x:v>
      </x:c>
      <x:c r="I29" s="2" t="str">
        <x:f>IF(E29&gt;H29,C29,IF(E29&lt;H29,F29,"Tie"))</x:f>
        <x:v>Paul</x:v>
      </x:c>
      <x:c r="J29" s="2" t="str">
        <x:f>IF(E29&gt;H29,F29,IF(E29&lt;H29,C29,"Tie"))</x:f>
        <x:v>Matt</x:v>
      </x:c>
      <x:c r="K29" s="2" t="n">
        <x:f>IF(E29=H29,1,0)</x:f>
        <x:v>0</x:v>
      </x:c>
      <x:c r="L29" s="2" t="str">
        <x:v>Matt / Paul</x:v>
      </x:c>
      <x:c r="M29" t="str"/>
      <x:c r="N29" t="str">
        <x:v>Supplied</x:v>
      </x:c>
      <x:c r="O29" t="str">
        <x:v>*</x:v>
      </x:c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119.25</x:v>
      </x:c>
      <x:c r="F30" s="2" t="str">
        <x:v>Mark</x:v>
      </x:c>
      <x:c r="G30" s="2" t="str">
        <x:v>wacky waving arms</x:v>
      </x:c>
      <x:c r="H30" s="15" t="n">
        <x:v>121.5</x:v>
      </x:c>
      <x:c r="I30" s="2" t="str">
        <x:f>IF(E30&gt;H30,C30,IF(E30&lt;H30,F30,"Tie"))</x:f>
        <x:v>Mark</x:v>
      </x:c>
      <x:c r="J30" s="2" t="str">
        <x:f>IF(E30&gt;H30,F30,IF(E30&lt;H30,C30,"Tie"))</x:f>
        <x:v>Bruce</x:v>
      </x:c>
      <x:c r="K30" s="2" t="n">
        <x:f>IF(E30=H30,1,0)</x:f>
        <x:v>0</x:v>
      </x:c>
      <x:c r="L30" s="2" t="str">
        <x:v>Bruce / Mark</x:v>
      </x:c>
      <x:c r="M30" t="str"/>
      <x:c r="N30" t="str">
        <x:v>Supplied</x:v>
      </x:c>
      <x:c r="O30" t="str"/>
    </x:row>
    <x:row r="31" ht="22" customHeight="1">
      <x:c r="A31" s="2" t="n">
        <x:v>2</x:v>
      </x:c>
      <x:c r="B31" s="2" t="str">
        <x:v>Regular</x:v>
      </x:c>
      <x:c r="C31" s="2" t="str">
        <x:v>Craig</x:v>
      </x:c>
      <x:c r="D31" s="2" t="str">
        <x:v>The Ants Marching</x:v>
      </x:c>
      <x:c r="E31" s="15" t="n">
        <x:v>133.4</x:v>
      </x:c>
      <x:c r="F31" s="2" t="str">
        <x:v>Ed</x:v>
      </x:c>
      <x:c r="G31" s="2" t="str">
        <x:v>Fu¢ked Again</x:v>
      </x:c>
      <x:c r="H31" s="15" t="n">
        <x:v>93.45</x:v>
      </x:c>
      <x:c r="I31" s="2" t="str">
        <x:f>IF(E31&gt;H31,C31,IF(E31&lt;H31,F31,"Tie"))</x:f>
        <x:v>Craig</x:v>
      </x:c>
      <x:c r="J31" s="2" t="str">
        <x:f>IF(E31&gt;H31,F31,IF(E31&lt;H31,C31,"Tie"))</x:f>
        <x:v>Ed</x:v>
      </x:c>
      <x:c r="K31" s="2" t="n">
        <x:f>IF(E31=H31,1,0)</x:f>
        <x:v>0</x:v>
      </x:c>
      <x:c r="L31" s="2" t="str">
        <x:v>Craig / Ed</x:v>
      </x:c>
      <x:c r="M31" t="str"/>
      <x:c r="N31" t="str">
        <x:v>Supplied</x:v>
      </x:c>
      <x:c r="O31" t="str"/>
    </x:row>
    <x:row r="32" ht="22" customHeight="1">
      <x:c r="A32" s="2" t="n">
        <x:v>2</x:v>
      </x:c>
      <x:c r="B32" s="2" t="str">
        <x:v>Regular</x:v>
      </x:c>
      <x:c r="C32" s="2" t="str">
        <x:v>Dave</x:v>
      </x:c>
      <x:c r="D32" s="2" t="str">
        <x:v>Mr. Girth</x:v>
      </x:c>
      <x:c r="E32" s="15" t="n">
        <x:v>96</x:v>
      </x:c>
      <x:c r="F32" s="2" t="str">
        <x:v>Mike</x:v>
      </x:c>
      <x:c r="G32" s="2" t="str">
        <x:v>Team Questionable</x:v>
      </x:c>
      <x:c r="H32" s="15" t="n">
        <x:v>118.2</x:v>
      </x:c>
      <x:c r="I32" s="2" t="str">
        <x:f>IF(E32&gt;H32,C32,IF(E32&lt;H32,F32,"Tie"))</x:f>
        <x:v>Mike</x:v>
      </x:c>
      <x:c r="J32" s="2" t="str">
        <x:f>IF(E32&gt;H32,F32,IF(E32&lt;H32,C32,"Tie"))</x:f>
        <x:v>Dave</x:v>
      </x:c>
      <x:c r="K32" s="2" t="n">
        <x:f>IF(E32=H32,1,0)</x:f>
        <x:v>0</x:v>
      </x:c>
      <x:c r="L32" s="2" t="str">
        <x:v>Dave / Mike</x:v>
      </x:c>
      <x:c r="M32" t="str"/>
      <x:c r="N32" t="str">
        <x:v>Supplied</x:v>
      </x:c>
      <x:c r="O32" t="str"/>
    </x:row>
    <x:row r="33" ht="22" customHeight="1">
      <x:c r="A33" s="2" t="n">
        <x:v>2</x:v>
      </x:c>
      <x:c r="B33" s="2" t="str">
        <x:v>Regular</x:v>
      </x:c>
      <x:c r="C33" s="2" t="str">
        <x:v>Frank</x:v>
      </x:c>
      <x:c r="D33" s="2" t="str">
        <x:v>Hawk Tua's</x:v>
      </x:c>
      <x:c r="E33" s="15" t="n">
        <x:v>97.05</x:v>
      </x:c>
      <x:c r="F33" s="2" t="str">
        <x:v>Nick</x:v>
      </x:c>
      <x:c r="G33" s="2" t="str">
        <x:v>Team Scoops</x:v>
      </x:c>
      <x:c r="H33" s="15" t="n">
        <x:v>100.35</x:v>
      </x:c>
      <x:c r="I33" s="2" t="str">
        <x:f>IF(E33&gt;H33,C33,IF(E33&lt;H33,F33,"Tie"))</x:f>
        <x:v>Nick</x:v>
      </x:c>
      <x:c r="J33" s="2" t="str">
        <x:f>IF(E33&gt;H33,F33,IF(E33&lt;H33,C33,"Tie"))</x:f>
        <x:v>Frank</x:v>
      </x:c>
      <x:c r="K33" s="2" t="n">
        <x:f>IF(E33=H33,1,0)</x:f>
        <x:v>0</x:v>
      </x:c>
      <x:c r="L33" s="2" t="str">
        <x:v>Frank / Nick</x:v>
      </x:c>
      <x:c r="M33" t="str"/>
      <x:c r="N33" t="str">
        <x:v>Supplied</x:v>
      </x:c>
      <x:c r="O33" t="str"/>
    </x:row>
    <x:row r="34" ht="22" customHeight="1">
      <x:c r="A34" s="2" t="n">
        <x:v>2</x:v>
      </x:c>
      <x:c r="B34" s="2" t="str">
        <x:v>Regular</x:v>
      </x:c>
      <x:c r="C34" s="2" t="str">
        <x:v>Josh</x:v>
      </x:c>
      <x:c r="D34" s="2" t="str">
        <x:v>Mike Drunkdaniels</x:v>
      </x:c>
      <x:c r="E34" s="15" t="n">
        <x:v>141.75</x:v>
      </x:c>
      <x:c r="F34" s="2" t="str">
        <x:v>Paul</x:v>
      </x:c>
      <x:c r="G34" s="2" t="str">
        <x:v>Space Dogs</x:v>
      </x:c>
      <x:c r="H34" s="15" t="n">
        <x:v>125.75</x:v>
      </x:c>
      <x:c r="I34" s="2" t="str">
        <x:f>IF(E34&gt;H34,C34,IF(E34&lt;H34,F34,"Tie"))</x:f>
        <x:v>Josh</x:v>
      </x:c>
      <x:c r="J34" s="2" t="str">
        <x:f>IF(E34&gt;H34,F34,IF(E34&lt;H34,C34,"Tie"))</x:f>
        <x:v>Paul</x:v>
      </x:c>
      <x:c r="K34" s="2" t="n">
        <x:f>IF(E34=H34,1,0)</x:f>
        <x:v>0</x:v>
      </x:c>
      <x:c r="L34" s="2" t="str">
        <x:v>Josh / Paul</x:v>
      </x:c>
      <x:c r="M34" t="str"/>
      <x:c r="N34" t="str">
        <x:v>Supplied</x:v>
      </x:c>
      <x:c r="O34" t="str"/>
    </x:row>
    <x:row r="35" ht="22" customHeight="1">
      <x:c r="A35" s="2" t="n">
        <x:v>2</x:v>
      </x:c>
      <x:c r="B35" s="2" t="str">
        <x:v>Regular</x:v>
      </x:c>
      <x:c r="C35" s="2" t="str">
        <x:v>Matt</x:v>
      </x:c>
      <x:c r="D35" s="2" t="str">
        <x:v>Mr.Montana</x:v>
      </x:c>
      <x:c r="E35" s="15" t="n">
        <x:v>139.3</x:v>
      </x:c>
      <x:c r="F35" s="2" t="str">
        <x:v>Michael</x:v>
      </x:c>
      <x:c r="G35" s="2" t="str">
        <x:v>Big Butler Bids</x:v>
      </x:c>
      <x:c r="H35" s="15" t="n">
        <x:v>105</x:v>
      </x:c>
      <x:c r="I35" s="2" t="str">
        <x:f>IF(E35&gt;H35,C35,IF(E35&lt;H35,F35,"Tie"))</x:f>
        <x:v>Matt</x:v>
      </x:c>
      <x:c r="J35" s="2" t="str">
        <x:f>IF(E35&gt;H35,F35,IF(E35&lt;H35,C35,"Tie"))</x:f>
        <x:v>Michael</x:v>
      </x:c>
      <x:c r="K35" s="2" t="n">
        <x:f>IF(E35=H35,1,0)</x:f>
        <x:v>0</x:v>
      </x:c>
      <x:c r="L35" s="2" t="str">
        <x:v>Matt / Michael</x:v>
      </x:c>
      <x:c r="M35" t="str"/>
      <x:c r="N35" t="str">
        <x:v>Supplied</x:v>
      </x:c>
      <x:c r="O35" t="str"/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147.15</x:v>
      </x:c>
      <x:c r="F36" s="2" t="str">
        <x:v>Ed</x:v>
      </x:c>
      <x:c r="G36" s="2" t="str">
        <x:v>Fu¢ked Again</x:v>
      </x:c>
      <x:c r="H36" s="15" t="n">
        <x:v>106.75</x:v>
      </x:c>
      <x:c r="I36" s="2" t="str">
        <x:f>IF(E36&gt;H36,C36,IF(E36&lt;H36,F36,"Tie"))</x:f>
        <x:v>Bruce</x:v>
      </x:c>
      <x:c r="J36" s="2" t="str">
        <x:f>IF(E36&gt;H36,F36,IF(E36&lt;H36,C36,"Tie"))</x:f>
        <x:v>Ed</x:v>
      </x:c>
      <x:c r="K36" s="2" t="n">
        <x:f>IF(E36=H36,1,0)</x:f>
        <x:v>0</x:v>
      </x:c>
      <x:c r="L36" s="2" t="str">
        <x:v>Bruce / Ed</x:v>
      </x:c>
      <x:c r="M36" t="str"/>
      <x:c r="N36" t="str">
        <x:v>Supplied</x:v>
      </x:c>
      <x:c r="O36" t="str">
        <x:v>*</x:v>
      </x:c>
    </x:row>
    <x:row r="37" ht="22" customHeight="1">
      <x:c r="A37" s="2" t="n">
        <x:v>3</x:v>
      </x:c>
      <x:c r="B37" s="2" t="str">
        <x:v>Regular</x:v>
      </x:c>
      <x:c r="C37" s="2" t="str">
        <x:v>Craig</x:v>
      </x:c>
      <x:c r="D37" s="2" t="str">
        <x:v>The Ants Marching</x:v>
      </x:c>
      <x:c r="E37" s="15" t="n">
        <x:v>118.45</x:v>
      </x:c>
      <x:c r="F37" s="2" t="str">
        <x:v>Nick</x:v>
      </x:c>
      <x:c r="G37" s="2" t="str">
        <x:v>Team Scoops</x:v>
      </x:c>
      <x:c r="H37" s="15" t="n">
        <x:v>71.25</x:v>
      </x:c>
      <x:c r="I37" s="2" t="str">
        <x:f>IF(E37&gt;H37,C37,IF(E37&lt;H37,F37,"Tie"))</x:f>
        <x:v>Craig</x:v>
      </x:c>
      <x:c r="J37" s="2" t="str">
        <x:f>IF(E37&gt;H37,F37,IF(E37&lt;H37,C37,"Tie"))</x:f>
        <x:v>Nick</x:v>
      </x:c>
      <x:c r="K37" s="2" t="n">
        <x:f>IF(E37=H37,1,0)</x:f>
        <x:v>0</x:v>
      </x:c>
      <x:c r="L37" s="2" t="str">
        <x:v>Craig / Nick</x:v>
      </x:c>
      <x:c r="M37" t="str"/>
      <x:c r="N37" t="str">
        <x:v>Supplied</x:v>
      </x:c>
      <x:c r="O37" t="str">
        <x:v>*</x:v>
      </x:c>
    </x:row>
    <x:row r="38" ht="22" customHeight="1">
      <x:c r="A38" s="2" t="n">
        <x:v>3</x:v>
      </x:c>
      <x:c r="B38" s="2" t="str">
        <x:v>Regular</x:v>
      </x:c>
      <x:c r="C38" s="2" t="str">
        <x:v>Dave</x:v>
      </x:c>
      <x:c r="D38" s="2" t="str">
        <x:v>Mr. Girth</x:v>
      </x:c>
      <x:c r="E38" s="15" t="n">
        <x:v>128.55</x:v>
      </x:c>
      <x:c r="F38" s="2" t="str">
        <x:v>Josh</x:v>
      </x:c>
      <x:c r="G38" s="2" t="str">
        <x:v>Mike Drunkdaniels</x:v>
      </x:c>
      <x:c r="H38" s="15" t="n">
        <x:v>122.35</x:v>
      </x:c>
      <x:c r="I38" s="2" t="str">
        <x:f>IF(E38&gt;H38,C38,IF(E38&lt;H38,F38,"Tie"))</x:f>
        <x:v>Dave</x:v>
      </x:c>
      <x:c r="J38" s="2" t="str">
        <x:f>IF(E38&gt;H38,F38,IF(E38&lt;H38,C38,"Tie"))</x:f>
        <x:v>Josh</x:v>
      </x:c>
      <x:c r="K38" s="2" t="n">
        <x:f>IF(E38=H38,1,0)</x:f>
        <x:v>0</x:v>
      </x:c>
      <x:c r="L38" s="2" t="str">
        <x:v>Dave / Josh</x:v>
      </x:c>
      <x:c r="M38" t="str"/>
      <x:c r="N38" t="str">
        <x:v>Supplied</x:v>
      </x:c>
      <x:c r="O38" t="str">
        <x:v>*</x:v>
      </x:c>
    </x:row>
    <x:row r="39" ht="22" customHeight="1">
      <x:c r="A39" s="2" t="n">
        <x:v>3</x:v>
      </x:c>
      <x:c r="B39" s="2" t="str">
        <x:v>Regular</x:v>
      </x:c>
      <x:c r="C39" s="2" t="str">
        <x:v>Frank</x:v>
      </x:c>
      <x:c r="D39" s="2" t="str">
        <x:v>Hawk Tua's</x:v>
      </x:c>
      <x:c r="E39" s="15" t="n">
        <x:v>94.25</x:v>
      </x:c>
      <x:c r="F39" s="2" t="str">
        <x:v>Matt</x:v>
      </x:c>
      <x:c r="G39" s="2" t="str">
        <x:v>Mr.Montana</x:v>
      </x:c>
      <x:c r="H39" s="15" t="n">
        <x:v>90.55</x:v>
      </x:c>
      <x:c r="I39" s="2" t="str">
        <x:f>IF(E39&gt;H39,C39,IF(E39&lt;H39,F39,"Tie"))</x:f>
        <x:v>Frank</x:v>
      </x:c>
      <x:c r="J39" s="2" t="str">
        <x:f>IF(E39&gt;H39,F39,IF(E39&lt;H39,C39,"Tie"))</x:f>
        <x:v>Matt</x:v>
      </x:c>
      <x:c r="K39" s="2" t="n">
        <x:f>IF(E39=H39,1,0)</x:f>
        <x:v>0</x:v>
      </x:c>
      <x:c r="L39" s="2" t="str">
        <x:v>Frank / Matt</x:v>
      </x:c>
      <x:c r="M39" t="str"/>
      <x:c r="N39" t="str">
        <x:v>Supplied</x:v>
      </x:c>
      <x:c r="O39" t="str">
        <x:v>*</x:v>
      </x:c>
    </x:row>
    <x:row r="40" ht="22" customHeight="1">
      <x:c r="A40" s="2" t="n">
        <x:v>3</x:v>
      </x:c>
      <x:c r="B40" s="2" t="str">
        <x:v>Regular</x:v>
      </x:c>
      <x:c r="C40" s="2" t="str">
        <x:v>Mike</x:v>
      </x:c>
      <x:c r="D40" s="2" t="str">
        <x:v>Team Questionable</x:v>
      </x:c>
      <x:c r="E40" s="15" t="n">
        <x:v>127.9</x:v>
      </x:c>
      <x:c r="F40" s="2" t="str">
        <x:v>Michael</x:v>
      </x:c>
      <x:c r="G40" s="2" t="str">
        <x:v>Big Butler Bids</x:v>
      </x:c>
      <x:c r="H40" s="15" t="n">
        <x:v>67.45</x:v>
      </x:c>
      <x:c r="I40" s="2" t="str">
        <x:f>IF(E40&gt;H40,C40,IF(E40&lt;H40,F40,"Tie"))</x:f>
        <x:v>Mike</x:v>
      </x:c>
      <x:c r="J40" s="2" t="str">
        <x:f>IF(E40&gt;H40,F40,IF(E40&lt;H40,C40,"Tie"))</x:f>
        <x:v>Michael</x:v>
      </x:c>
      <x:c r="K40" s="2" t="n">
        <x:f>IF(E40=H40,1,0)</x:f>
        <x:v>0</x:v>
      </x:c>
      <x:c r="L40" s="2" t="str">
        <x:v>Michael / Mike</x:v>
      </x:c>
      <x:c r="M40" t="str"/>
      <x:c r="N40" t="str">
        <x:v>Supplied</x:v>
      </x:c>
      <x:c r="O40" t="str">
        <x:v>*</x:v>
      </x:c>
    </x:row>
    <x:row r="41" ht="22" customHeight="1">
      <x:c r="A41" s="2" t="n">
        <x:v>3</x:v>
      </x:c>
      <x:c r="B41" s="2" t="str">
        <x:v>Regular</x:v>
      </x:c>
      <x:c r="C41" s="2" t="str">
        <x:v>Mark</x:v>
      </x:c>
      <x:c r="D41" s="2" t="str">
        <x:v>wacky waving arms</x:v>
      </x:c>
      <x:c r="E41" s="15" t="n">
        <x:v>124.85</x:v>
      </x:c>
      <x:c r="F41" s="2" t="str">
        <x:v>Paul</x:v>
      </x:c>
      <x:c r="G41" s="2" t="str">
        <x:v>Space Dogs</x:v>
      </x:c>
      <x:c r="H41" s="15" t="n">
        <x:v>145.9</x:v>
      </x:c>
      <x:c r="I41" s="2" t="str">
        <x:f>IF(E41&gt;H41,C41,IF(E41&lt;H41,F41,"Tie"))</x:f>
        <x:v>Paul</x:v>
      </x:c>
      <x:c r="J41" s="2" t="str">
        <x:f>IF(E41&gt;H41,F41,IF(E41&lt;H41,C41,"Tie"))</x:f>
        <x:v>Mark</x:v>
      </x:c>
      <x:c r="K41" s="2" t="n">
        <x:f>IF(E41=H41,1,0)</x:f>
        <x:v>0</x:v>
      </x:c>
      <x:c r="L41" s="2" t="str">
        <x:v>Mark / Paul</x:v>
      </x:c>
      <x:c r="M41" t="str"/>
      <x:c r="N41" t="str">
        <x:v>Supplied</x:v>
      </x:c>
      <x:c r="O41" t="str">
        <x:v>*</x:v>
      </x:c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126.2</x:v>
      </x:c>
      <x:c r="F42" s="2" t="str">
        <x:v>Dave</x:v>
      </x:c>
      <x:c r="G42" s="2" t="str">
        <x:v>Mr. Girth</x:v>
      </x:c>
      <x:c r="H42" s="15" t="n">
        <x:v>184.7</x:v>
      </x:c>
      <x:c r="I42" s="2" t="str">
        <x:f>IF(E42&gt;H42,C42,IF(E42&lt;H42,F42,"Tie"))</x:f>
        <x:v>Dave</x:v>
      </x:c>
      <x:c r="J42" s="2" t="str">
        <x:f>IF(E42&gt;H42,F42,IF(E42&lt;H42,C42,"Tie"))</x:f>
        <x:v>Bruce</x:v>
      </x:c>
      <x:c r="K42" s="2" t="n">
        <x:f>IF(E42=H42,1,0)</x:f>
        <x:v>0</x:v>
      </x:c>
      <x:c r="L42" s="2" t="str">
        <x:v>Bruce / Dave</x:v>
      </x:c>
      <x:c r="M42" t="str"/>
      <x:c r="N42" t="str">
        <x:v>Supplied</x:v>
      </x:c>
      <x:c r="O42" t="str"/>
    </x:row>
    <x:row r="43" ht="22" customHeight="1">
      <x:c r="A43" s="2" t="n">
        <x:v>4</x:v>
      </x:c>
      <x:c r="B43" s="2" t="str">
        <x:v>Regular</x:v>
      </x:c>
      <x:c r="C43" s="2" t="str">
        <x:v>Craig</x:v>
      </x:c>
      <x:c r="D43" s="2" t="str">
        <x:v>The Ants Marching</x:v>
      </x:c>
      <x:c r="E43" s="15" t="n">
        <x:v>112.45</x:v>
      </x:c>
      <x:c r="F43" s="2" t="str">
        <x:v>Michael</x:v>
      </x:c>
      <x:c r="G43" s="2" t="str">
        <x:v>Big Butler Bids</x:v>
      </x:c>
      <x:c r="H43" s="15" t="n">
        <x:v>102.7</x:v>
      </x:c>
      <x:c r="I43" s="2" t="str">
        <x:f>IF(E43&gt;H43,C43,IF(E43&lt;H43,F43,"Tie"))</x:f>
        <x:v>Craig</x:v>
      </x:c>
      <x:c r="J43" s="2" t="str">
        <x:f>IF(E43&gt;H43,F43,IF(E43&lt;H43,C43,"Tie"))</x:f>
        <x:v>Michael</x:v>
      </x:c>
      <x:c r="K43" s="2" t="n">
        <x:f>IF(E43=H43,1,0)</x:f>
        <x:v>0</x:v>
      </x:c>
      <x:c r="L43" s="2" t="str">
        <x:v>Craig / Michael</x:v>
      </x:c>
      <x:c r="M43" t="str"/>
      <x:c r="N43" t="str">
        <x:v>Supplied</x:v>
      </x:c>
      <x:c r="O43" t="str"/>
    </x:row>
    <x:row r="44" ht="22" customHeight="1">
      <x:c r="A44" s="2" t="n">
        <x:v>4</x:v>
      </x:c>
      <x:c r="B44" s="2" t="str">
        <x:v>Regular</x:v>
      </x:c>
      <x:c r="C44" s="2" t="str">
        <x:v>Ed</x:v>
      </x:c>
      <x:c r="D44" s="2" t="str">
        <x:v>Fu¢ked Again</x:v>
      </x:c>
      <x:c r="E44" s="15" t="n">
        <x:v>134.1</x:v>
      </x:c>
      <x:c r="F44" s="2" t="str">
        <x:v>Paul</x:v>
      </x:c>
      <x:c r="G44" s="2" t="str">
        <x:v>Space Dogs</x:v>
      </x:c>
      <x:c r="H44" s="15" t="n">
        <x:v>121.95</x:v>
      </x:c>
      <x:c r="I44" s="2" t="str">
        <x:f>IF(E44&gt;H44,C44,IF(E44&lt;H44,F44,"Tie"))</x:f>
        <x:v>Ed</x:v>
      </x:c>
      <x:c r="J44" s="2" t="str">
        <x:f>IF(E44&gt;H44,F44,IF(E44&lt;H44,C44,"Tie"))</x:f>
        <x:v>Paul</x:v>
      </x:c>
      <x:c r="K44" s="2" t="n">
        <x:f>IF(E44=H44,1,0)</x:f>
        <x:v>0</x:v>
      </x:c>
      <x:c r="L44" s="2" t="str">
        <x:v>Ed / Paul</x:v>
      </x:c>
      <x:c r="M44" t="str"/>
      <x:c r="N44" t="str">
        <x:v>Supplied</x:v>
      </x:c>
      <x:c r="O44" t="str"/>
    </x:row>
    <x:row r="45" ht="22" customHeight="1">
      <x:c r="A45" s="2" t="n">
        <x:v>4</x:v>
      </x:c>
      <x:c r="B45" s="2" t="str">
        <x:v>Regular</x:v>
      </x:c>
      <x:c r="C45" s="2" t="str">
        <x:v>Frank</x:v>
      </x:c>
      <x:c r="D45" s="2" t="str">
        <x:v>Hawk Tua's</x:v>
      </x:c>
      <x:c r="E45" s="15" t="n">
        <x:v>93.65</x:v>
      </x:c>
      <x:c r="F45" s="2" t="str">
        <x:v>Mike</x:v>
      </x:c>
      <x:c r="G45" s="2" t="str">
        <x:v>Team Questionable</x:v>
      </x:c>
      <x:c r="H45" s="15" t="n">
        <x:v>121.35</x:v>
      </x:c>
      <x:c r="I45" s="2" t="str">
        <x:f>IF(E45&gt;H45,C45,IF(E45&lt;H45,F45,"Tie"))</x:f>
        <x:v>Mike</x:v>
      </x:c>
      <x:c r="J45" s="2" t="str">
        <x:f>IF(E45&gt;H45,F45,IF(E45&lt;H45,C45,"Tie"))</x:f>
        <x:v>Frank</x:v>
      </x:c>
      <x:c r="K45" s="2" t="n">
        <x:f>IF(E45=H45,1,0)</x:f>
        <x:v>0</x:v>
      </x:c>
      <x:c r="L45" s="2" t="str">
        <x:v>Frank / Mike</x:v>
      </x:c>
      <x:c r="M45" t="str"/>
      <x:c r="N45" t="str">
        <x:v>Supplied</x:v>
      </x:c>
      <x:c r="O45" t="str"/>
    </x:row>
    <x:row r="46" ht="22" customHeight="1">
      <x:c r="A46" s="2" t="n">
        <x:v>4</x:v>
      </x:c>
      <x:c r="B46" s="2" t="str">
        <x:v>Regular</x:v>
      </x:c>
      <x:c r="C46" s="2" t="str">
        <x:v>Josh</x:v>
      </x:c>
      <x:c r="D46" s="2" t="str">
        <x:v>Mike Drunkdaniels</x:v>
      </x:c>
      <x:c r="E46" s="15" t="n">
        <x:v>92.1</x:v>
      </x:c>
      <x:c r="F46" s="2" t="str">
        <x:v>Matt</x:v>
      </x:c>
      <x:c r="G46" s="2" t="str">
        <x:v>Mr.Montana</x:v>
      </x:c>
      <x:c r="H46" s="15" t="n">
        <x:v>99.25</x:v>
      </x:c>
      <x:c r="I46" s="2" t="str">
        <x:f>IF(E46&gt;H46,C46,IF(E46&lt;H46,F46,"Tie"))</x:f>
        <x:v>Matt</x:v>
      </x:c>
      <x:c r="J46" s="2" t="str">
        <x:f>IF(E46&gt;H46,F46,IF(E46&lt;H46,C46,"Tie"))</x:f>
        <x:v>Josh</x:v>
      </x:c>
      <x:c r="K46" s="2" t="n">
        <x:f>IF(E46=H46,1,0)</x:f>
        <x:v>0</x:v>
      </x:c>
      <x:c r="L46" s="2" t="str">
        <x:v>Josh / Matt</x:v>
      </x:c>
      <x:c r="M46" t="str"/>
      <x:c r="N46" t="str">
        <x:v>Supplied</x:v>
      </x:c>
      <x:c r="O46" t="str"/>
    </x:row>
    <x:row r="47" ht="22" customHeight="1">
      <x:c r="A47" s="2" t="n">
        <x:v>4</x:v>
      </x:c>
      <x:c r="B47" s="2" t="str">
        <x:v>Regular</x:v>
      </x:c>
      <x:c r="C47" s="2" t="str">
        <x:v>Mark</x:v>
      </x:c>
      <x:c r="D47" s="2" t="str">
        <x:v>wacky waving arms</x:v>
      </x:c>
      <x:c r="E47" s="15" t="n">
        <x:v>107.55</x:v>
      </x:c>
      <x:c r="F47" s="2" t="str">
        <x:v>Nick</x:v>
      </x:c>
      <x:c r="G47" s="2" t="str">
        <x:v>Team Scoops</x:v>
      </x:c>
      <x:c r="H47" s="15" t="n">
        <x:v>86.15</x:v>
      </x:c>
      <x:c r="I47" s="2" t="str">
        <x:f>IF(E47&gt;H47,C47,IF(E47&lt;H47,F47,"Tie"))</x:f>
        <x:v>Mark</x:v>
      </x:c>
      <x:c r="J47" s="2" t="str">
        <x:f>IF(E47&gt;H47,F47,IF(E47&lt;H47,C47,"Tie"))</x:f>
        <x:v>Nick</x:v>
      </x:c>
      <x:c r="K47" s="2" t="n">
        <x:f>IF(E47=H47,1,0)</x:f>
        <x:v>0</x:v>
      </x:c>
      <x:c r="L47" s="2" t="str">
        <x:v>Mark / Nick</x:v>
      </x:c>
      <x:c r="M47" t="str"/>
      <x:c r="N47" t="str">
        <x:v>Supplied</x:v>
      </x:c>
      <x:c r="O47" t="str"/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100.1</x:v>
      </x:c>
      <x:c r="F48" s="2" t="str">
        <x:v>Frank</x:v>
      </x:c>
      <x:c r="G48" s="2" t="str">
        <x:v>Hawk Tua's</x:v>
      </x:c>
      <x:c r="H48" s="15" t="n">
        <x:v>140.3</x:v>
      </x:c>
      <x:c r="I48" s="2" t="str">
        <x:f>IF(E48&gt;H48,C48,IF(E48&lt;H48,F48,"Tie"))</x:f>
        <x:v>Frank</x:v>
      </x:c>
      <x:c r="J48" s="2" t="str">
        <x:f>IF(E48&gt;H48,F48,IF(E48&lt;H48,C48,"Tie"))</x:f>
        <x:v>Bruce</x:v>
      </x:c>
      <x:c r="K48" s="2" t="n">
        <x:f>IF(E48=H48,1,0)</x:f>
        <x:v>0</x:v>
      </x:c>
      <x:c r="L48" s="2" t="str">
        <x:v>Bruce / Frank</x:v>
      </x:c>
      <x:c r="M48" t="str"/>
      <x:c r="N48" t="str">
        <x:v>Supplied</x:v>
      </x:c>
      <x:c r="O48" t="str"/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67.95</x:v>
      </x:c>
      <x:c r="F49" s="2" t="str">
        <x:v>Matt</x:v>
      </x:c>
      <x:c r="G49" s="2" t="str">
        <x:v>Mr.Montana</x:v>
      </x:c>
      <x:c r="H49" s="15" t="n">
        <x:v>115.8</x:v>
      </x:c>
      <x:c r="I49" s="2" t="str">
        <x:f>IF(E49&gt;H49,C49,IF(E49&lt;H49,F49,"Tie"))</x:f>
        <x:v>Matt</x:v>
      </x:c>
      <x:c r="J49" s="2" t="str">
        <x:f>IF(E49&gt;H49,F49,IF(E49&lt;H49,C49,"Tie"))</x:f>
        <x:v>Craig</x:v>
      </x:c>
      <x:c r="K49" s="2" t="n">
        <x:f>IF(E49=H49,1,0)</x:f>
        <x:v>0</x:v>
      </x:c>
      <x:c r="L49" s="2" t="str">
        <x:v>Craig / Matt</x:v>
      </x:c>
      <x:c r="M49" t="str"/>
      <x:c r="N49" t="str">
        <x:v>Supplied</x:v>
      </x:c>
      <x:c r="O49" t="str"/>
    </x:row>
    <x:row r="50" ht="22" customHeight="1">
      <x:c r="A50" s="2" t="n">
        <x:v>5</x:v>
      </x:c>
      <x:c r="B50" s="2" t="str">
        <x:v>Regular</x:v>
      </x:c>
      <x:c r="C50" s="2" t="str">
        <x:v>Dave</x:v>
      </x:c>
      <x:c r="D50" s="2" t="str">
        <x:v>Mr. Girth</x:v>
      </x:c>
      <x:c r="E50" s="15" t="n">
        <x:v>155.5</x:v>
      </x:c>
      <x:c r="F50" s="2" t="str">
        <x:v>Mark</x:v>
      </x:c>
      <x:c r="G50" s="2" t="str">
        <x:v>wacky waving arms</x:v>
      </x:c>
      <x:c r="H50" s="15" t="n">
        <x:v>95.75</x:v>
      </x:c>
      <x:c r="I50" s="2" t="str">
        <x:f>IF(E50&gt;H50,C50,IF(E50&lt;H50,F50,"Tie"))</x:f>
        <x:v>Dave</x:v>
      </x:c>
      <x:c r="J50" s="2" t="str">
        <x:f>IF(E50&gt;H50,F50,IF(E50&lt;H50,C50,"Tie"))</x:f>
        <x:v>Mark</x:v>
      </x:c>
      <x:c r="K50" s="2" t="n">
        <x:f>IF(E50=H50,1,0)</x:f>
        <x:v>0</x:v>
      </x:c>
      <x:c r="L50" s="2" t="str">
        <x:v>Dave / Mark</x:v>
      </x:c>
      <x:c r="M50" t="str"/>
      <x:c r="N50" t="str">
        <x:v>Supplied</x:v>
      </x:c>
      <x:c r="O50" t="str"/>
    </x:row>
    <x:row r="51" ht="22" customHeight="1">
      <x:c r="A51" s="2" t="n">
        <x:v>5</x:v>
      </x:c>
      <x:c r="B51" s="2" t="str">
        <x:v>Regular</x:v>
      </x:c>
      <x:c r="C51" s="2" t="str">
        <x:v>Ed</x:v>
      </x:c>
      <x:c r="D51" s="2" t="str">
        <x:v>Fu¢ked Again</x:v>
      </x:c>
      <x:c r="E51" s="15" t="n">
        <x:v>99.05</x:v>
      </x:c>
      <x:c r="F51" s="2" t="str">
        <x:v>Josh</x:v>
      </x:c>
      <x:c r="G51" s="2" t="str">
        <x:v>Mike Drunkdaniels</x:v>
      </x:c>
      <x:c r="H51" s="15" t="n">
        <x:v>161.25</x:v>
      </x:c>
      <x:c r="I51" s="2" t="str">
        <x:f>IF(E51&gt;H51,C51,IF(E51&lt;H51,F51,"Tie"))</x:f>
        <x:v>Josh</x:v>
      </x:c>
      <x:c r="J51" s="2" t="str">
        <x:f>IF(E51&gt;H51,F51,IF(E51&lt;H51,C51,"Tie"))</x:f>
        <x:v>Ed</x:v>
      </x:c>
      <x:c r="K51" s="2" t="n">
        <x:f>IF(E51=H51,1,0)</x:f>
        <x:v>0</x:v>
      </x:c>
      <x:c r="L51" s="2" t="str">
        <x:v>Ed / Josh</x:v>
      </x:c>
      <x:c r="M51" t="str"/>
      <x:c r="N51" t="str">
        <x:v>Supplied</x:v>
      </x:c>
      <x:c r="O51" t="str"/>
    </x:row>
    <x:row r="52" ht="22" customHeight="1">
      <x:c r="A52" s="2" t="n">
        <x:v>5</x:v>
      </x:c>
      <x:c r="B52" s="2" t="str">
        <x:v>Regular</x:v>
      </x:c>
      <x:c r="C52" s="2" t="str">
        <x:v>Mike</x:v>
      </x:c>
      <x:c r="D52" s="2" t="str">
        <x:v>Team Questionable</x:v>
      </x:c>
      <x:c r="E52" s="15" t="n">
        <x:v>114</x:v>
      </x:c>
      <x:c r="F52" s="2" t="str">
        <x:v>Nick</x:v>
      </x:c>
      <x:c r="G52" s="2" t="str">
        <x:v>Team Scoops</x:v>
      </x:c>
      <x:c r="H52" s="15" t="n">
        <x:v>141.5</x:v>
      </x:c>
      <x:c r="I52" s="2" t="str">
        <x:f>IF(E52&gt;H52,C52,IF(E52&lt;H52,F52,"Tie"))</x:f>
        <x:v>Nick</x:v>
      </x:c>
      <x:c r="J52" s="2" t="str">
        <x:f>IF(E52&gt;H52,F52,IF(E52&lt;H52,C52,"Tie"))</x:f>
        <x:v>Mike</x:v>
      </x:c>
      <x:c r="K52" s="2" t="n">
        <x:f>IF(E52=H52,1,0)</x:f>
        <x:v>0</x:v>
      </x:c>
      <x:c r="L52" s="2" t="str">
        <x:v>Mike / Nick</x:v>
      </x:c>
      <x:c r="M52" t="str"/>
      <x:c r="N52" t="str">
        <x:v>Supplied</x:v>
      </x:c>
      <x:c r="O52" t="str"/>
    </x:row>
    <x:row r="53" ht="22" customHeight="1">
      <x:c r="A53" s="2" t="n">
        <x:v>5</x:v>
      </x:c>
      <x:c r="B53" s="2" t="str">
        <x:v>Regular</x:v>
      </x:c>
      <x:c r="C53" s="2" t="str">
        <x:v>Paul</x:v>
      </x:c>
      <x:c r="D53" s="2" t="str">
        <x:v>Space Dogs</x:v>
      </x:c>
      <x:c r="E53" s="15" t="n">
        <x:v>150.5</x:v>
      </x:c>
      <x:c r="F53" s="2" t="str">
        <x:v>Michael</x:v>
      </x:c>
      <x:c r="G53" s="2" t="str">
        <x:v>Big Butler Bids</x:v>
      </x:c>
      <x:c r="H53" s="15" t="n">
        <x:v>139.15</x:v>
      </x:c>
      <x:c r="I53" s="2" t="str">
        <x:f>IF(E53&gt;H53,C53,IF(E53&lt;H53,F53,"Tie"))</x:f>
        <x:v>Paul</x:v>
      </x:c>
      <x:c r="J53" s="2" t="str">
        <x:f>IF(E53&gt;H53,F53,IF(E53&lt;H53,C53,"Tie"))</x:f>
        <x:v>Michael</x:v>
      </x:c>
      <x:c r="K53" s="2" t="n">
        <x:f>IF(E53=H53,1,0)</x:f>
        <x:v>0</x:v>
      </x:c>
      <x:c r="L53" s="2" t="str">
        <x:v>Michael / Paul</x:v>
      </x:c>
      <x:c r="M53" t="str"/>
      <x:c r="N53" t="str">
        <x:v>Supplied</x:v>
      </x:c>
      <x:c r="O53" t="str"/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139.75</x:v>
      </x:c>
      <x:c r="F54" s="2" t="str">
        <x:v>Michael</x:v>
      </x:c>
      <x:c r="G54" s="2" t="str">
        <x:v>Big Butler Bids</x:v>
      </x:c>
      <x:c r="H54" s="15" t="n">
        <x:v>141.35</x:v>
      </x:c>
      <x:c r="I54" s="2" t="str">
        <x:f>IF(E54&gt;H54,C54,IF(E54&lt;H54,F54,"Tie"))</x:f>
        <x:v>Michael</x:v>
      </x:c>
      <x:c r="J54" s="2" t="str">
        <x:f>IF(E54&gt;H54,F54,IF(E54&lt;H54,C54,"Tie"))</x:f>
        <x:v>Bruce</x:v>
      </x:c>
      <x:c r="K54" s="2" t="n">
        <x:f>IF(E54=H54,1,0)</x:f>
        <x:v>0</x:v>
      </x:c>
      <x:c r="L54" s="2" t="str">
        <x:v>Bruce / Michael</x:v>
      </x:c>
      <x:c r="M54" t="str"/>
      <x:c r="N54" t="str">
        <x:v>Supplied</x:v>
      </x:c>
      <x:c r="O54" t="str">
        <x:v>*</x:v>
      </x:c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143.25</x:v>
      </x:c>
      <x:c r="F55" s="2" t="str">
        <x:v>Dave</x:v>
      </x:c>
      <x:c r="G55" s="2" t="str">
        <x:v>Mr. Girth</x:v>
      </x:c>
      <x:c r="H55" s="15" t="n">
        <x:v>121.9</x:v>
      </x:c>
      <x:c r="I55" s="2" t="str">
        <x:f>IF(E55&gt;H55,C55,IF(E55&lt;H55,F55,"Tie"))</x:f>
        <x:v>Craig</x:v>
      </x:c>
      <x:c r="J55" s="2" t="str">
        <x:f>IF(E55&gt;H55,F55,IF(E55&lt;H55,C55,"Tie"))</x:f>
        <x:v>Dave</x:v>
      </x:c>
      <x:c r="K55" s="2" t="n">
        <x:f>IF(E55=H55,1,0)</x:f>
        <x:v>0</x:v>
      </x:c>
      <x:c r="L55" s="2" t="str">
        <x:v>Craig / Dave</x:v>
      </x:c>
      <x:c r="M55" t="str"/>
      <x:c r="N55" t="str">
        <x:v>Supplied</x:v>
      </x:c>
      <x:c r="O55" t="str">
        <x:v>*</x:v>
      </x:c>
    </x:row>
    <x:row r="56" ht="22" customHeight="1">
      <x:c r="A56" s="2" t="n">
        <x:v>6</x:v>
      </x:c>
      <x:c r="B56" s="2" t="str">
        <x:v>Regular</x:v>
      </x:c>
      <x:c r="C56" s="2" t="str">
        <x:v>Ed</x:v>
      </x:c>
      <x:c r="D56" s="2" t="str">
        <x:v>Fu¢ked Again</x:v>
      </x:c>
      <x:c r="E56" s="15" t="n">
        <x:v>103.55</x:v>
      </x:c>
      <x:c r="F56" s="2" t="str">
        <x:v>Mike</x:v>
      </x:c>
      <x:c r="G56" s="2" t="str">
        <x:v>Team Questionable</x:v>
      </x:c>
      <x:c r="H56" s="15" t="n">
        <x:v>82.35</x:v>
      </x:c>
      <x:c r="I56" s="2" t="str">
        <x:f>IF(E56&gt;H56,C56,IF(E56&lt;H56,F56,"Tie"))</x:f>
        <x:v>Ed</x:v>
      </x:c>
      <x:c r="J56" s="2" t="str">
        <x:f>IF(E56&gt;H56,F56,IF(E56&lt;H56,C56,"Tie"))</x:f>
        <x:v>Mike</x:v>
      </x:c>
      <x:c r="K56" s="2" t="n">
        <x:f>IF(E56=H56,1,0)</x:f>
        <x:v>0</x:v>
      </x:c>
      <x:c r="L56" s="2" t="str">
        <x:v>Ed / Mike</x:v>
      </x:c>
      <x:c r="M56" t="str"/>
      <x:c r="N56" t="str">
        <x:v>Supplied</x:v>
      </x:c>
      <x:c r="O56" t="str">
        <x:v>*</x:v>
      </x:c>
    </x:row>
    <x:row r="57" ht="22" customHeight="1">
      <x:c r="A57" s="2" t="n">
        <x:v>6</x:v>
      </x:c>
      <x:c r="B57" s="2" t="str">
        <x:v>Regular</x:v>
      </x:c>
      <x:c r="C57" s="2" t="str">
        <x:v>Frank</x:v>
      </x:c>
      <x:c r="D57" s="2" t="str">
        <x:v>Hawk Tua's</x:v>
      </x:c>
      <x:c r="E57" s="15" t="n">
        <x:v>76.5</x:v>
      </x:c>
      <x:c r="F57" s="2" t="str">
        <x:v>Paul</x:v>
      </x:c>
      <x:c r="G57" s="2" t="str">
        <x:v>Space Dogs</x:v>
      </x:c>
      <x:c r="H57" s="15" t="n">
        <x:v>113.15</x:v>
      </x:c>
      <x:c r="I57" s="2" t="str">
        <x:f>IF(E57&gt;H57,C57,IF(E57&lt;H57,F57,"Tie"))</x:f>
        <x:v>Paul</x:v>
      </x:c>
      <x:c r="J57" s="2" t="str">
        <x:f>IF(E57&gt;H57,F57,IF(E57&lt;H57,C57,"Tie"))</x:f>
        <x:v>Frank</x:v>
      </x:c>
      <x:c r="K57" s="2" t="n">
        <x:f>IF(E57=H57,1,0)</x:f>
        <x:v>0</x:v>
      </x:c>
      <x:c r="L57" s="2" t="str">
        <x:v>Frank / Paul</x:v>
      </x:c>
      <x:c r="M57" t="str"/>
      <x:c r="N57" t="str">
        <x:v>Supplied</x:v>
      </x:c>
      <x:c r="O57" t="str">
        <x:v>*</x:v>
      </x:c>
    </x:row>
    <x:row r="58" ht="22" customHeight="1">
      <x:c r="A58" s="2" t="n">
        <x:v>6</x:v>
      </x:c>
      <x:c r="B58" s="2" t="str">
        <x:v>Regular</x:v>
      </x:c>
      <x:c r="C58" s="2" t="str">
        <x:v>Josh</x:v>
      </x:c>
      <x:c r="D58" s="2" t="str">
        <x:v>Mike Drunkdaniels</x:v>
      </x:c>
      <x:c r="E58" s="15" t="n">
        <x:v>122.4</x:v>
      </x:c>
      <x:c r="F58" s="2" t="str">
        <x:v>Nick</x:v>
      </x:c>
      <x:c r="G58" s="2" t="str">
        <x:v>Team Scoops</x:v>
      </x:c>
      <x:c r="H58" s="15" t="n">
        <x:v>146.25</x:v>
      </x:c>
      <x:c r="I58" s="2" t="str">
        <x:f>IF(E58&gt;H58,C58,IF(E58&lt;H58,F58,"Tie"))</x:f>
        <x:v>Nick</x:v>
      </x:c>
      <x:c r="J58" s="2" t="str">
        <x:f>IF(E58&gt;H58,F58,IF(E58&lt;H58,C58,"Tie"))</x:f>
        <x:v>Josh</x:v>
      </x:c>
      <x:c r="K58" s="2" t="n">
        <x:f>IF(E58=H58,1,0)</x:f>
        <x:v>0</x:v>
      </x:c>
      <x:c r="L58" s="2" t="str">
        <x:v>Josh / Nick</x:v>
      </x:c>
      <x:c r="M58" t="str"/>
      <x:c r="N58" t="str">
        <x:v>Supplied</x:v>
      </x:c>
      <x:c r="O58" t="str">
        <x:v>*</x:v>
      </x:c>
    </x:row>
    <x:row r="59" ht="22" customHeight="1">
      <x:c r="A59" s="2" t="n">
        <x:v>6</x:v>
      </x:c>
      <x:c r="B59" s="2" t="str">
        <x:v>Regular</x:v>
      </x:c>
      <x:c r="C59" s="2" t="str">
        <x:v>Mark</x:v>
      </x:c>
      <x:c r="D59" s="2" t="str">
        <x:v>wacky waving arms</x:v>
      </x:c>
      <x:c r="E59" s="15" t="n">
        <x:v>125.3</x:v>
      </x:c>
      <x:c r="F59" s="2" t="str">
        <x:v>Matt</x:v>
      </x:c>
      <x:c r="G59" s="2" t="str">
        <x:v>Mr.Montana</x:v>
      </x:c>
      <x:c r="H59" s="15" t="n">
        <x:v>93.4</x:v>
      </x:c>
      <x:c r="I59" s="2" t="str">
        <x:f>IF(E59&gt;H59,C59,IF(E59&lt;H59,F59,"Tie"))</x:f>
        <x:v>Mark</x:v>
      </x:c>
      <x:c r="J59" s="2" t="str">
        <x:f>IF(E59&gt;H59,F59,IF(E59&lt;H59,C59,"Tie"))</x:f>
        <x:v>Matt</x:v>
      </x:c>
      <x:c r="K59" s="2" t="n">
        <x:f>IF(E59=H59,1,0)</x:f>
        <x:v>0</x:v>
      </x:c>
      <x:c r="L59" s="2" t="str">
        <x:v>Mark / Matt</x:v>
      </x:c>
      <x:c r="M59" t="str"/>
      <x:c r="N59" t="str">
        <x:v>Supplied</x:v>
      </x:c>
      <x:c r="O59" t="str">
        <x:v>*</x:v>
      </x:c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124.3</x:v>
      </x:c>
      <x:c r="F60" s="2" t="str">
        <x:v>Nick</x:v>
      </x:c>
      <x:c r="G60" s="2" t="str">
        <x:v>Team Scoops</x:v>
      </x:c>
      <x:c r="H60" s="15" t="n">
        <x:v>105</x:v>
      </x:c>
      <x:c r="I60" s="2" t="str">
        <x:f>IF(E60&gt;H60,C60,IF(E60&lt;H60,F60,"Tie"))</x:f>
        <x:v>Bruce</x:v>
      </x:c>
      <x:c r="J60" s="2" t="str">
        <x:f>IF(E60&gt;H60,F60,IF(E60&lt;H60,C60,"Tie"))</x:f>
        <x:v>Nick</x:v>
      </x:c>
      <x:c r="K60" s="2" t="n">
        <x:f>IF(E60=H60,1,0)</x:f>
        <x:v>0</x:v>
      </x:c>
      <x:c r="L60" s="2" t="str">
        <x:v>Bruce / Nick</x:v>
      </x:c>
      <x:c r="M60" t="str"/>
      <x:c r="N60" t="str">
        <x:v>Supplied</x:v>
      </x:c>
      <x:c r="O60" t="str"/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105.4</x:v>
      </x:c>
      <x:c r="F61" s="2" t="str">
        <x:v>Paul</x:v>
      </x:c>
      <x:c r="G61" s="2" t="str">
        <x:v>Space Dogs</x:v>
      </x:c>
      <x:c r="H61" s="15" t="n">
        <x:v>135.55</x:v>
      </x:c>
      <x:c r="I61" s="2" t="str">
        <x:f>IF(E61&gt;H61,C61,IF(E61&lt;H61,F61,"Tie"))</x:f>
        <x:v>Paul</x:v>
      </x:c>
      <x:c r="J61" s="2" t="str">
        <x:f>IF(E61&gt;H61,F61,IF(E61&lt;H61,C61,"Tie"))</x:f>
        <x:v>Craig</x:v>
      </x:c>
      <x:c r="K61" s="2" t="n">
        <x:f>IF(E61=H61,1,0)</x:f>
        <x:v>0</x:v>
      </x:c>
      <x:c r="L61" s="2" t="str">
        <x:v>Craig / Paul</x:v>
      </x:c>
      <x:c r="M61" t="str"/>
      <x:c r="N61" t="str">
        <x:v>Supplied</x:v>
      </x:c>
      <x:c r="O61" t="str"/>
    </x:row>
    <x:row r="62" ht="22" customHeight="1">
      <x:c r="A62" s="2" t="n">
        <x:v>7</x:v>
      </x:c>
      <x:c r="B62" s="2" t="str">
        <x:v>Regular</x:v>
      </x:c>
      <x:c r="C62" s="2" t="str">
        <x:v>Dave</x:v>
      </x:c>
      <x:c r="D62" s="2" t="str">
        <x:v>Mr. Girth</x:v>
      </x:c>
      <x:c r="E62" s="15" t="n">
        <x:v>101.45</x:v>
      </x:c>
      <x:c r="F62" s="2" t="str">
        <x:v>Frank</x:v>
      </x:c>
      <x:c r="G62" s="2" t="str">
        <x:v>Hawk Tua's</x:v>
      </x:c>
      <x:c r="H62" s="15" t="n">
        <x:v>75.45</x:v>
      </x:c>
      <x:c r="I62" s="2" t="str">
        <x:f>IF(E62&gt;H62,C62,IF(E62&lt;H62,F62,"Tie"))</x:f>
        <x:v>Dave</x:v>
      </x:c>
      <x:c r="J62" s="2" t="str">
        <x:f>IF(E62&gt;H62,F62,IF(E62&lt;H62,C62,"Tie"))</x:f>
        <x:v>Frank</x:v>
      </x:c>
      <x:c r="K62" s="2" t="n">
        <x:f>IF(E62=H62,1,0)</x:f>
        <x:v>0</x:v>
      </x:c>
      <x:c r="L62" s="2" t="str">
        <x:v>Dave / Frank</x:v>
      </x:c>
      <x:c r="M62" t="str"/>
      <x:c r="N62" t="str">
        <x:v>Supplied</x:v>
      </x:c>
      <x:c r="O62" t="str"/>
    </x:row>
    <x:row r="63" ht="22" customHeight="1">
      <x:c r="A63" s="2" t="n">
        <x:v>7</x:v>
      </x:c>
      <x:c r="B63" s="2" t="str">
        <x:v>Regular</x:v>
      </x:c>
      <x:c r="C63" s="2" t="str">
        <x:v>Ed</x:v>
      </x:c>
      <x:c r="D63" s="2" t="str">
        <x:v>Fu¢ked Again</x:v>
      </x:c>
      <x:c r="E63" s="15" t="n">
        <x:v>116.55</x:v>
      </x:c>
      <x:c r="F63" s="2" t="str">
        <x:v>Matt</x:v>
      </x:c>
      <x:c r="G63" s="2" t="str">
        <x:v>Mr.Montana</x:v>
      </x:c>
      <x:c r="H63" s="15" t="n">
        <x:v>88.05</x:v>
      </x:c>
      <x:c r="I63" s="2" t="str">
        <x:f>IF(E63&gt;H63,C63,IF(E63&lt;H63,F63,"Tie"))</x:f>
        <x:v>Ed</x:v>
      </x:c>
      <x:c r="J63" s="2" t="str">
        <x:f>IF(E63&gt;H63,F63,IF(E63&lt;H63,C63,"Tie"))</x:f>
        <x:v>Matt</x:v>
      </x:c>
      <x:c r="K63" s="2" t="n">
        <x:f>IF(E63=H63,1,0)</x:f>
        <x:v>0</x:v>
      </x:c>
      <x:c r="L63" s="2" t="str">
        <x:v>Ed / Matt</x:v>
      </x:c>
      <x:c r="M63" t="str"/>
      <x:c r="N63" t="str">
        <x:v>Supplied</x:v>
      </x:c>
      <x:c r="O63" t="str"/>
    </x:row>
    <x:row r="64" ht="22" customHeight="1">
      <x:c r="A64" s="2" t="n">
        <x:v>7</x:v>
      </x:c>
      <x:c r="B64" s="2" t="str">
        <x:v>Regular</x:v>
      </x:c>
      <x:c r="C64" s="2" t="str">
        <x:v>Mike</x:v>
      </x:c>
      <x:c r="D64" s="2" t="str">
        <x:v>Team Questionable</x:v>
      </x:c>
      <x:c r="E64" s="15" t="n">
        <x:v>97.4</x:v>
      </x:c>
      <x:c r="F64" s="2" t="str">
        <x:v>Mark</x:v>
      </x:c>
      <x:c r="G64" s="2" t="str">
        <x:v>wacky waving arms</x:v>
      </x:c>
      <x:c r="H64" s="15" t="n">
        <x:v>110.45</x:v>
      </x:c>
      <x:c r="I64" s="2" t="str">
        <x:f>IF(E64&gt;H64,C64,IF(E64&lt;H64,F64,"Tie"))</x:f>
        <x:v>Mark</x:v>
      </x:c>
      <x:c r="J64" s="2" t="str">
        <x:f>IF(E64&gt;H64,F64,IF(E64&lt;H64,C64,"Tie"))</x:f>
        <x:v>Mike</x:v>
      </x:c>
      <x:c r="K64" s="2" t="n">
        <x:f>IF(E64=H64,1,0)</x:f>
        <x:v>0</x:v>
      </x:c>
      <x:c r="L64" s="2" t="str">
        <x:v>Mark / Mike</x:v>
      </x:c>
      <x:c r="M64" t="str"/>
      <x:c r="N64" t="str">
        <x:v>Supplied</x:v>
      </x:c>
      <x:c r="O64" t="str"/>
    </x:row>
    <x:row r="65" ht="22" customHeight="1">
      <x:c r="A65" s="2" t="n">
        <x:v>7</x:v>
      </x:c>
      <x:c r="B65" s="2" t="str">
        <x:v>Regular</x:v>
      </x:c>
      <x:c r="C65" s="2" t="str">
        <x:v>Josh</x:v>
      </x:c>
      <x:c r="D65" s="2" t="str">
        <x:v>Mike Drunkdaniels</x:v>
      </x:c>
      <x:c r="E65" s="15" t="n">
        <x:v>128.9</x:v>
      </x:c>
      <x:c r="F65" s="2" t="str">
        <x:v>Michael</x:v>
      </x:c>
      <x:c r="G65" s="2" t="str">
        <x:v>Big Butler Bids</x:v>
      </x:c>
      <x:c r="H65" s="15" t="n">
        <x:v>133.8</x:v>
      </x:c>
      <x:c r="I65" s="2" t="str">
        <x:f>IF(E65&gt;H65,C65,IF(E65&lt;H65,F65,"Tie"))</x:f>
        <x:v>Michael</x:v>
      </x:c>
      <x:c r="J65" s="2" t="str">
        <x:f>IF(E65&gt;H65,F65,IF(E65&lt;H65,C65,"Tie"))</x:f>
        <x:v>Josh</x:v>
      </x:c>
      <x:c r="K65" s="2" t="n">
        <x:f>IF(E65=H65,1,0)</x:f>
        <x:v>0</x:v>
      </x:c>
      <x:c r="L65" s="2" t="str">
        <x:v>Josh / Michael</x:v>
      </x:c>
      <x:c r="M65" t="str"/>
      <x:c r="N65" t="str">
        <x:v>Supplied</x:v>
      </x:c>
      <x:c r="O65" t="str"/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119.55</x:v>
      </x:c>
      <x:c r="F66" s="2" t="str">
        <x:v>Mike</x:v>
      </x:c>
      <x:c r="G66" s="2" t="str">
        <x:v>Team Questionable</x:v>
      </x:c>
      <x:c r="H66" s="15" t="n">
        <x:v>116.6</x:v>
      </x:c>
      <x:c r="I66" s="2" t="str">
        <x:f>IF(E66&gt;H66,C66,IF(E66&lt;H66,F66,"Tie"))</x:f>
        <x:v>Bruce</x:v>
      </x:c>
      <x:c r="J66" s="2" t="str">
        <x:f>IF(E66&gt;H66,F66,IF(E66&lt;H66,C66,"Tie"))</x:f>
        <x:v>Mike</x:v>
      </x:c>
      <x:c r="K66" s="2" t="n">
        <x:f>IF(E66=H66,1,0)</x:f>
        <x:v>0</x:v>
      </x:c>
      <x:c r="L66" s="2" t="str">
        <x:v>Bruce / Mike</x:v>
      </x:c>
      <x:c r="M66" t="str"/>
      <x:c r="N66" t="str">
        <x:v>Supplied</x:v>
      </x:c>
      <x:c r="O66" t="str">
        <x:v>*</x:v>
      </x:c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119.65</x:v>
      </x:c>
      <x:c r="F67" s="2" t="str">
        <x:v>Josh</x:v>
      </x:c>
      <x:c r="G67" s="2" t="str">
        <x:v>Mike Drunkdaniels</x:v>
      </x:c>
      <x:c r="H67" s="15" t="n">
        <x:v>137.5</x:v>
      </x:c>
      <x:c r="I67" s="2" t="str">
        <x:f>IF(E67&gt;H67,C67,IF(E67&lt;H67,F67,"Tie"))</x:f>
        <x:v>Josh</x:v>
      </x:c>
      <x:c r="J67" s="2" t="str">
        <x:f>IF(E67&gt;H67,F67,IF(E67&lt;H67,C67,"Tie"))</x:f>
        <x:v>Craig</x:v>
      </x:c>
      <x:c r="K67" s="2" t="n">
        <x:f>IF(E67=H67,1,0)</x:f>
        <x:v>0</x:v>
      </x:c>
      <x:c r="L67" s="2" t="str">
        <x:v>Craig / Josh</x:v>
      </x:c>
      <x:c r="M67" t="str"/>
      <x:c r="N67" t="str">
        <x:v>Supplied</x:v>
      </x:c>
      <x:c r="O67" t="str">
        <x:v>*</x:v>
      </x:c>
    </x:row>
    <x:row r="68" ht="22" customHeight="1">
      <x:c r="A68" s="2" t="n">
        <x:v>8</x:v>
      </x:c>
      <x:c r="B68" s="2" t="str">
        <x:v>Regular</x:v>
      </x:c>
      <x:c r="C68" s="2" t="str">
        <x:v>Dave</x:v>
      </x:c>
      <x:c r="D68" s="2" t="str">
        <x:v>Mr. Girth</x:v>
      </x:c>
      <x:c r="E68" s="15" t="n">
        <x:v>107.4</x:v>
      </x:c>
      <x:c r="F68" s="2" t="str">
        <x:v>Nick</x:v>
      </x:c>
      <x:c r="G68" s="2" t="str">
        <x:v>Team Scoops</x:v>
      </x:c>
      <x:c r="H68" s="15" t="n">
        <x:v>129.9</x:v>
      </x:c>
      <x:c r="I68" s="2" t="str">
        <x:f>IF(E68&gt;H68,C68,IF(E68&lt;H68,F68,"Tie"))</x:f>
        <x:v>Nick</x:v>
      </x:c>
      <x:c r="J68" s="2" t="str">
        <x:f>IF(E68&gt;H68,F68,IF(E68&lt;H68,C68,"Tie"))</x:f>
        <x:v>Dave</x:v>
      </x:c>
      <x:c r="K68" s="2" t="n">
        <x:f>IF(E68=H68,1,0)</x:f>
        <x:v>0</x:v>
      </x:c>
      <x:c r="L68" s="2" t="str">
        <x:v>Dave / Nick</x:v>
      </x:c>
      <x:c r="M68" t="str"/>
      <x:c r="N68" t="str">
        <x:v>Supplied</x:v>
      </x:c>
      <x:c r="O68" t="str">
        <x:v>*</x:v>
      </x:c>
    </x:row>
    <x:row r="69" ht="22" customHeight="1">
      <x:c r="A69" s="2" t="n">
        <x:v>8</x:v>
      </x:c>
      <x:c r="B69" s="2" t="str">
        <x:v>Regular</x:v>
      </x:c>
      <x:c r="C69" s="2" t="str">
        <x:v>Ed</x:v>
      </x:c>
      <x:c r="D69" s="2" t="str">
        <x:v>Fu¢ked Again</x:v>
      </x:c>
      <x:c r="E69" s="15" t="n">
        <x:v>100.75</x:v>
      </x:c>
      <x:c r="F69" s="2" t="str">
        <x:v>Michael</x:v>
      </x:c>
      <x:c r="G69" s="2" t="str">
        <x:v>Big Butler Bids</x:v>
      </x:c>
      <x:c r="H69" s="15" t="n">
        <x:v>170.4</x:v>
      </x:c>
      <x:c r="I69" s="2" t="str">
        <x:f>IF(E69&gt;H69,C69,IF(E69&lt;H69,F69,"Tie"))</x:f>
        <x:v>Michael</x:v>
      </x:c>
      <x:c r="J69" s="2" t="str">
        <x:f>IF(E69&gt;H69,F69,IF(E69&lt;H69,C69,"Tie"))</x:f>
        <x:v>Ed</x:v>
      </x:c>
      <x:c r="K69" s="2" t="n">
        <x:f>IF(E69=H69,1,0)</x:f>
        <x:v>0</x:v>
      </x:c>
      <x:c r="L69" s="2" t="str">
        <x:v>Ed / Michael</x:v>
      </x:c>
      <x:c r="M69" t="str"/>
      <x:c r="N69" t="str">
        <x:v>Supplied</x:v>
      </x:c>
      <x:c r="O69" t="str">
        <x:v>*</x:v>
      </x:c>
    </x:row>
    <x:row r="70" ht="22" customHeight="1">
      <x:c r="A70" s="2" t="n">
        <x:v>8</x:v>
      </x:c>
      <x:c r="B70" s="2" t="str">
        <x:v>Regular</x:v>
      </x:c>
      <x:c r="C70" s="2" t="str">
        <x:v>Frank</x:v>
      </x:c>
      <x:c r="D70" s="2" t="str">
        <x:v>Hawk Tua's</x:v>
      </x:c>
      <x:c r="E70" s="15" t="n">
        <x:v>113.2</x:v>
      </x:c>
      <x:c r="F70" s="2" t="str">
        <x:v>Mark</x:v>
      </x:c>
      <x:c r="G70" s="2" t="str">
        <x:v>wacky waving arms</x:v>
      </x:c>
      <x:c r="H70" s="15" t="n">
        <x:v>144.6</x:v>
      </x:c>
      <x:c r="I70" s="2" t="str">
        <x:f>IF(E70&gt;H70,C70,IF(E70&lt;H70,F70,"Tie"))</x:f>
        <x:v>Mark</x:v>
      </x:c>
      <x:c r="J70" s="2" t="str">
        <x:f>IF(E70&gt;H70,F70,IF(E70&lt;H70,C70,"Tie"))</x:f>
        <x:v>Frank</x:v>
      </x:c>
      <x:c r="K70" s="2" t="n">
        <x:f>IF(E70=H70,1,0)</x:f>
        <x:v>0</x:v>
      </x:c>
      <x:c r="L70" s="2" t="str">
        <x:v>Frank / Mark</x:v>
      </x:c>
      <x:c r="M70" t="str"/>
      <x:c r="N70" t="str">
        <x:v>Supplied</x:v>
      </x:c>
      <x:c r="O70" t="str">
        <x:v>*</x:v>
      </x:c>
    </x:row>
    <x:row r="71" ht="22" customHeight="1">
      <x:c r="A71" s="2" t="n">
        <x:v>8</x:v>
      </x:c>
      <x:c r="B71" s="2" t="str">
        <x:v>Regular</x:v>
      </x:c>
      <x:c r="C71" s="2" t="str">
        <x:v>Paul</x:v>
      </x:c>
      <x:c r="D71" s="2" t="str">
        <x:v>Space Dogs</x:v>
      </x:c>
      <x:c r="E71" s="15" t="n">
        <x:v>112.9</x:v>
      </x:c>
      <x:c r="F71" s="2" t="str">
        <x:v>Matt</x:v>
      </x:c>
      <x:c r="G71" s="2" t="str">
        <x:v>Mr.Montana</x:v>
      </x:c>
      <x:c r="H71" s="15" t="n">
        <x:v>139</x:v>
      </x:c>
      <x:c r="I71" s="2" t="str">
        <x:f>IF(E71&gt;H71,C71,IF(E71&lt;H71,F71,"Tie"))</x:f>
        <x:v>Matt</x:v>
      </x:c>
      <x:c r="J71" s="2" t="str">
        <x:f>IF(E71&gt;H71,F71,IF(E71&lt;H71,C71,"Tie"))</x:f>
        <x:v>Paul</x:v>
      </x:c>
      <x:c r="K71" s="2" t="n">
        <x:f>IF(E71=H71,1,0)</x:f>
        <x:v>0</x:v>
      </x:c>
      <x:c r="L71" s="2" t="str">
        <x:v>Matt / Paul</x:v>
      </x:c>
      <x:c r="M71" t="str"/>
      <x:c r="N71" t="str">
        <x:v>Supplied</x:v>
      </x:c>
      <x:c r="O71" t="str">
        <x:v>*</x:v>
      </x:c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143.95</x:v>
      </x:c>
      <x:c r="F72" s="2" t="str">
        <x:v>Matt</x:v>
      </x:c>
      <x:c r="G72" s="2" t="str">
        <x:v>Mr.Montana</x:v>
      </x:c>
      <x:c r="H72" s="15" t="n">
        <x:v>120.15</x:v>
      </x:c>
      <x:c r="I72" s="2" t="str">
        <x:f>IF(E72&gt;H72,C72,IF(E72&lt;H72,F72,"Tie"))</x:f>
        <x:v>Bruce</x:v>
      </x:c>
      <x:c r="J72" s="2" t="str">
        <x:f>IF(E72&gt;H72,F72,IF(E72&lt;H72,C72,"Tie"))</x:f>
        <x:v>Matt</x:v>
      </x:c>
      <x:c r="K72" s="2" t="n">
        <x:f>IF(E72=H72,1,0)</x:f>
        <x:v>0</x:v>
      </x:c>
      <x:c r="L72" s="2" t="str">
        <x:v>Bruce / Matt</x:v>
      </x:c>
      <x:c r="M72" t="str"/>
      <x:c r="N72" t="str">
        <x:v>Supplied</x:v>
      </x:c>
      <x:c r="O72" t="str"/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96.55</x:v>
      </x:c>
      <x:c r="F73" s="2" t="str">
        <x:v>Frank</x:v>
      </x:c>
      <x:c r="G73" s="2" t="str">
        <x:v>Hawk Tua's</x:v>
      </x:c>
      <x:c r="H73" s="15" t="n">
        <x:v>128.45</x:v>
      </x:c>
      <x:c r="I73" s="2" t="str">
        <x:f>IF(E73&gt;H73,C73,IF(E73&lt;H73,F73,"Tie"))</x:f>
        <x:v>Frank</x:v>
      </x:c>
      <x:c r="J73" s="2" t="str">
        <x:f>IF(E73&gt;H73,F73,IF(E73&lt;H73,C73,"Tie"))</x:f>
        <x:v>Craig</x:v>
      </x:c>
      <x:c r="K73" s="2" t="n">
        <x:f>IF(E73=H73,1,0)</x:f>
        <x:v>0</x:v>
      </x:c>
      <x:c r="L73" s="2" t="str">
        <x:v>Craig / Frank</x:v>
      </x:c>
      <x:c r="M73" t="str"/>
      <x:c r="N73" t="str">
        <x:v>Supplied</x:v>
      </x:c>
      <x:c r="O73" t="str"/>
    </x:row>
    <x:row r="74" ht="22" customHeight="1">
      <x:c r="A74" s="2" t="n">
        <x:v>9</x:v>
      </x:c>
      <x:c r="B74" s="2" t="str">
        <x:v>Regular</x:v>
      </x:c>
      <x:c r="C74" s="2" t="str">
        <x:v>Dave</x:v>
      </x:c>
      <x:c r="D74" s="2" t="str">
        <x:v>Mr. Girth</x:v>
      </x:c>
      <x:c r="E74" s="15" t="n">
        <x:v>94.75</x:v>
      </x:c>
      <x:c r="F74" s="2" t="str">
        <x:v>Ed</x:v>
      </x:c>
      <x:c r="G74" s="2" t="str">
        <x:v>Fu¢ked Again</x:v>
      </x:c>
      <x:c r="H74" s="15" t="n">
        <x:v>102.65</x:v>
      </x:c>
      <x:c r="I74" s="2" t="str">
        <x:f>IF(E74&gt;H74,C74,IF(E74&lt;H74,F74,"Tie"))</x:f>
        <x:v>Ed</x:v>
      </x:c>
      <x:c r="J74" s="2" t="str">
        <x:f>IF(E74&gt;H74,F74,IF(E74&lt;H74,C74,"Tie"))</x:f>
        <x:v>Dave</x:v>
      </x:c>
      <x:c r="K74" s="2" t="n">
        <x:f>IF(E74=H74,1,0)</x:f>
        <x:v>0</x:v>
      </x:c>
      <x:c r="L74" s="2" t="str">
        <x:v>Dave / Ed</x:v>
      </x:c>
      <x:c r="M74" t="str"/>
      <x:c r="N74" t="str">
        <x:v>Supplied</x:v>
      </x:c>
      <x:c r="O74" t="str"/>
    </x:row>
    <x:row r="75" ht="22" customHeight="1">
      <x:c r="A75" s="2" t="n">
        <x:v>9</x:v>
      </x:c>
      <x:c r="B75" s="2" t="str">
        <x:v>Regular</x:v>
      </x:c>
      <x:c r="C75" s="2" t="str">
        <x:v>Mike</x:v>
      </x:c>
      <x:c r="D75" s="2" t="str">
        <x:v>Team Questionable</x:v>
      </x:c>
      <x:c r="E75" s="15" t="n">
        <x:v>118.25</x:v>
      </x:c>
      <x:c r="F75" s="2" t="str">
        <x:v>Paul</x:v>
      </x:c>
      <x:c r="G75" s="2" t="str">
        <x:v>Space Dogs</x:v>
      </x:c>
      <x:c r="H75" s="15" t="n">
        <x:v>98.2</x:v>
      </x:c>
      <x:c r="I75" s="2" t="str">
        <x:f>IF(E75&gt;H75,C75,IF(E75&lt;H75,F75,"Tie"))</x:f>
        <x:v>Mike</x:v>
      </x:c>
      <x:c r="J75" s="2" t="str">
        <x:f>IF(E75&gt;H75,F75,IF(E75&lt;H75,C75,"Tie"))</x:f>
        <x:v>Paul</x:v>
      </x:c>
      <x:c r="K75" s="2" t="n">
        <x:f>IF(E75=H75,1,0)</x:f>
        <x:v>0</x:v>
      </x:c>
      <x:c r="L75" s="2" t="str">
        <x:v>Mike / Paul</x:v>
      </x:c>
      <x:c r="M75" t="str"/>
      <x:c r="N75" t="str">
        <x:v>Supplied</x:v>
      </x:c>
      <x:c r="O75" t="str"/>
    </x:row>
    <x:row r="76" ht="22" customHeight="1">
      <x:c r="A76" s="2" t="n">
        <x:v>9</x:v>
      </x:c>
      <x:c r="B76" s="2" t="str">
        <x:v>Regular</x:v>
      </x:c>
      <x:c r="C76" s="2" t="str">
        <x:v>Josh</x:v>
      </x:c>
      <x:c r="D76" s="2" t="str">
        <x:v>Mike Drunkdaniels</x:v>
      </x:c>
      <x:c r="E76" s="15" t="n">
        <x:v>141.5</x:v>
      </x:c>
      <x:c r="F76" s="2" t="str">
        <x:v>Mark</x:v>
      </x:c>
      <x:c r="G76" s="2" t="str">
        <x:v>wacky waving arms</x:v>
      </x:c>
      <x:c r="H76" s="15" t="n">
        <x:v>155.7</x:v>
      </x:c>
      <x:c r="I76" s="2" t="str">
        <x:f>IF(E76&gt;H76,C76,IF(E76&lt;H76,F76,"Tie"))</x:f>
        <x:v>Mark</x:v>
      </x:c>
      <x:c r="J76" s="2" t="str">
        <x:f>IF(E76&gt;H76,F76,IF(E76&lt;H76,C76,"Tie"))</x:f>
        <x:v>Josh</x:v>
      </x:c>
      <x:c r="K76" s="2" t="n">
        <x:f>IF(E76=H76,1,0)</x:f>
        <x:v>0</x:v>
      </x:c>
      <x:c r="L76" s="2" t="str">
        <x:v>Josh / Mark</x:v>
      </x:c>
      <x:c r="M76" t="str"/>
      <x:c r="N76" t="str">
        <x:v>Supplied</x:v>
      </x:c>
      <x:c r="O76" t="str"/>
    </x:row>
    <x:row r="77" ht="22" customHeight="1">
      <x:c r="A77" s="2" t="n">
        <x:v>9</x:v>
      </x:c>
      <x:c r="B77" s="2" t="str">
        <x:v>Regular</x:v>
      </x:c>
      <x:c r="C77" s="2" t="str">
        <x:v>Nick</x:v>
      </x:c>
      <x:c r="D77" s="2" t="str">
        <x:v>Team Scoops</x:v>
      </x:c>
      <x:c r="E77" s="15" t="n">
        <x:v>89.4</x:v>
      </x:c>
      <x:c r="F77" s="2" t="str">
        <x:v>Michael</x:v>
      </x:c>
      <x:c r="G77" s="2" t="str">
        <x:v>Big Butler Bids</x:v>
      </x:c>
      <x:c r="H77" s="15" t="n">
        <x:v>116.8</x:v>
      </x:c>
      <x:c r="I77" s="2" t="str">
        <x:f>IF(E77&gt;H77,C77,IF(E77&lt;H77,F77,"Tie"))</x:f>
        <x:v>Michael</x:v>
      </x:c>
      <x:c r="J77" s="2" t="str">
        <x:f>IF(E77&gt;H77,F77,IF(E77&lt;H77,C77,"Tie"))</x:f>
        <x:v>Nick</x:v>
      </x:c>
      <x:c r="K77" s="2" t="n">
        <x:f>IF(E77=H77,1,0)</x:f>
        <x:v>0</x:v>
      </x:c>
      <x:c r="L77" s="2" t="str">
        <x:v>Michael / Nick</x:v>
      </x:c>
      <x:c r="M77" t="str"/>
      <x:c r="N77" t="str">
        <x:v>Supplied</x:v>
      </x:c>
      <x:c r="O77" t="str"/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96</x:v>
      </x:c>
      <x:c r="F78" s="2" t="str">
        <x:v>Craig</x:v>
      </x:c>
      <x:c r="G78" s="2" t="str">
        <x:v>The Ants Marching</x:v>
      </x:c>
      <x:c r="H78" s="15" t="n">
        <x:v>122.55</x:v>
      </x:c>
      <x:c r="I78" s="2" t="str">
        <x:f>IF(E78&gt;H78,C78,IF(E78&lt;H78,F78,"Tie"))</x:f>
        <x:v>Craig</x:v>
      </x:c>
      <x:c r="J78" s="2" t="str">
        <x:f>IF(E78&gt;H78,F78,IF(E78&lt;H78,C78,"Tie"))</x:f>
        <x:v>Bruce</x:v>
      </x:c>
      <x:c r="K78" s="2" t="n">
        <x:f>IF(E78=H78,1,0)</x:f>
        <x:v>0</x:v>
      </x:c>
      <x:c r="L78" s="2" t="str">
        <x:v>Bruce / Craig</x:v>
      </x:c>
      <x:c r="M78" t="str"/>
      <x:c r="N78" t="str">
        <x:v>Supplied</x:v>
      </x:c>
      <x:c r="O78" t="str"/>
    </x:row>
    <x:row r="79" ht="22" customHeight="1">
      <x:c r="A79" s="2" t="n">
        <x:v>10</x:v>
      </x:c>
      <x:c r="B79" s="2" t="str">
        <x:v>Regular</x:v>
      </x:c>
      <x:c r="C79" s="2" t="str">
        <x:v>Dave</x:v>
      </x:c>
      <x:c r="D79" s="2" t="str">
        <x:v>Mr. Girth</x:v>
      </x:c>
      <x:c r="E79" s="15" t="n">
        <x:v>107.4</x:v>
      </x:c>
      <x:c r="F79" s="2" t="str">
        <x:v>Matt</x:v>
      </x:c>
      <x:c r="G79" s="2" t="str">
        <x:v>Mr.Montana</x:v>
      </x:c>
      <x:c r="H79" s="15" t="n">
        <x:v>125.9</x:v>
      </x:c>
      <x:c r="I79" s="2" t="str">
        <x:f>IF(E79&gt;H79,C79,IF(E79&lt;H79,F79,"Tie"))</x:f>
        <x:v>Matt</x:v>
      </x:c>
      <x:c r="J79" s="2" t="str">
        <x:f>IF(E79&gt;H79,F79,IF(E79&lt;H79,C79,"Tie"))</x:f>
        <x:v>Dave</x:v>
      </x:c>
      <x:c r="K79" s="2" t="n">
        <x:f>IF(E79=H79,1,0)</x:f>
        <x:v>0</x:v>
      </x:c>
      <x:c r="L79" s="2" t="str">
        <x:v>Dave / Matt</x:v>
      </x:c>
      <x:c r="M79" t="str"/>
      <x:c r="N79" t="str">
        <x:v>Supplied</x:v>
      </x:c>
      <x:c r="O79" t="str"/>
    </x:row>
    <x:row r="80" ht="22" customHeight="1">
      <x:c r="A80" s="2" t="n">
        <x:v>10</x:v>
      </x:c>
      <x:c r="B80" s="2" t="str">
        <x:v>Regular</x:v>
      </x:c>
      <x:c r="C80" s="2" t="str">
        <x:v>Ed</x:v>
      </x:c>
      <x:c r="D80" s="2" t="str">
        <x:v>Fu¢ked Again</x:v>
      </x:c>
      <x:c r="E80" s="15" t="n">
        <x:v>130.5</x:v>
      </x:c>
      <x:c r="F80" s="2" t="str">
        <x:v>Mark</x:v>
      </x:c>
      <x:c r="G80" s="2" t="str">
        <x:v>wacky waving arms</x:v>
      </x:c>
      <x:c r="H80" s="15" t="n">
        <x:v>103.05</x:v>
      </x:c>
      <x:c r="I80" s="2" t="str">
        <x:f>IF(E80&gt;H80,C80,IF(E80&lt;H80,F80,"Tie"))</x:f>
        <x:v>Ed</x:v>
      </x:c>
      <x:c r="J80" s="2" t="str">
        <x:f>IF(E80&gt;H80,F80,IF(E80&lt;H80,C80,"Tie"))</x:f>
        <x:v>Mark</x:v>
      </x:c>
      <x:c r="K80" s="2" t="n">
        <x:f>IF(E80=H80,1,0)</x:f>
        <x:v>0</x:v>
      </x:c>
      <x:c r="L80" s="2" t="str">
        <x:v>Ed / Mark</x:v>
      </x:c>
      <x:c r="M80" t="str"/>
      <x:c r="N80" t="str">
        <x:v>Supplied</x:v>
      </x:c>
      <x:c r="O80" t="str"/>
    </x:row>
    <x:row r="81" ht="22" customHeight="1">
      <x:c r="A81" s="2" t="n">
        <x:v>10</x:v>
      </x:c>
      <x:c r="B81" s="2" t="str">
        <x:v>Regular</x:v>
      </x:c>
      <x:c r="C81" s="2" t="str">
        <x:v>Frank</x:v>
      </x:c>
      <x:c r="D81" s="2" t="str">
        <x:v>Hawk Tua's</x:v>
      </x:c>
      <x:c r="E81" s="15" t="n">
        <x:v>79.4</x:v>
      </x:c>
      <x:c r="F81" s="2" t="str">
        <x:v>Michael</x:v>
      </x:c>
      <x:c r="G81" s="2" t="str">
        <x:v>Big Butler Bids</x:v>
      </x:c>
      <x:c r="H81" s="15" t="n">
        <x:v>106.7</x:v>
      </x:c>
      <x:c r="I81" s="2" t="str">
        <x:f>IF(E81&gt;H81,C81,IF(E81&lt;H81,F81,"Tie"))</x:f>
        <x:v>Michael</x:v>
      </x:c>
      <x:c r="J81" s="2" t="str">
        <x:f>IF(E81&gt;H81,F81,IF(E81&lt;H81,C81,"Tie"))</x:f>
        <x:v>Frank</x:v>
      </x:c>
      <x:c r="K81" s="2" t="n">
        <x:f>IF(E81=H81,1,0)</x:f>
        <x:v>0</x:v>
      </x:c>
      <x:c r="L81" s="2" t="str">
        <x:v>Frank / Michael</x:v>
      </x:c>
      <x:c r="M81" t="str"/>
      <x:c r="N81" t="str">
        <x:v>Supplied</x:v>
      </x:c>
      <x:c r="O81" t="str"/>
    </x:row>
    <x:row r="82" ht="22" customHeight="1">
      <x:c r="A82" s="2" t="n">
        <x:v>10</x:v>
      </x:c>
      <x:c r="B82" s="2" t="str">
        <x:v>Regular</x:v>
      </x:c>
      <x:c r="C82" s="2" t="str">
        <x:v>Mike</x:v>
      </x:c>
      <x:c r="D82" s="2" t="str">
        <x:v>Team Questionable</x:v>
      </x:c>
      <x:c r="E82" s="15" t="n">
        <x:v>123.8</x:v>
      </x:c>
      <x:c r="F82" s="2" t="str">
        <x:v>Josh</x:v>
      </x:c>
      <x:c r="G82" s="2" t="str">
        <x:v>Mike Drunkdaniels</x:v>
      </x:c>
      <x:c r="H82" s="15" t="n">
        <x:v>115.6</x:v>
      </x:c>
      <x:c r="I82" s="2" t="str">
        <x:f>IF(E82&gt;H82,C82,IF(E82&lt;H82,F82,"Tie"))</x:f>
        <x:v>Mike</x:v>
      </x:c>
      <x:c r="J82" s="2" t="str">
        <x:f>IF(E82&gt;H82,F82,IF(E82&lt;H82,C82,"Tie"))</x:f>
        <x:v>Josh</x:v>
      </x:c>
      <x:c r="K82" s="2" t="n">
        <x:f>IF(E82=H82,1,0)</x:f>
        <x:v>0</x:v>
      </x:c>
      <x:c r="L82" s="2" t="str">
        <x:v>Josh / Mike</x:v>
      </x:c>
      <x:c r="M82" t="str"/>
      <x:c r="N82" t="str">
        <x:v>Supplied</x:v>
      </x:c>
      <x:c r="O82" t="str"/>
    </x:row>
    <x:row r="83" ht="22" customHeight="1">
      <x:c r="A83" s="2" t="n">
        <x:v>10</x:v>
      </x:c>
      <x:c r="B83" s="2" t="str">
        <x:v>Regular</x:v>
      </x:c>
      <x:c r="C83" s="2" t="str">
        <x:v>Paul</x:v>
      </x:c>
      <x:c r="D83" s="2" t="str">
        <x:v>Space Dogs</x:v>
      </x:c>
      <x:c r="E83" s="15" t="n">
        <x:v>116.5</x:v>
      </x:c>
      <x:c r="F83" s="2" t="str">
        <x:v>Nick</x:v>
      </x:c>
      <x:c r="G83" s="2" t="str">
        <x:v>Team Scoops</x:v>
      </x:c>
      <x:c r="H83" s="15" t="n">
        <x:v>118.4</x:v>
      </x:c>
      <x:c r="I83" s="2" t="str">
        <x:f>IF(E83&gt;H83,C83,IF(E83&lt;H83,F83,"Tie"))</x:f>
        <x:v>Nick</x:v>
      </x:c>
      <x:c r="J83" s="2" t="str">
        <x:f>IF(E83&gt;H83,F83,IF(E83&lt;H83,C83,"Tie"))</x:f>
        <x:v>Paul</x:v>
      </x:c>
      <x:c r="K83" s="2" t="n">
        <x:f>IF(E83=H83,1,0)</x:f>
        <x:v>0</x:v>
      </x:c>
      <x:c r="L83" s="2" t="str">
        <x:v>Nick / Paul</x:v>
      </x:c>
      <x:c r="M83" t="str"/>
      <x:c r="N83" t="str">
        <x:v>Supplied</x:v>
      </x:c>
      <x:c r="O83" t="str"/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160.2</x:v>
      </x:c>
      <x:c r="F84" s="2" t="str">
        <x:v>Paul</x:v>
      </x:c>
      <x:c r="G84" s="2" t="str">
        <x:v>Space Dogs</x:v>
      </x:c>
      <x:c r="H84" s="15" t="n">
        <x:v>126.65</x:v>
      </x:c>
      <x:c r="I84" s="2" t="str">
        <x:f>IF(E84&gt;H84,C84,IF(E84&lt;H84,F84,"Tie"))</x:f>
        <x:v>Bruce</x:v>
      </x:c>
      <x:c r="J84" s="2" t="str">
        <x:f>IF(E84&gt;H84,F84,IF(E84&lt;H84,C84,"Tie"))</x:f>
        <x:v>Paul</x:v>
      </x:c>
      <x:c r="K84" s="2" t="n">
        <x:f>IF(E84=H84,1,0)</x:f>
        <x:v>0</x:v>
      </x:c>
      <x:c r="L84" s="2" t="str">
        <x:v>Bruce / Paul</x:v>
      </x:c>
      <x:c r="M84" t="str"/>
      <x:c r="N84" t="str">
        <x:v>Supplied</x:v>
      </x:c>
      <x:c r="O84" t="str"/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125.65</x:v>
      </x:c>
      <x:c r="F85" s="2" t="str">
        <x:v>Mark</x:v>
      </x:c>
      <x:c r="G85" s="2" t="str">
        <x:v>wacky waving arms</x:v>
      </x:c>
      <x:c r="H85" s="15" t="n">
        <x:v>99.2</x:v>
      </x:c>
      <x:c r="I85" s="2" t="str">
        <x:f>IF(E85&gt;H85,C85,IF(E85&lt;H85,F85,"Tie"))</x:f>
        <x:v>Craig</x:v>
      </x:c>
      <x:c r="J85" s="2" t="str">
        <x:f>IF(E85&gt;H85,F85,IF(E85&lt;H85,C85,"Tie"))</x:f>
        <x:v>Mark</x:v>
      </x:c>
      <x:c r="K85" s="2" t="n">
        <x:f>IF(E85=H85,1,0)</x:f>
        <x:v>0</x:v>
      </x:c>
      <x:c r="L85" s="2" t="str">
        <x:v>Craig / Mark</x:v>
      </x:c>
      <x:c r="M85" t="str"/>
      <x:c r="N85" t="str">
        <x:v>Supplied</x:v>
      </x:c>
      <x:c r="O85" t="str"/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Mr. Girth</x:v>
      </x:c>
      <x:c r="E86" s="15" t="n">
        <x:v>116.2</x:v>
      </x:c>
      <x:c r="F86" s="2" t="str">
        <x:v>Michael</x:v>
      </x:c>
      <x:c r="G86" s="2" t="str">
        <x:v>Big Butler Bids</x:v>
      </x:c>
      <x:c r="H86" s="15" t="n">
        <x:v>180.55</x:v>
      </x:c>
      <x:c r="I86" s="2" t="str">
        <x:f>IF(E86&gt;H86,C86,IF(E86&lt;H86,F86,"Tie"))</x:f>
        <x:v>Michael</x:v>
      </x:c>
      <x:c r="J86" s="2" t="str">
        <x:f>IF(E86&gt;H86,F86,IF(E86&lt;H86,C86,"Tie"))</x:f>
        <x:v>Dave</x:v>
      </x:c>
      <x:c r="K86" s="2" t="n">
        <x:f>IF(E86=H86,1,0)</x:f>
        <x:v>0</x:v>
      </x:c>
      <x:c r="L86" s="2" t="str">
        <x:v>Dave / Michael</x:v>
      </x:c>
      <x:c r="M86" t="str"/>
      <x:c r="N86" t="str">
        <x:v>Supplied</x:v>
      </x:c>
      <x:c r="O86" t="str"/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Fu¢ked Again</x:v>
      </x:c>
      <x:c r="E87" s="15" t="n">
        <x:v>113</x:v>
      </x:c>
      <x:c r="F87" s="2" t="str">
        <x:v>Nick</x:v>
      </x:c>
      <x:c r="G87" s="2" t="str">
        <x:v>Team Scoops</x:v>
      </x:c>
      <x:c r="H87" s="15" t="n">
        <x:v>73</x:v>
      </x:c>
      <x:c r="I87" s="2" t="str">
        <x:f>IF(E87&gt;H87,C87,IF(E87&lt;H87,F87,"Tie"))</x:f>
        <x:v>Ed</x:v>
      </x:c>
      <x:c r="J87" s="2" t="str">
        <x:f>IF(E87&gt;H87,F87,IF(E87&lt;H87,C87,"Tie"))</x:f>
        <x:v>Nick</x:v>
      </x:c>
      <x:c r="K87" s="2" t="n">
        <x:f>IF(E87=H87,1,0)</x:f>
        <x:v>0</x:v>
      </x:c>
      <x:c r="L87" s="2" t="str">
        <x:v>Ed / Nick</x:v>
      </x:c>
      <x:c r="M87" t="str"/>
      <x:c r="N87" t="str">
        <x:v>Supplied</x:v>
      </x:c>
      <x:c r="O87" t="str"/>
    </x:row>
    <x:row r="88" ht="22" customHeight="1">
      <x:c r="A88" s="2" t="n">
        <x:v>11</x:v>
      </x:c>
      <x:c r="B88" s="2" t="str">
        <x:v>Regular</x:v>
      </x:c>
      <x:c r="C88" s="2" t="str">
        <x:v>Frank</x:v>
      </x:c>
      <x:c r="D88" s="2" t="str">
        <x:v>Hawk Tua's</x:v>
      </x:c>
      <x:c r="E88" s="15" t="n">
        <x:v>109.4</x:v>
      </x:c>
      <x:c r="F88" s="2" t="str">
        <x:v>Josh</x:v>
      </x:c>
      <x:c r="G88" s="2" t="str">
        <x:v>Mike Drunkdaniels</x:v>
      </x:c>
      <x:c r="H88" s="15" t="n">
        <x:v>114.35</x:v>
      </x:c>
      <x:c r="I88" s="2" t="str">
        <x:f>IF(E88&gt;H88,C88,IF(E88&lt;H88,F88,"Tie"))</x:f>
        <x:v>Josh</x:v>
      </x:c>
      <x:c r="J88" s="2" t="str">
        <x:f>IF(E88&gt;H88,F88,IF(E88&lt;H88,C88,"Tie"))</x:f>
        <x:v>Frank</x:v>
      </x:c>
      <x:c r="K88" s="2" t="n">
        <x:f>IF(E88=H88,1,0)</x:f>
        <x:v>0</x:v>
      </x:c>
      <x:c r="L88" s="2" t="str">
        <x:v>Frank / Josh</x:v>
      </x:c>
      <x:c r="M88" t="str"/>
      <x:c r="N88" t="str">
        <x:v>Supplied</x:v>
      </x:c>
      <x:c r="O88" t="str"/>
    </x:row>
    <x:row r="89" ht="22" customHeight="1">
      <x:c r="A89" s="2" t="n">
        <x:v>11</x:v>
      </x:c>
      <x:c r="B89" s="2" t="str">
        <x:v>Regular</x:v>
      </x:c>
      <x:c r="C89" s="2" t="str">
        <x:v>Mike</x:v>
      </x:c>
      <x:c r="D89" s="2" t="str">
        <x:v>Team Questionable</x:v>
      </x:c>
      <x:c r="E89" s="15" t="n">
        <x:v>119.35</x:v>
      </x:c>
      <x:c r="F89" s="2" t="str">
        <x:v>Matt</x:v>
      </x:c>
      <x:c r="G89" s="2" t="str">
        <x:v>Mr.Montana</x:v>
      </x:c>
      <x:c r="H89" s="15" t="n">
        <x:v>114.75</x:v>
      </x:c>
      <x:c r="I89" s="2" t="str">
        <x:f>IF(E89&gt;H89,C89,IF(E89&lt;H89,F89,"Tie"))</x:f>
        <x:v>Mike</x:v>
      </x:c>
      <x:c r="J89" s="2" t="str">
        <x:f>IF(E89&gt;H89,F89,IF(E89&lt;H89,C89,"Tie"))</x:f>
        <x:v>Matt</x:v>
      </x:c>
      <x:c r="K89" s="2" t="n">
        <x:f>IF(E89=H89,1,0)</x:f>
        <x:v>0</x:v>
      </x:c>
      <x:c r="L89" s="2" t="str">
        <x:v>Matt / Mike</x:v>
      </x:c>
      <x:c r="M89" t="str"/>
      <x:c r="N89" t="str">
        <x:v>Supplied</x:v>
      </x:c>
      <x:c r="O89" t="str"/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158.25</x:v>
      </x:c>
      <x:c r="F90" s="2" t="str">
        <x:v>Josh</x:v>
      </x:c>
      <x:c r="G90" s="2" t="str">
        <x:v>Mike Drunkdaniels</x:v>
      </x:c>
      <x:c r="H90" s="15" t="n">
        <x:v>112.45</x:v>
      </x:c>
      <x:c r="I90" s="2" t="str">
        <x:f>IF(E90&gt;H90,C90,IF(E90&lt;H90,F90,"Tie"))</x:f>
        <x:v>Bruce</x:v>
      </x:c>
      <x:c r="J90" s="2" t="str">
        <x:f>IF(E90&gt;H90,F90,IF(E90&lt;H90,C90,"Tie"))</x:f>
        <x:v>Josh</x:v>
      </x:c>
      <x:c r="K90" s="2" t="n">
        <x:f>IF(E90=H90,1,0)</x:f>
        <x:v>0</x:v>
      </x:c>
      <x:c r="L90" s="2" t="str">
        <x:v>Bruce / Josh</x:v>
      </x:c>
      <x:c r="M90" t="str"/>
      <x:c r="N90" t="str">
        <x:v>Supplied</x:v>
      </x:c>
      <x:c r="O90" t="str"/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117.55</x:v>
      </x:c>
      <x:c r="F91" s="2" t="str">
        <x:v>Mike</x:v>
      </x:c>
      <x:c r="G91" s="2" t="str">
        <x:v>Team Questionable</x:v>
      </x:c>
      <x:c r="H91" s="15" t="n">
        <x:v>108.45</x:v>
      </x:c>
      <x:c r="I91" s="2" t="str">
        <x:f>IF(E91&gt;H91,C91,IF(E91&lt;H91,F91,"Tie"))</x:f>
        <x:v>Craig</x:v>
      </x:c>
      <x:c r="J91" s="2" t="str">
        <x:f>IF(E91&gt;H91,F91,IF(E91&lt;H91,C91,"Tie"))</x:f>
        <x:v>Mike</x:v>
      </x:c>
      <x:c r="K91" s="2" t="n">
        <x:f>IF(E91=H91,1,0)</x:f>
        <x:v>0</x:v>
      </x:c>
      <x:c r="L91" s="2" t="str">
        <x:v>Craig / Mike</x:v>
      </x:c>
      <x:c r="M91" t="str"/>
      <x:c r="N91" t="str">
        <x:v>Supplied</x:v>
      </x:c>
      <x:c r="O91" t="str"/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Mr. Girth</x:v>
      </x:c>
      <x:c r="E92" s="15" t="n">
        <x:v>120.6</x:v>
      </x:c>
      <x:c r="F92" s="2" t="str">
        <x:v>Paul</x:v>
      </x:c>
      <x:c r="G92" s="2" t="str">
        <x:v>Space Dogs</x:v>
      </x:c>
      <x:c r="H92" s="15" t="n">
        <x:v>152.25</x:v>
      </x:c>
      <x:c r="I92" s="2" t="str">
        <x:f>IF(E92&gt;H92,C92,IF(E92&lt;H92,F92,"Tie"))</x:f>
        <x:v>Paul</x:v>
      </x:c>
      <x:c r="J92" s="2" t="str">
        <x:f>IF(E92&gt;H92,F92,IF(E92&lt;H92,C92,"Tie"))</x:f>
        <x:v>Dave</x:v>
      </x:c>
      <x:c r="K92" s="2" t="n">
        <x:f>IF(E92=H92,1,0)</x:f>
        <x:v>0</x:v>
      </x:c>
      <x:c r="L92" s="2" t="str">
        <x:v>Dave / Paul</x:v>
      </x:c>
      <x:c r="M92" t="str"/>
      <x:c r="N92" t="str">
        <x:v>Supplied</x:v>
      </x:c>
      <x:c r="O92" t="str"/>
    </x:row>
    <x:row r="93" ht="22" customHeight="1">
      <x:c r="A93" s="2" t="n">
        <x:v>12</x:v>
      </x:c>
      <x:c r="B93" s="2" t="str">
        <x:v>Regular</x:v>
      </x:c>
      <x:c r="C93" s="2" t="str">
        <x:v>Ed</x:v>
      </x:c>
      <x:c r="D93" s="2" t="str">
        <x:v>Fu¢ked Again</x:v>
      </x:c>
      <x:c r="E93" s="15" t="n">
        <x:v>97.6</x:v>
      </x:c>
      <x:c r="F93" s="2" t="str">
        <x:v>Frank</x:v>
      </x:c>
      <x:c r="G93" s="2" t="str">
        <x:v>Hawk Tua's</x:v>
      </x:c>
      <x:c r="H93" s="15" t="n">
        <x:v>98.95</x:v>
      </x:c>
      <x:c r="I93" s="2" t="str">
        <x:f>IF(E93&gt;H93,C93,IF(E93&lt;H93,F93,"Tie"))</x:f>
        <x:v>Frank</x:v>
      </x:c>
      <x:c r="J93" s="2" t="str">
        <x:f>IF(E93&gt;H93,F93,IF(E93&lt;H93,C93,"Tie"))</x:f>
        <x:v>Ed</x:v>
      </x:c>
      <x:c r="K93" s="2" t="n">
        <x:f>IF(E93=H93,1,0)</x:f>
        <x:v>0</x:v>
      </x:c>
      <x:c r="L93" s="2" t="str">
        <x:v>Ed / Frank</x:v>
      </x:c>
      <x:c r="M93" t="str"/>
      <x:c r="N93" t="str">
        <x:v>Supplied</x:v>
      </x:c>
      <x:c r="O93" t="str"/>
    </x:row>
    <x:row r="94" ht="22" customHeight="1">
      <x:c r="A94" s="2" t="n">
        <x:v>12</x:v>
      </x:c>
      <x:c r="B94" s="2" t="str">
        <x:v>Regular</x:v>
      </x:c>
      <x:c r="C94" s="2" t="str">
        <x:v>Mark</x:v>
      </x:c>
      <x:c r="D94" s="2" t="str">
        <x:v>wacky waving arms</x:v>
      </x:c>
      <x:c r="E94" s="15" t="n">
        <x:v>126.55</x:v>
      </x:c>
      <x:c r="F94" s="2" t="str">
        <x:v>Michael</x:v>
      </x:c>
      <x:c r="G94" s="2" t="str">
        <x:v>Big Butler Bids</x:v>
      </x:c>
      <x:c r="H94" s="15" t="n">
        <x:v>100.75</x:v>
      </x:c>
      <x:c r="I94" s="2" t="str">
        <x:f>IF(E94&gt;H94,C94,IF(E94&lt;H94,F94,"Tie"))</x:f>
        <x:v>Mark</x:v>
      </x:c>
      <x:c r="J94" s="2" t="str">
        <x:f>IF(E94&gt;H94,F94,IF(E94&lt;H94,C94,"Tie"))</x:f>
        <x:v>Michael</x:v>
      </x:c>
      <x:c r="K94" s="2" t="n">
        <x:f>IF(E94=H94,1,0)</x:f>
        <x:v>0</x:v>
      </x:c>
      <x:c r="L94" s="2" t="str">
        <x:v>Mark / Michael</x:v>
      </x:c>
      <x:c r="M94" t="str"/>
      <x:c r="N94" t="str">
        <x:v>Supplied</x:v>
      </x:c>
      <x:c r="O94" t="str"/>
    </x:row>
    <x:row r="95" ht="22" customHeight="1">
      <x:c r="A95" s="2" t="n">
        <x:v>12</x:v>
      </x:c>
      <x:c r="B95" s="2" t="str">
        <x:v>Regular</x:v>
      </x:c>
      <x:c r="C95" s="2" t="str">
        <x:v>Nick</x:v>
      </x:c>
      <x:c r="D95" s="2" t="str">
        <x:v>Team Scoops</x:v>
      </x:c>
      <x:c r="E95" s="15" t="n">
        <x:v>104.9</x:v>
      </x:c>
      <x:c r="F95" s="2" t="str">
        <x:v>Matt</x:v>
      </x:c>
      <x:c r="G95" s="2" t="str">
        <x:v>Mr.Montana</x:v>
      </x:c>
      <x:c r="H95" s="15" t="n">
        <x:v>119.95</x:v>
      </x:c>
      <x:c r="I95" s="2" t="str">
        <x:f>IF(E95&gt;H95,C95,IF(E95&lt;H95,F95,"Tie"))</x:f>
        <x:v>Matt</x:v>
      </x:c>
      <x:c r="J95" s="2" t="str">
        <x:f>IF(E95&gt;H95,F95,IF(E95&lt;H95,C95,"Tie"))</x:f>
        <x:v>Nick</x:v>
      </x:c>
      <x:c r="K95" s="2" t="n">
        <x:f>IF(E95=H95,1,0)</x:f>
        <x:v>0</x:v>
      </x:c>
      <x:c r="L95" s="2" t="str">
        <x:v>Matt / Nick</x:v>
      </x:c>
      <x:c r="M95" t="str"/>
      <x:c r="N95" t="str">
        <x:v>Supplied</x:v>
      </x:c>
      <x:c r="O95" t="str"/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138.85</x:v>
      </x:c>
      <x:c r="F96" s="2" t="str">
        <x:v>Michael</x:v>
      </x:c>
      <x:c r="G96" s="2" t="str">
        <x:v>Big Butler Bids</x:v>
      </x:c>
      <x:c r="H96" s="15" t="n">
        <x:v>147.4</x:v>
      </x:c>
      <x:c r="I96" s="2" t="str">
        <x:f>IF(E96&gt;H96,C96,IF(E96&lt;H96,F96,"Tie"))</x:f>
        <x:v>Michael</x:v>
      </x:c>
      <x:c r="J96" s="2" t="str">
        <x:f>IF(E96&gt;H96,F96,IF(E96&lt;H96,C96,"Tie"))</x:f>
        <x:v>Bruce</x:v>
      </x:c>
      <x:c r="K96" s="2" t="n">
        <x:f>IF(E96=H96,1,0)</x:f>
        <x:v>0</x:v>
      </x:c>
      <x:c r="L96" s="2" t="str">
        <x:v>Bruce / Michael</x:v>
      </x:c>
      <x:c r="M96" t="str"/>
      <x:c r="N96" t="str">
        <x:v>Supplied</x:v>
      </x:c>
      <x:c r="O96" t="str">
        <x:v>*</x:v>
      </x:c>
    </x:row>
    <x:row r="97" ht="22" customHeight="1">
      <x:c r="A97" s="2" t="n">
        <x:v>13</x:v>
      </x:c>
      <x:c r="B97" s="2" t="str">
        <x:v>Regular</x:v>
      </x:c>
      <x:c r="C97" s="2" t="str">
        <x:v>Craig</x:v>
      </x:c>
      <x:c r="D97" s="2" t="str">
        <x:v>The Ants Marching</x:v>
      </x:c>
      <x:c r="E97" s="15" t="n">
        <x:v>117.5</x:v>
      </x:c>
      <x:c r="F97" s="2" t="str">
        <x:v>Dave</x:v>
      </x:c>
      <x:c r="G97" s="2" t="str">
        <x:v>Mr. Girth</x:v>
      </x:c>
      <x:c r="H97" s="15" t="n">
        <x:v>148.65</x:v>
      </x:c>
      <x:c r="I97" s="2" t="str">
        <x:f>IF(E97&gt;H97,C97,IF(E97&lt;H97,F97,"Tie"))</x:f>
        <x:v>Dave</x:v>
      </x:c>
      <x:c r="J97" s="2" t="str">
        <x:f>IF(E97&gt;H97,F97,IF(E97&lt;H97,C97,"Tie"))</x:f>
        <x:v>Craig</x:v>
      </x:c>
      <x:c r="K97" s="2" t="n">
        <x:f>IF(E97=H97,1,0)</x:f>
        <x:v>0</x:v>
      </x:c>
      <x:c r="L97" s="2" t="str">
        <x:v>Craig / Dave</x:v>
      </x:c>
      <x:c r="M97" t="str"/>
      <x:c r="N97" t="str">
        <x:v>Supplied</x:v>
      </x:c>
      <x:c r="O97" t="str">
        <x:v>*</x:v>
      </x:c>
    </x:row>
    <x:row r="98" ht="22" customHeight="1">
      <x:c r="A98" s="2" t="n">
        <x:v>13</x:v>
      </x:c>
      <x:c r="B98" s="2" t="str">
        <x:v>Regular</x:v>
      </x:c>
      <x:c r="C98" s="2" t="str">
        <x:v>Ed</x:v>
      </x:c>
      <x:c r="D98" s="2" t="str">
        <x:v>Fu¢ked Again</x:v>
      </x:c>
      <x:c r="E98" s="15" t="n">
        <x:v>140.8</x:v>
      </x:c>
      <x:c r="F98" s="2" t="str">
        <x:v>Mike</x:v>
      </x:c>
      <x:c r="G98" s="2" t="str">
        <x:v>Team Questionable</x:v>
      </x:c>
      <x:c r="H98" s="15" t="n">
        <x:v>122.4</x:v>
      </x:c>
      <x:c r="I98" s="2" t="str">
        <x:f>IF(E98&gt;H98,C98,IF(E98&lt;H98,F98,"Tie"))</x:f>
        <x:v>Ed</x:v>
      </x:c>
      <x:c r="J98" s="2" t="str">
        <x:f>IF(E98&gt;H98,F98,IF(E98&lt;H98,C98,"Tie"))</x:f>
        <x:v>Mike</x:v>
      </x:c>
      <x:c r="K98" s="2" t="n">
        <x:f>IF(E98=H98,1,0)</x:f>
        <x:v>0</x:v>
      </x:c>
      <x:c r="L98" s="2" t="str">
        <x:v>Ed / Mike</x:v>
      </x:c>
      <x:c r="M98" t="str"/>
      <x:c r="N98" t="str">
        <x:v>Supplied</x:v>
      </x:c>
      <x:c r="O98" t="str">
        <x:v>*</x:v>
      </x:c>
    </x:row>
    <x:row r="99" ht="22" customHeight="1">
      <x:c r="A99" s="2" t="n">
        <x:v>13</x:v>
      </x:c>
      <x:c r="B99" s="2" t="str">
        <x:v>Regular</x:v>
      </x:c>
      <x:c r="C99" s="2" t="str">
        <x:v>Frank</x:v>
      </x:c>
      <x:c r="D99" s="2" t="str">
        <x:v>Hawk Tua's</x:v>
      </x:c>
      <x:c r="E99" s="15" t="n">
        <x:v>103.3</x:v>
      </x:c>
      <x:c r="F99" s="2" t="str">
        <x:v>Paul</x:v>
      </x:c>
      <x:c r="G99" s="2" t="str">
        <x:v>Space Dogs</x:v>
      </x:c>
      <x:c r="H99" s="15" t="n">
        <x:v>158.55</x:v>
      </x:c>
      <x:c r="I99" s="2" t="str">
        <x:f>IF(E99&gt;H99,C99,IF(E99&lt;H99,F99,"Tie"))</x:f>
        <x:v>Paul</x:v>
      </x:c>
      <x:c r="J99" s="2" t="str">
        <x:f>IF(E99&gt;H99,F99,IF(E99&lt;H99,C99,"Tie"))</x:f>
        <x:v>Frank</x:v>
      </x:c>
      <x:c r="K99" s="2" t="n">
        <x:f>IF(E99=H99,1,0)</x:f>
        <x:v>0</x:v>
      </x:c>
      <x:c r="L99" s="2" t="str">
        <x:v>Frank / Paul</x:v>
      </x:c>
      <x:c r="M99" t="str"/>
      <x:c r="N99" t="str">
        <x:v>Supplied</x:v>
      </x:c>
      <x:c r="O99" t="str">
        <x:v>*</x:v>
      </x:c>
    </x:row>
    <x:row r="100" ht="22" customHeight="1">
      <x:c r="A100" s="2" t="n">
        <x:v>13</x:v>
      </x:c>
      <x:c r="B100" s="2" t="str">
        <x:v>Regular</x:v>
      </x:c>
      <x:c r="C100" s="2" t="str">
        <x:v>Josh</x:v>
      </x:c>
      <x:c r="D100" s="2" t="str">
        <x:v>Mike Drunkdaniels</x:v>
      </x:c>
      <x:c r="E100" s="15" t="n">
        <x:v>161.7</x:v>
      </x:c>
      <x:c r="F100" s="2" t="str">
        <x:v>Nick</x:v>
      </x:c>
      <x:c r="G100" s="2" t="str">
        <x:v>Team Scoops</x:v>
      </x:c>
      <x:c r="H100" s="15" t="n">
        <x:v>62.3</x:v>
      </x:c>
      <x:c r="I100" s="2" t="str">
        <x:f>IF(E100&gt;H100,C100,IF(E100&lt;H100,F100,"Tie"))</x:f>
        <x:v>Josh</x:v>
      </x:c>
      <x:c r="J100" s="2" t="str">
        <x:f>IF(E100&gt;H100,F100,IF(E100&lt;H100,C100,"Tie"))</x:f>
        <x:v>Nick</x:v>
      </x:c>
      <x:c r="K100" s="2" t="n">
        <x:f>IF(E100=H100,1,0)</x:f>
        <x:v>0</x:v>
      </x:c>
      <x:c r="L100" s="2" t="str">
        <x:v>Josh / Nick</x:v>
      </x:c>
      <x:c r="M100" t="str"/>
      <x:c r="N100" t="str">
        <x:v>Supplied</x:v>
      </x:c>
      <x:c r="O100" t="str">
        <x:v>*</x:v>
      </x:c>
    </x:row>
    <x:row r="101" ht="22" customHeight="1">
      <x:c r="A101" s="2" t="n">
        <x:v>13</x:v>
      </x:c>
      <x:c r="B101" s="2" t="str">
        <x:v>Regular</x:v>
      </x:c>
      <x:c r="C101" s="2" t="str">
        <x:v>Mark</x:v>
      </x:c>
      <x:c r="D101" s="2" t="str">
        <x:v>wacky waving arms</x:v>
      </x:c>
      <x:c r="E101" s="15" t="n">
        <x:v>96.85</x:v>
      </x:c>
      <x:c r="F101" s="2" t="str">
        <x:v>Matt</x:v>
      </x:c>
      <x:c r="G101" s="2" t="str">
        <x:v>Mr.Montana</x:v>
      </x:c>
      <x:c r="H101" s="15" t="n">
        <x:v>123.4</x:v>
      </x:c>
      <x:c r="I101" s="2" t="str">
        <x:f>IF(E101&gt;H101,C101,IF(E101&lt;H101,F101,"Tie"))</x:f>
        <x:v>Matt</x:v>
      </x:c>
      <x:c r="J101" s="2" t="str">
        <x:f>IF(E101&gt;H101,F101,IF(E101&lt;H101,C101,"Tie"))</x:f>
        <x:v>Mark</x:v>
      </x:c>
      <x:c r="K101" s="2" t="n">
        <x:f>IF(E101=H101,1,0)</x:f>
        <x:v>0</x:v>
      </x:c>
      <x:c r="L101" s="2" t="str">
        <x:v>Mark / Matt</x:v>
      </x:c>
      <x:c r="M101" t="str"/>
      <x:c r="N101" t="str">
        <x:v>Supplied</x:v>
      </x:c>
      <x:c r="O101" t="str">
        <x:v>*</x:v>
      </x:c>
    </x:row>
    <x:row r="102" ht="22" customHeight="1">
      <x:c r="A102" s="2" t="n">
        <x:v>14</x:v>
      </x:c>
      <x:c r="B102" s="2" t="str">
        <x:v>Regular</x:v>
      </x:c>
      <x:c r="C102" s="2" t="str">
        <x:v>Bruce</x:v>
      </x:c>
      <x:c r="D102" s="2" t="str">
        <x:v>The Storm</x:v>
      </x:c>
      <x:c r="E102" s="15" t="n">
        <x:v>113.45</x:v>
      </x:c>
      <x:c r="F102" s="2" t="str">
        <x:v>Ed</x:v>
      </x:c>
      <x:c r="G102" s="2" t="str">
        <x:v>Fu¢ked Again</x:v>
      </x:c>
      <x:c r="H102" s="15" t="n">
        <x:v>151.5</x:v>
      </x:c>
      <x:c r="I102" s="2" t="str">
        <x:f>IF(E102&gt;H102,C102,IF(E102&lt;H102,F102,"Tie"))</x:f>
        <x:v>Ed</x:v>
      </x:c>
      <x:c r="J102" s="2" t="str">
        <x:f>IF(E102&gt;H102,F102,IF(E102&lt;H102,C102,"Tie"))</x:f>
        <x:v>Bruce</x:v>
      </x:c>
      <x:c r="K102" s="2" t="n">
        <x:f>IF(E102=H102,1,0)</x:f>
        <x:v>0</x:v>
      </x:c>
      <x:c r="L102" s="2" t="str">
        <x:v>Bruce / Ed</x:v>
      </x:c>
      <x:c r="M102" t="str"/>
      <x:c r="N102" t="str">
        <x:v>Supplied</x:v>
      </x:c>
      <x:c r="O102" t="str">
        <x:v>*</x:v>
      </x:c>
    </x:row>
    <x:row r="103" ht="22" customHeight="1">
      <x:c r="A103" s="2" t="n">
        <x:v>14</x:v>
      </x:c>
      <x:c r="B103" s="2" t="str">
        <x:v>Regular</x:v>
      </x:c>
      <x:c r="C103" s="2" t="str">
        <x:v>Craig</x:v>
      </x:c>
      <x:c r="D103" s="2" t="str">
        <x:v>The Ants Marching</x:v>
      </x:c>
      <x:c r="E103" s="15" t="n">
        <x:v>142.45</x:v>
      </x:c>
      <x:c r="F103" s="2" t="str">
        <x:v>Nick</x:v>
      </x:c>
      <x:c r="G103" s="2" t="str">
        <x:v>Team Scoops</x:v>
      </x:c>
      <x:c r="H103" s="15" t="n">
        <x:v>117.05</x:v>
      </x:c>
      <x:c r="I103" s="2" t="str">
        <x:f>IF(E103&gt;H103,C103,IF(E103&lt;H103,F103,"Tie"))</x:f>
        <x:v>Craig</x:v>
      </x:c>
      <x:c r="J103" s="2" t="str">
        <x:f>IF(E103&gt;H103,F103,IF(E103&lt;H103,C103,"Tie"))</x:f>
        <x:v>Nick</x:v>
      </x:c>
      <x:c r="K103" s="2" t="n">
        <x:f>IF(E103=H103,1,0)</x:f>
        <x:v>0</x:v>
      </x:c>
      <x:c r="L103" s="2" t="str">
        <x:v>Craig / Nick</x:v>
      </x:c>
      <x:c r="M103" t="str"/>
      <x:c r="N103" t="str">
        <x:v>Supplied</x:v>
      </x:c>
      <x:c r="O103" t="str">
        <x:v>*</x:v>
      </x:c>
    </x:row>
    <x:row r="104" ht="22" customHeight="1">
      <x:c r="A104" s="2" t="n">
        <x:v>14</x:v>
      </x:c>
      <x:c r="B104" s="2" t="str">
        <x:v>Regular</x:v>
      </x:c>
      <x:c r="C104" s="2" t="str">
        <x:v>Dave</x:v>
      </x:c>
      <x:c r="D104" s="2" t="str">
        <x:v>Mr. Girth</x:v>
      </x:c>
      <x:c r="E104" s="15" t="n">
        <x:v>126.95</x:v>
      </x:c>
      <x:c r="F104" s="2" t="str">
        <x:v>Josh</x:v>
      </x:c>
      <x:c r="G104" s="2" t="str">
        <x:v>Mike Drunkdaniels</x:v>
      </x:c>
      <x:c r="H104" s="15" t="n">
        <x:v>177.8</x:v>
      </x:c>
      <x:c r="I104" s="2" t="str">
        <x:f>IF(E104&gt;H104,C104,IF(E104&lt;H104,F104,"Tie"))</x:f>
        <x:v>Josh</x:v>
      </x:c>
      <x:c r="J104" s="2" t="str">
        <x:f>IF(E104&gt;H104,F104,IF(E104&lt;H104,C104,"Tie"))</x:f>
        <x:v>Dave</x:v>
      </x:c>
      <x:c r="K104" s="2" t="n">
        <x:f>IF(E104=H104,1,0)</x:f>
        <x:v>0</x:v>
      </x:c>
      <x:c r="L104" s="2" t="str">
        <x:v>Dave / Josh</x:v>
      </x:c>
      <x:c r="M104" t="str"/>
      <x:c r="N104" t="str">
        <x:v>Supplied</x:v>
      </x:c>
      <x:c r="O104" t="str">
        <x:v>*</x:v>
      </x:c>
    </x:row>
    <x:row r="105" ht="22" customHeight="1">
      <x:c r="A105" s="2" t="n">
        <x:v>14</x:v>
      </x:c>
      <x:c r="B105" s="2" t="str">
        <x:v>Regular</x:v>
      </x:c>
      <x:c r="C105" s="2" t="str">
        <x:v>Frank</x:v>
      </x:c>
      <x:c r="D105" s="2" t="str">
        <x:v>Hawk Tua's</x:v>
      </x:c>
      <x:c r="E105" s="15" t="n">
        <x:v>112.95</x:v>
      </x:c>
      <x:c r="F105" s="2" t="str">
        <x:v>Matt</x:v>
      </x:c>
      <x:c r="G105" s="2" t="str">
        <x:v>Mr.Montana</x:v>
      </x:c>
      <x:c r="H105" s="15" t="n">
        <x:v>110.8</x:v>
      </x:c>
      <x:c r="I105" s="2" t="str">
        <x:f>IF(E105&gt;H105,C105,IF(E105&lt;H105,F105,"Tie"))</x:f>
        <x:v>Frank</x:v>
      </x:c>
      <x:c r="J105" s="2" t="str">
        <x:f>IF(E105&gt;H105,F105,IF(E105&lt;H105,C105,"Tie"))</x:f>
        <x:v>Matt</x:v>
      </x:c>
      <x:c r="K105" s="2" t="n">
        <x:f>IF(E105=H105,1,0)</x:f>
        <x:v>0</x:v>
      </x:c>
      <x:c r="L105" s="2" t="str">
        <x:v>Frank / Matt</x:v>
      </x:c>
      <x:c r="M105" t="str"/>
      <x:c r="N105" t="str">
        <x:v>Supplied</x:v>
      </x:c>
      <x:c r="O105" t="str">
        <x:v>*</x:v>
      </x:c>
    </x:row>
    <x:row r="106" ht="22" customHeight="1">
      <x:c r="A106" s="2" t="n">
        <x:v>14</x:v>
      </x:c>
      <x:c r="B106" s="2" t="str">
        <x:v>Regular</x:v>
      </x:c>
      <x:c r="C106" s="2" t="str">
        <x:v>Mike</x:v>
      </x:c>
      <x:c r="D106" s="2" t="str">
        <x:v>Team Questionable</x:v>
      </x:c>
      <x:c r="E106" s="15" t="n">
        <x:v>166</x:v>
      </x:c>
      <x:c r="F106" s="2" t="str">
        <x:v>Michael</x:v>
      </x:c>
      <x:c r="G106" s="2" t="str">
        <x:v>Big Butler Bids</x:v>
      </x:c>
      <x:c r="H106" s="15" t="n">
        <x:v>119.35</x:v>
      </x:c>
      <x:c r="I106" s="2" t="str">
        <x:f>IF(E106&gt;H106,C106,IF(E106&lt;H106,F106,"Tie"))</x:f>
        <x:v>Mike</x:v>
      </x:c>
      <x:c r="J106" s="2" t="str">
        <x:f>IF(E106&gt;H106,F106,IF(E106&lt;H106,C106,"Tie"))</x:f>
        <x:v>Michael</x:v>
      </x:c>
      <x:c r="K106" s="2" t="n">
        <x:f>IF(E106=H106,1,0)</x:f>
        <x:v>0</x:v>
      </x:c>
      <x:c r="L106" s="2" t="str">
        <x:v>Michael / Mike</x:v>
      </x:c>
      <x:c r="M106" t="str"/>
      <x:c r="N106" t="str">
        <x:v>Supplied</x:v>
      </x:c>
      <x:c r="O106" t="str">
        <x:v>*</x:v>
      </x:c>
    </x:row>
    <x:row r="107" ht="22" customHeight="1">
      <x:c r="A107" s="2" t="n">
        <x:v>14</x:v>
      </x:c>
      <x:c r="B107" s="2" t="str">
        <x:v>Regular</x:v>
      </x:c>
      <x:c r="C107" s="2" t="str">
        <x:v>Mark</x:v>
      </x:c>
      <x:c r="D107" s="2" t="str">
        <x:v>wacky waving arms</x:v>
      </x:c>
      <x:c r="E107" s="15" t="n">
        <x:v>150.05</x:v>
      </x:c>
      <x:c r="F107" s="2" t="str">
        <x:v>Paul</x:v>
      </x:c>
      <x:c r="G107" s="2" t="str">
        <x:v>Space Dogs</x:v>
      </x:c>
      <x:c r="H107" s="15" t="n">
        <x:v>121</x:v>
      </x:c>
      <x:c r="I107" s="2" t="str">
        <x:f>IF(E107&gt;H107,C107,IF(E107&lt;H107,F107,"Tie"))</x:f>
        <x:v>Mark</x:v>
      </x:c>
      <x:c r="J107" s="2" t="str">
        <x:f>IF(E107&gt;H107,F107,IF(E107&lt;H107,C107,"Tie"))</x:f>
        <x:v>Paul</x:v>
      </x:c>
      <x:c r="K107" s="2" t="n">
        <x:f>IF(E107=H107,1,0)</x:f>
        <x:v>0</x:v>
      </x:c>
      <x:c r="L107" s="2" t="str">
        <x:v>Mark / Paul</x:v>
      </x:c>
      <x:c r="M107" t="str"/>
      <x:c r="N107" t="str">
        <x:v>Supplied</x:v>
      </x:c>
      <x:c r="O107" t="str">
        <x:v>*</x:v>
      </x:c>
    </x:row>
    <x:row r="108" ht="22" customHeight="1">
      <x:c r="A108" s="2" t="n">
        <x:v>15</x:v>
      </x:c>
      <x:c r="B108" s="2" t="str">
        <x:v>Playoffs</x:v>
      </x:c>
      <x:c r="C108" s="2" t="str">
        <x:v>Ed</x:v>
      </x:c>
      <x:c r="D108" s="2" t="str">
        <x:v>Fu¢ked Again</x:v>
      </x:c>
      <x:c r="E108" s="15" t="n">
        <x:v>173</x:v>
      </x:c>
      <x:c r="F108" s="2" t="str">
        <x:v>Bruce</x:v>
      </x:c>
      <x:c r="G108" s="2" t="str">
        <x:v>The Storm</x:v>
      </x:c>
      <x:c r="H108" s="15" t="n">
        <x:v>151.8</x:v>
      </x:c>
      <x:c r="I108" s="2" t="str">
        <x:f>IF(E108&gt;H108,C108,IF(E108&lt;H108,F108,"Tie"))</x:f>
        <x:v>Ed</x:v>
      </x:c>
      <x:c r="J108" s="2" t="str">
        <x:f>IF(E108&gt;H108,F108,IF(E108&lt;H108,C108,"Tie"))</x:f>
        <x:v>Bruce</x:v>
      </x:c>
      <x:c r="K108" s="2" t="n">
        <x:f>IF(E108=H108,1,0)</x:f>
        <x:v>0</x:v>
      </x:c>
      <x:c r="L108" s="2" t="str">
        <x:v>Bruce / Ed</x:v>
      </x:c>
      <x:c r="M108" t="str">
        <x:v>Quarterfinal</x:v>
      </x:c>
      <x:c r="N108" t="str">
        <x:v>Inferred</x:v>
      </x:c>
      <x:c r="O108" t="str"/>
    </x:row>
    <x:row r="109" ht="22" customHeight="1">
      <x:c r="A109" s="2" t="n">
        <x:v>15</x:v>
      </x:c>
      <x:c r="B109" s="2" t="str">
        <x:v>Playoffs</x:v>
      </x:c>
      <x:c r="C109" s="2" t="str">
        <x:v>Mark</x:v>
      </x:c>
      <x:c r="D109" s="2" t="str">
        <x:v>wacky waving arms</x:v>
      </x:c>
      <x:c r="E109" s="15" t="n">
        <x:v>126.25</x:v>
      </x:c>
      <x:c r="F109" s="2" t="str">
        <x:v>Paul</x:v>
      </x:c>
      <x:c r="G109" s="2" t="str">
        <x:v>Space Dogs</x:v>
      </x:c>
      <x:c r="H109" s="15" t="n">
        <x:v>158.6</x:v>
      </x:c>
      <x:c r="I109" s="2" t="str">
        <x:f>IF(E109&gt;H109,C109,IF(E109&lt;H109,F109,"Tie"))</x:f>
        <x:v>Paul</x:v>
      </x:c>
      <x:c r="J109" s="2" t="str">
        <x:f>IF(E109&gt;H109,F109,IF(E109&lt;H109,C109,"Tie"))</x:f>
        <x:v>Mark</x:v>
      </x:c>
      <x:c r="K109" s="2" t="n">
        <x:f>IF(E109=H109,1,0)</x:f>
        <x:v>0</x:v>
      </x:c>
      <x:c r="L109" s="2" t="str">
        <x:v>Mark / Paul</x:v>
      </x:c>
      <x:c r="M109" t="str">
        <x:v>Quarterfinal</x:v>
      </x:c>
      <x:c r="N109" t="str">
        <x:v>Inferred</x:v>
      </x:c>
      <x:c r="O109" t="str"/>
    </x:row>
    <x:row r="110" ht="22" customHeight="1">
      <x:c r="A110" s="2" t="n">
        <x:v>16</x:v>
      </x:c>
      <x:c r="B110" s="2" t="str">
        <x:v>Playoffs</x:v>
      </x:c>
      <x:c r="C110" s="2" t="str">
        <x:v>Craig</x:v>
      </x:c>
      <x:c r="D110" s="2" t="str">
        <x:v>The Ants Marching</x:v>
      </x:c>
      <x:c r="E110" s="15" t="n">
        <x:v>145.45</x:v>
      </x:c>
      <x:c r="F110" s="2" t="str">
        <x:v>Ed</x:v>
      </x:c>
      <x:c r="G110" s="2" t="str">
        <x:v>Fu¢ked Again</x:v>
      </x:c>
      <x:c r="H110" s="15" t="n">
        <x:v>121.2</x:v>
      </x:c>
      <x:c r="I110" s="2" t="str">
        <x:f>IF(E110&gt;H110,C110,IF(E110&lt;H110,F110,"Tie"))</x:f>
        <x:v>Craig</x:v>
      </x:c>
      <x:c r="J110" s="2" t="str">
        <x:f>IF(E110&gt;H110,F110,IF(E110&lt;H110,C110,"Tie"))</x:f>
        <x:v>Ed</x:v>
      </x:c>
      <x:c r="K110" s="2" t="n">
        <x:f>IF(E110=H110,1,0)</x:f>
        <x:v>0</x:v>
      </x:c>
      <x:c r="L110" s="2" t="str">
        <x:v>Craig / Ed</x:v>
      </x:c>
      <x:c r="M110" t="str">
        <x:v>Semifinal</x:v>
      </x:c>
      <x:c r="N110" t="str">
        <x:v>Inferred</x:v>
      </x:c>
      <x:c r="O110" t="str"/>
    </x:row>
    <x:row r="111" ht="22" customHeight="1">
      <x:c r="A111" s="2" t="n">
        <x:v>16</x:v>
      </x:c>
      <x:c r="B111" s="2" t="str">
        <x:v>Playoffs</x:v>
      </x:c>
      <x:c r="C111" s="2" t="str">
        <x:v>Paul</x:v>
      </x:c>
      <x:c r="D111" s="2" t="str">
        <x:v>Space Dogs</x:v>
      </x:c>
      <x:c r="E111" s="15" t="n">
        <x:v>149.35</x:v>
      </x:c>
      <x:c r="F111" s="2" t="str">
        <x:v>Michael</x:v>
      </x:c>
      <x:c r="G111" s="2" t="str">
        <x:v>Big Butler Bids</x:v>
      </x:c>
      <x:c r="H111" s="15" t="n">
        <x:v>152</x:v>
      </x:c>
      <x:c r="I111" s="2" t="str">
        <x:f>IF(E111&gt;H111,C111,IF(E111&lt;H111,F111,"Tie"))</x:f>
        <x:v>Michael</x:v>
      </x:c>
      <x:c r="J111" s="2" t="str">
        <x:f>IF(E111&gt;H111,F111,IF(E111&lt;H111,C111,"Tie"))</x:f>
        <x:v>Paul</x:v>
      </x:c>
      <x:c r="K111" s="2" t="n">
        <x:f>IF(E111=H111,1,0)</x:f>
        <x:v>0</x:v>
      </x:c>
      <x:c r="L111" s="2" t="str">
        <x:v>Michael / Paul</x:v>
      </x:c>
      <x:c r="M111" t="str">
        <x:v>Semifinal</x:v>
      </x:c>
      <x:c r="N111" t="str">
        <x:v>Inferred</x:v>
      </x:c>
      <x:c r="O111" t="str"/>
    </x:row>
    <x:row r="112" ht="22" customHeight="1">
      <x:c r="A112" s="2" t="n">
        <x:v>17</x:v>
      </x:c>
      <x:c r="B112" s="2" t="str">
        <x:v>Playoffs</x:v>
      </x:c>
      <x:c r="C112" s="2" t="str">
        <x:v>Craig</x:v>
      </x:c>
      <x:c r="D112" s="2" t="str">
        <x:v>The Ants Marching</x:v>
      </x:c>
      <x:c r="E112" s="15" t="n">
        <x:v>146.05</x:v>
      </x:c>
      <x:c r="F112" s="2" t="str">
        <x:v>Michael</x:v>
      </x:c>
      <x:c r="G112" s="2" t="str">
        <x:v>Big Butler Bids</x:v>
      </x:c>
      <x:c r="H112" s="15" t="n">
        <x:v>110.55</x:v>
      </x:c>
      <x:c r="I112" s="2" t="str">
        <x:f>IF(E112&gt;H112,C112,IF(E112&lt;H112,F112,"Tie"))</x:f>
        <x:v>Craig</x:v>
      </x:c>
      <x:c r="J112" s="2" t="str">
        <x:f>IF(E112&gt;H112,F112,IF(E112&lt;H112,C112,"Tie"))</x:f>
        <x:v>Michael</x:v>
      </x:c>
      <x:c r="K112" s="2" t="n">
        <x:f>IF(E112=H112,1,0)</x:f>
        <x:v>0</x:v>
      </x:c>
      <x:c r="L112" s="2" t="str">
        <x:v>Craig / Michael</x:v>
      </x:c>
      <x:c r="M112" t="str">
        <x:v>Final</x:v>
      </x:c>
      <x:c r="N112" t="str">
        <x:v>Inferred</x:v>
      </x:c>
      <x:c r="O112" t="str"/>
    </x:row>
  </x:sheetData>
  <x:pageMargins left="0.7" right="0.7" top="0.75" bottom="0.75" header="0.3" footer="0.3"/>
  <x:tableParts count="1">
    <x:tablePart xmlns:r="http://schemas.openxmlformats.org/officeDocument/2006/relationships" r:id="Rbe948a8559c248a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4" hidden="0" customWidth="1"/>
    <x:col min="4" max="4" width="29" hidden="0" customWidth="1"/>
    <x:col min="5" max="5" width="12" hidden="0" customWidth="1"/>
    <x:col min="6" max="6" width="14" hidden="0" customWidth="1"/>
    <x:col min="7" max="7" width="29" hidden="0" customWidth="1"/>
    <x:col min="8" max="8" width="12" hidden="0" customWidth="1"/>
    <x:col min="9" max="9" width="15" hidden="0" customWidth="1"/>
    <x:col min="10" max="10" width="15" hidden="0" customWidth="1"/>
    <x:col min="11" max="11" width="9" hidden="0" customWidth="1"/>
    <x:col min="12" max="12" width="27" hidden="0" customWidth="1"/>
    <x:col min="13" max="13" width="16" hidden="0" customWidth="1"/>
    <x:col min="14" max="14" width="15" hidden="0" customWidth="1"/>
    <x:col min="15" max="15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2025 Season History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Standings from supplied regular-season scores. Playoff games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Champion</x:v>
      </x:c>
      <x:c r="B4" s="2" t="str">
        <x:v>Ed</x:v>
      </x:c>
      <x:c r="C4" s="2"/>
      <x:c r="D4" s="2" t="str">
        <x:v>Runner-up</x:v>
      </x:c>
      <x:c r="E4" s="2" t="str">
        <x:v>Mark</x:v>
      </x:c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18" t="str">
        <x:v>Manager</x:v>
      </x:c>
      <x:c r="B6" s="18" t="str">
        <x:v>Team</x:v>
      </x:c>
      <x:c r="C6" s="18" t="str">
        <x:v>W</x:v>
      </x:c>
      <x:c r="D6" s="18" t="str">
        <x:v>L</x:v>
      </x:c>
      <x:c r="E6" s="18" t="str">
        <x:v>T</x:v>
      </x:c>
      <x:c r="F6" s="18" t="str">
        <x:v>Games</x:v>
      </x:c>
      <x:c r="G6" s="18" t="str">
        <x:v>Win %</x:v>
      </x:c>
      <x:c r="H6" s="18" t="str">
        <x:v>PF</x:v>
      </x:c>
      <x:c r="I6" s="18" t="str">
        <x:v>PA</x:v>
      </x:c>
      <x:c r="J6" s="18" t="str">
        <x:v>Moves</x:v>
      </x:c>
      <x:c r="K6" s="18" t="str">
        <x:v>Trades</x:v>
      </x:c>
      <x:c r="L6" s="18" t="str">
        <x:v>Waiver</x:v>
      </x:c>
    </x:row>
    <x:row r="7" ht="22" customHeight="1">
      <x:c r="A7" s="2" t="str">
        <x:v>Bruce</x:v>
      </x:c>
      <x:c r="B7" s="2" t="str">
        <x:v>The Storm</x:v>
      </x:c>
      <x:c r="C7" s="2" t="n">
        <x:f>COUNTIFS('2025'!$I$24:$I$112,A7,'2025'!$B$24:$B$112,"&lt;&gt;Playoffs")</x:f>
        <x:v>3</x:v>
      </x:c>
      <x:c r="D7" s="2" t="n">
        <x:f>COUNTIFS('2025'!$J$24:$J$112,A7,'2025'!$B$24:$B$112,"&lt;&gt;Playoffs")</x:f>
        <x:v>11</x:v>
      </x:c>
      <x:c r="E7" s="2" t="n">
        <x:f>COUNTIFS('2025'!$C$24:$C$112,A7,'2025'!$K$24:$K$112,1,'2025'!$B$24:$B$112,"&lt;&gt;Playoffs")+COUNTIFS('2025'!$F$24:$F$112,A7,'2025'!$K$24:$K$112,1,'2025'!$B$24:$B$112,"&lt;&gt;Playoffs")</x:f>
        <x:v>0</x:v>
      </x:c>
      <x:c r="F7" s="2" t="n">
        <x:f>SUM(C7:E7)</x:f>
        <x:v>14</x:v>
      </x:c>
      <x:c r="G7" s="11" t="n">
        <x:f>IF(F7=0,0,(C7+0.5*E7)/F7)</x:f>
        <x:v>0.21428571428571427</x:v>
      </x:c>
      <x:c r="H7" s="25" t="n">
        <x:f>SUMIFS('2025'!$E$24:$E$112,'2025'!$C$24:$C$112,A7,'2025'!$B$24:$B$112,"&lt;&gt;Playoffs")+SUMIFS('2025'!$H$24:$H$112,'2025'!$F$24:$F$112,A7,'2025'!$B$24:$B$112,"&lt;&gt;Playoffs")</x:f>
        <x:v>1457.1000000000001</x:v>
      </x:c>
      <x:c r="I7" s="25" t="n">
        <x:f>SUMIFS('2025'!$H$24:$H$112,'2025'!$C$24:$C$112,A7,'2025'!$B$24:$B$112,"&lt;&gt;Playoffs")+SUMIFS('2025'!$E$24:$E$112,'2025'!$F$24:$F$112,A7,'2025'!$B$24:$B$112,"&lt;&gt;Playoffs")</x:f>
        <x:v>1807.7</x:v>
      </x:c>
      <x:c r="J7" s="2" t="n">
        <x:v>7</x:v>
      </x:c>
      <x:c r="K7" s="2" t="n">
        <x:v>4</x:v>
      </x:c>
      <x:c r="L7" s="2" t="n">
        <x:v>1</x:v>
      </x:c>
    </x:row>
    <x:row r="8" ht="22" customHeight="1">
      <x:c r="A8" s="22" t="str">
        <x:v>Craig</x:v>
      </x:c>
      <x:c r="B8" s="22" t="str">
        <x:v>The Ants Marching</x:v>
      </x:c>
      <x:c r="C8" s="22" t="n">
        <x:f>COUNTIFS('2025'!$I$24:$I$112,A8,'2025'!$B$24:$B$112,"&lt;&gt;Playoffs")</x:f>
        <x:v>5</x:v>
      </x:c>
      <x:c r="D8" s="22" t="n">
        <x:f>COUNTIFS('2025'!$J$24:$J$112,A8,'2025'!$B$24:$B$112,"&lt;&gt;Playoffs")</x:f>
        <x:v>9</x:v>
      </x:c>
      <x:c r="E8" s="22" t="n">
        <x:f>COUNTIFS('2025'!$C$24:$C$112,A8,'2025'!$K$24:$K$112,1,'2025'!$B$24:$B$112,"&lt;&gt;Playoffs")+COUNTIFS('2025'!$F$24:$F$112,A8,'2025'!$K$24:$K$112,1,'2025'!$B$24:$B$112,"&lt;&gt;Playoffs")</x:f>
        <x:v>0</x:v>
      </x:c>
      <x:c r="F8" s="22" t="n">
        <x:f>SUM(C8:E8)</x:f>
        <x:v>14</x:v>
      </x:c>
      <x:c r="G8" s="23" t="n">
        <x:f>IF(F8=0,0,(C8+0.5*E8)/F8)</x:f>
        <x:v>0.35714285714285715</x:v>
      </x:c>
      <x:c r="H8" s="26" t="n">
        <x:f>SUMIFS('2025'!$E$24:$E$112,'2025'!$C$24:$C$112,A8,'2025'!$B$24:$B$112,"&lt;&gt;Playoffs")+SUMIFS('2025'!$H$24:$H$112,'2025'!$F$24:$F$112,A8,'2025'!$B$24:$B$112,"&lt;&gt;Playoffs")</x:f>
        <x:v>1577.3500000000004</x:v>
      </x:c>
      <x:c r="I8" s="26" t="n">
        <x:f>SUMIFS('2025'!$H$24:$H$112,'2025'!$C$24:$C$112,A8,'2025'!$B$24:$B$112,"&lt;&gt;Playoffs")+SUMIFS('2025'!$E$24:$E$112,'2025'!$F$24:$F$112,A8,'2025'!$B$24:$B$112,"&lt;&gt;Playoffs")</x:f>
        <x:v>1643.5500000000002</x:v>
      </x:c>
      <x:c r="J8" s="22" t="n">
        <x:v>16</x:v>
      </x:c>
      <x:c r="K8" s="22" t="n">
        <x:v>5</x:v>
      </x:c>
      <x:c r="L8" s="22" t="n">
        <x:v>3</x:v>
      </x:c>
    </x:row>
    <x:row r="9" ht="22" customHeight="1">
      <x:c r="A9" s="2" t="str">
        <x:v>Dave</x:v>
      </x:c>
      <x:c r="B9" s="2" t="str">
        <x:v>Mr. Girth</x:v>
      </x:c>
      <x:c r="C9" s="2" t="n">
        <x:f>COUNTIFS('2025'!$I$24:$I$112,A9,'2025'!$B$24:$B$112,"&lt;&gt;Playoffs")</x:f>
        <x:v>6</x:v>
      </x:c>
      <x:c r="D9" s="2" t="n">
        <x:f>COUNTIFS('2025'!$J$24:$J$112,A9,'2025'!$B$24:$B$112,"&lt;&gt;Playoffs")</x:f>
        <x:v>8</x:v>
      </x:c>
      <x:c r="E9" s="2" t="n">
        <x:f>COUNTIFS('2025'!$C$24:$C$112,A9,'2025'!$K$24:$K$112,1,'2025'!$B$24:$B$112,"&lt;&gt;Playoffs")+COUNTIFS('2025'!$F$24:$F$112,A9,'2025'!$K$24:$K$112,1,'2025'!$B$24:$B$112,"&lt;&gt;Playoffs")</x:f>
        <x:v>0</x:v>
      </x:c>
      <x:c r="F9" s="2" t="n">
        <x:f>SUM(C9:E9)</x:f>
        <x:v>14</x:v>
      </x:c>
      <x:c r="G9" s="11" t="n">
        <x:f>IF(F9=0,0,(C9+0.5*E9)/F9)</x:f>
        <x:v>0.42857142857142855</x:v>
      </x:c>
      <x:c r="H9" s="25" t="n">
        <x:f>SUMIFS('2025'!$E$24:$E$112,'2025'!$C$24:$C$112,A9,'2025'!$B$24:$B$112,"&lt;&gt;Playoffs")+SUMIFS('2025'!$H$24:$H$112,'2025'!$F$24:$F$112,A9,'2025'!$B$24:$B$112,"&lt;&gt;Playoffs")</x:f>
        <x:v>1593.6000000000001</x:v>
      </x:c>
      <x:c r="I9" s="25" t="n">
        <x:f>SUMIFS('2025'!$H$24:$H$112,'2025'!$C$24:$C$112,A9,'2025'!$B$24:$B$112,"&lt;&gt;Playoffs")+SUMIFS('2025'!$E$24:$E$112,'2025'!$F$24:$F$112,A9,'2025'!$B$24:$B$112,"&lt;&gt;Playoffs")</x:f>
        <x:v>1538.4499999999998</x:v>
      </x:c>
      <x:c r="J9" s="2" t="n">
        <x:v>9</x:v>
      </x:c>
      <x:c r="K9" s="2" t="n">
        <x:v>2</x:v>
      </x:c>
      <x:c r="L9" s="2" t="n">
        <x:v>5</x:v>
      </x:c>
    </x:row>
    <x:row r="10" ht="22" customHeight="1">
      <x:c r="A10" s="22" t="str">
        <x:v>Ed</x:v>
      </x:c>
      <x:c r="B10" s="22" t="str">
        <x:v>Fu¢ked Again</x:v>
      </x:c>
      <x:c r="C10" s="22" t="n">
        <x:f>COUNTIFS('2025'!$I$24:$I$112,A10,'2025'!$B$24:$B$112,"&lt;&gt;Playoffs")</x:f>
        <x:v>12</x:v>
      </x:c>
      <x:c r="D10" s="22" t="n">
        <x:f>COUNTIFS('2025'!$J$24:$J$112,A10,'2025'!$B$24:$B$112,"&lt;&gt;Playoffs")</x:f>
        <x:v>2</x:v>
      </x:c>
      <x:c r="E10" s="22" t="n">
        <x:f>COUNTIFS('2025'!$C$24:$C$112,A10,'2025'!$K$24:$K$112,1,'2025'!$B$24:$B$112,"&lt;&gt;Playoffs")+COUNTIFS('2025'!$F$24:$F$112,A10,'2025'!$K$24:$K$112,1,'2025'!$B$24:$B$112,"&lt;&gt;Playoffs")</x:f>
        <x:v>0</x:v>
      </x:c>
      <x:c r="F10" s="22" t="n">
        <x:f>SUM(C10:E10)</x:f>
        <x:v>14</x:v>
      </x:c>
      <x:c r="G10" s="23" t="n">
        <x:f>IF(F10=0,0,(C10+0.5*E10)/F10)</x:f>
        <x:v>0.8571428571428571</x:v>
      </x:c>
      <x:c r="H10" s="26" t="n">
        <x:f>SUMIFS('2025'!$E$24:$E$112,'2025'!$C$24:$C$112,A10,'2025'!$B$24:$B$112,"&lt;&gt;Playoffs")+SUMIFS('2025'!$H$24:$H$112,'2025'!$F$24:$F$112,A10,'2025'!$B$24:$B$112,"&lt;&gt;Playoffs")</x:f>
        <x:v>1854.75</x:v>
      </x:c>
      <x:c r="I10" s="26" t="n">
        <x:f>SUMIFS('2025'!$H$24:$H$112,'2025'!$C$24:$C$112,A10,'2025'!$B$24:$B$112,"&lt;&gt;Playoffs")+SUMIFS('2025'!$E$24:$E$112,'2025'!$F$24:$F$112,A10,'2025'!$B$24:$B$112,"&lt;&gt;Playoffs")</x:f>
        <x:v>1516.85</x:v>
      </x:c>
      <x:c r="J10" s="22" t="n">
        <x:v>21</x:v>
      </x:c>
      <x:c r="K10" s="22" t="n">
        <x:v>3</x:v>
      </x:c>
      <x:c r="L10" s="22" t="n">
        <x:v>10</x:v>
      </x:c>
    </x:row>
    <x:row r="11" ht="22" customHeight="1">
      <x:c r="A11" s="2" t="str">
        <x:v>Frank</x:v>
      </x:c>
      <x:c r="B11" s="2" t="str">
        <x:v>McANUS</x:v>
      </x:c>
      <x:c r="C11" s="2" t="n">
        <x:f>COUNTIFS('2025'!$I$24:$I$112,A11,'2025'!$B$24:$B$112,"&lt;&gt;Playoffs")</x:f>
        <x:v>3</x:v>
      </x:c>
      <x:c r="D11" s="2" t="n">
        <x:f>COUNTIFS('2025'!$J$24:$J$112,A11,'2025'!$B$24:$B$112,"&lt;&gt;Playoffs")</x:f>
        <x:v>11</x:v>
      </x:c>
      <x:c r="E11" s="2" t="n">
        <x:f>COUNTIFS('2025'!$C$24:$C$112,A11,'2025'!$K$24:$K$112,1,'2025'!$B$24:$B$112,"&lt;&gt;Playoffs")+COUNTIFS('2025'!$F$24:$F$112,A11,'2025'!$K$24:$K$112,1,'2025'!$B$24:$B$112,"&lt;&gt;Playoffs")</x:f>
        <x:v>0</x:v>
      </x:c>
      <x:c r="F11" s="2" t="n">
        <x:f>SUM(C11:E11)</x:f>
        <x:v>14</x:v>
      </x:c>
      <x:c r="G11" s="11" t="n">
        <x:f>IF(F11=0,0,(C11+0.5*E11)/F11)</x:f>
        <x:v>0.21428571428571427</x:v>
      </x:c>
      <x:c r="H11" s="25" t="n">
        <x:f>SUMIFS('2025'!$E$24:$E$112,'2025'!$C$24:$C$112,A11,'2025'!$B$24:$B$112,"&lt;&gt;Playoffs")+SUMIFS('2025'!$H$24:$H$112,'2025'!$F$24:$F$112,A11,'2025'!$B$24:$B$112,"&lt;&gt;Playoffs")</x:f>
        <x:v>1558.75</x:v>
      </x:c>
      <x:c r="I11" s="25" t="n">
        <x:f>SUMIFS('2025'!$H$24:$H$112,'2025'!$C$24:$C$112,A11,'2025'!$B$24:$B$112,"&lt;&gt;Playoffs")+SUMIFS('2025'!$E$24:$E$112,'2025'!$F$24:$F$112,A11,'2025'!$B$24:$B$112,"&lt;&gt;Playoffs")</x:f>
        <x:v>1786.5500000000002</x:v>
      </x:c>
      <x:c r="J11" s="2" t="n">
        <x:v>13</x:v>
      </x:c>
      <x:c r="K11" s="2" t="n">
        <x:v>1</x:v>
      </x:c>
      <x:c r="L11" s="2" t="n">
        <x:v>2</x:v>
      </x:c>
    </x:row>
    <x:row r="12" ht="22" customHeight="1">
      <x:c r="A12" s="22" t="str">
        <x:v>Josh</x:v>
      </x:c>
      <x:c r="B12" s="22" t="str">
        <x:v>Phony Handshakes</x:v>
      </x:c>
      <x:c r="C12" s="22" t="n">
        <x:f>COUNTIFS('2025'!$I$24:$I$112,A12,'2025'!$B$24:$B$112,"&lt;&gt;Playoffs")</x:f>
        <x:v>10</x:v>
      </x:c>
      <x:c r="D12" s="22" t="n">
        <x:f>COUNTIFS('2025'!$J$24:$J$112,A12,'2025'!$B$24:$B$112,"&lt;&gt;Playoffs")</x:f>
        <x:v>4</x:v>
      </x:c>
      <x:c r="E12" s="22" t="n">
        <x:f>COUNTIFS('2025'!$C$24:$C$112,A12,'2025'!$K$24:$K$112,1,'2025'!$B$24:$B$112,"&lt;&gt;Playoffs")+COUNTIFS('2025'!$F$24:$F$112,A12,'2025'!$K$24:$K$112,1,'2025'!$B$24:$B$112,"&lt;&gt;Playoffs")</x:f>
        <x:v>0</x:v>
      </x:c>
      <x:c r="F12" s="22" t="n">
        <x:f>SUM(C12:E12)</x:f>
        <x:v>14</x:v>
      </x:c>
      <x:c r="G12" s="23" t="n">
        <x:f>IF(F12=0,0,(C12+0.5*E12)/F12)</x:f>
        <x:v>0.7142857142857143</x:v>
      </x:c>
      <x:c r="H12" s="26" t="n">
        <x:f>SUMIFS('2025'!$E$24:$E$112,'2025'!$C$24:$C$112,A12,'2025'!$B$24:$B$112,"&lt;&gt;Playoffs")+SUMIFS('2025'!$H$24:$H$112,'2025'!$F$24:$F$112,A12,'2025'!$B$24:$B$112,"&lt;&gt;Playoffs")</x:f>
        <x:v>1750.8</x:v>
      </x:c>
      <x:c r="I12" s="26" t="n">
        <x:f>SUMIFS('2025'!$H$24:$H$112,'2025'!$C$24:$C$112,A12,'2025'!$B$24:$B$112,"&lt;&gt;Playoffs")+SUMIFS('2025'!$E$24:$E$112,'2025'!$F$24:$F$112,A12,'2025'!$B$24:$B$112,"&lt;&gt;Playoffs")</x:f>
        <x:v>1622.45</x:v>
      </x:c>
      <x:c r="J12" s="22" t="n">
        <x:v>24</x:v>
      </x:c>
      <x:c r="K12" s="22" t="n">
        <x:v>6</x:v>
      </x:c>
      <x:c r="L12" s="22" t="n">
        <x:v>11</x:v>
      </x:c>
    </x:row>
    <x:row r="13" ht="22" customHeight="1">
      <x:c r="A13" s="2" t="str">
        <x:v>Mark</x:v>
      </x:c>
      <x:c r="B13" s="2" t="str">
        <x:v>wacky waving arms</x:v>
      </x:c>
      <x:c r="C13" s="2" t="n">
        <x:f>COUNTIFS('2025'!$I$24:$I$112,A13,'2025'!$B$24:$B$112,"&lt;&gt;Playoffs")</x:f>
        <x:v>7</x:v>
      </x:c>
      <x:c r="D13" s="2" t="n">
        <x:f>COUNTIFS('2025'!$J$24:$J$112,A13,'2025'!$B$24:$B$112,"&lt;&gt;Playoffs")</x:f>
        <x:v>7</x:v>
      </x:c>
      <x:c r="E13" s="2" t="n">
        <x:f>COUNTIFS('2025'!$C$24:$C$112,A13,'2025'!$K$24:$K$112,1,'2025'!$B$24:$B$112,"&lt;&gt;Playoffs")+COUNTIFS('2025'!$F$24:$F$112,A13,'2025'!$K$24:$K$112,1,'2025'!$B$24:$B$112,"&lt;&gt;Playoffs")</x:f>
        <x:v>0</x:v>
      </x:c>
      <x:c r="F13" s="2" t="n">
        <x:f>SUM(C13:E13)</x:f>
        <x:v>14</x:v>
      </x:c>
      <x:c r="G13" s="11" t="n">
        <x:f>IF(F13=0,0,(C13+0.5*E13)/F13)</x:f>
        <x:v>0.5</x:v>
      </x:c>
      <x:c r="H13" s="25" t="n">
        <x:f>SUMIFS('2025'!$E$24:$E$112,'2025'!$C$24:$C$112,A13,'2025'!$B$24:$B$112,"&lt;&gt;Playoffs")+SUMIFS('2025'!$H$24:$H$112,'2025'!$F$24:$F$112,A13,'2025'!$B$24:$B$112,"&lt;&gt;Playoffs")</x:f>
        <x:v>1692.5500000000002</x:v>
      </x:c>
      <x:c r="I13" s="25" t="n">
        <x:f>SUMIFS('2025'!$H$24:$H$112,'2025'!$C$24:$C$112,A13,'2025'!$B$24:$B$112,"&lt;&gt;Playoffs")+SUMIFS('2025'!$E$24:$E$112,'2025'!$F$24:$F$112,A13,'2025'!$B$24:$B$112,"&lt;&gt;Playoffs")</x:f>
        <x:v>1649.6999999999998</x:v>
      </x:c>
      <x:c r="J13" s="2" t="n">
        <x:v>14</x:v>
      </x:c>
      <x:c r="K13" s="2" t="n">
        <x:v>4</x:v>
      </x:c>
      <x:c r="L13" s="2" t="n">
        <x:v>12</x:v>
      </x:c>
    </x:row>
    <x:row r="14" ht="22" customHeight="1">
      <x:c r="A14" s="22" t="str">
        <x:v>Matt</x:v>
      </x:c>
      <x:c r="B14" s="22" t="str">
        <x:v>Perc Rodgers 💊</x:v>
      </x:c>
      <x:c r="C14" s="22" t="n">
        <x:f>COUNTIFS('2025'!$I$24:$I$112,A14,'2025'!$B$24:$B$112,"&lt;&gt;Playoffs")</x:f>
        <x:v>6</x:v>
      </x:c>
      <x:c r="D14" s="22" t="n">
        <x:f>COUNTIFS('2025'!$J$24:$J$112,A14,'2025'!$B$24:$B$112,"&lt;&gt;Playoffs")</x:f>
        <x:v>8</x:v>
      </x:c>
      <x:c r="E14" s="22" t="n">
        <x:f>COUNTIFS('2025'!$C$24:$C$112,A14,'2025'!$K$24:$K$112,1,'2025'!$B$24:$B$112,"&lt;&gt;Playoffs")+COUNTIFS('2025'!$F$24:$F$112,A14,'2025'!$K$24:$K$112,1,'2025'!$B$24:$B$112,"&lt;&gt;Playoffs")</x:f>
        <x:v>0</x:v>
      </x:c>
      <x:c r="F14" s="22" t="n">
        <x:f>SUM(C14:E14)</x:f>
        <x:v>14</x:v>
      </x:c>
      <x:c r="G14" s="23" t="n">
        <x:f>IF(F14=0,0,(C14+0.5*E14)/F14)</x:f>
        <x:v>0.42857142857142855</x:v>
      </x:c>
      <x:c r="H14" s="26" t="n">
        <x:f>SUMIFS('2025'!$E$24:$E$112,'2025'!$C$24:$C$112,A14,'2025'!$B$24:$B$112,"&lt;&gt;Playoffs")+SUMIFS('2025'!$H$24:$H$112,'2025'!$F$24:$F$112,A14,'2025'!$B$24:$B$112,"&lt;&gt;Playoffs")</x:f>
        <x:v>1593.8999999999999</x:v>
      </x:c>
      <x:c r="I14" s="26" t="n">
        <x:f>SUMIFS('2025'!$H$24:$H$112,'2025'!$C$24:$C$112,A14,'2025'!$B$24:$B$112,"&lt;&gt;Playoffs")+SUMIFS('2025'!$E$24:$E$112,'2025'!$F$24:$F$112,A14,'2025'!$B$24:$B$112,"&lt;&gt;Playoffs")</x:f>
        <x:v>1538.1999999999998</x:v>
      </x:c>
      <x:c r="J14" s="22" t="n">
        <x:v>13</x:v>
      </x:c>
      <x:c r="K14" s="22" t="n">
        <x:v>1</x:v>
      </x:c>
      <x:c r="L14" s="22" t="n">
        <x:v>6</x:v>
      </x:c>
    </x:row>
    <x:row r="15" ht="22" customHeight="1">
      <x:c r="A15" s="2" t="str">
        <x:v>Michael</x:v>
      </x:c>
      <x:c r="B15" s="2" t="str">
        <x:v>Big Butler Bids</x:v>
      </x:c>
      <x:c r="C15" s="2" t="n">
        <x:f>COUNTIFS('2025'!$I$24:$I$112,A15,'2025'!$B$24:$B$112,"&lt;&gt;Playoffs")</x:f>
        <x:v>6</x:v>
      </x:c>
      <x:c r="D15" s="2" t="n">
        <x:f>COUNTIFS('2025'!$J$24:$J$112,A15,'2025'!$B$24:$B$112,"&lt;&gt;Playoffs")</x:f>
        <x:v>8</x:v>
      </x:c>
      <x:c r="E15" s="2" t="n">
        <x:f>COUNTIFS('2025'!$C$24:$C$112,A15,'2025'!$K$24:$K$112,1,'2025'!$B$24:$B$112,"&lt;&gt;Playoffs")+COUNTIFS('2025'!$F$24:$F$112,A15,'2025'!$K$24:$K$112,1,'2025'!$B$24:$B$112,"&lt;&gt;Playoffs")</x:f>
        <x:v>0</x:v>
      </x:c>
      <x:c r="F15" s="2" t="n">
        <x:f>SUM(C15:E15)</x:f>
        <x:v>14</x:v>
      </x:c>
      <x:c r="G15" s="11" t="n">
        <x:f>IF(F15=0,0,(C15+0.5*E15)/F15)</x:f>
        <x:v>0.42857142857142855</x:v>
      </x:c>
      <x:c r="H15" s="25" t="n">
        <x:f>SUMIFS('2025'!$E$24:$E$112,'2025'!$C$24:$C$112,A15,'2025'!$B$24:$B$112,"&lt;&gt;Playoffs")+SUMIFS('2025'!$H$24:$H$112,'2025'!$F$24:$F$112,A15,'2025'!$B$24:$B$112,"&lt;&gt;Playoffs")</x:f>
        <x:v>1429.8999999999999</x:v>
      </x:c>
      <x:c r="I15" s="25" t="n">
        <x:f>SUMIFS('2025'!$H$24:$H$112,'2025'!$C$24:$C$112,A15,'2025'!$B$24:$B$112,"&lt;&gt;Playoffs")+SUMIFS('2025'!$E$24:$E$112,'2025'!$F$24:$F$112,A15,'2025'!$B$24:$B$112,"&lt;&gt;Playoffs")</x:f>
        <x:v>1739.1499999999999</x:v>
      </x:c>
      <x:c r="J15" s="2" t="n">
        <x:v>18</x:v>
      </x:c>
      <x:c r="K15" s="2" t="n">
        <x:v>4</x:v>
      </x:c>
      <x:c r="L15" s="2" t="n">
        <x:v>4</x:v>
      </x:c>
    </x:row>
    <x:row r="16" ht="22" customHeight="1">
      <x:c r="A16" s="22" t="str">
        <x:v>Mike</x:v>
      </x:c>
      <x:c r="B16" s="22" t="str">
        <x:v>Team Fluff</x:v>
      </x:c>
      <x:c r="C16" s="22" t="n">
        <x:f>COUNTIFS('2025'!$I$24:$I$112,A16,'2025'!$B$24:$B$112,"&lt;&gt;Playoffs")</x:f>
        <x:v>9</x:v>
      </x:c>
      <x:c r="D16" s="22" t="n">
        <x:f>COUNTIFS('2025'!$J$24:$J$112,A16,'2025'!$B$24:$B$112,"&lt;&gt;Playoffs")</x:f>
        <x:v>5</x:v>
      </x:c>
      <x:c r="E16" s="22" t="n">
        <x:f>COUNTIFS('2025'!$C$24:$C$112,A16,'2025'!$K$24:$K$112,1,'2025'!$B$24:$B$112,"&lt;&gt;Playoffs")+COUNTIFS('2025'!$F$24:$F$112,A16,'2025'!$K$24:$K$112,1,'2025'!$B$24:$B$112,"&lt;&gt;Playoffs")</x:f>
        <x:v>0</x:v>
      </x:c>
      <x:c r="F16" s="22" t="n">
        <x:f>SUM(C16:E16)</x:f>
        <x:v>14</x:v>
      </x:c>
      <x:c r="G16" s="23" t="n">
        <x:f>IF(F16=0,0,(C16+0.5*E16)/F16)</x:f>
        <x:v>0.6428571428571429</x:v>
      </x:c>
      <x:c r="H16" s="26" t="n">
        <x:f>SUMIFS('2025'!$E$24:$E$112,'2025'!$C$24:$C$112,A16,'2025'!$B$24:$B$112,"&lt;&gt;Playoffs")+SUMIFS('2025'!$H$24:$H$112,'2025'!$F$24:$F$112,A16,'2025'!$B$24:$B$112,"&lt;&gt;Playoffs")</x:f>
        <x:v>1781.75</x:v>
      </x:c>
      <x:c r="I16" s="26" t="n">
        <x:f>SUMIFS('2025'!$H$24:$H$112,'2025'!$C$24:$C$112,A16,'2025'!$B$24:$B$112,"&lt;&gt;Playoffs")+SUMIFS('2025'!$E$24:$E$112,'2025'!$F$24:$F$112,A16,'2025'!$B$24:$B$112,"&lt;&gt;Playoffs")</x:f>
        <x:v>1654</x:v>
      </x:c>
      <x:c r="J16" s="22" t="n">
        <x:v>15</x:v>
      </x:c>
      <x:c r="K16" s="22" t="n">
        <x:v>2</x:v>
      </x:c>
      <x:c r="L16" s="22" t="n">
        <x:v>9</x:v>
      </x:c>
    </x:row>
    <x:row r="17" ht="22" customHeight="1">
      <x:c r="A17" s="2" t="str">
        <x:v>Nick</x:v>
      </x:c>
      <x:c r="B17" s="2" t="str">
        <x:v>Ricky Kicks</x:v>
      </x:c>
      <x:c r="C17" s="2" t="n">
        <x:f>COUNTIFS('2025'!$I$24:$I$112,A17,'2025'!$B$24:$B$112,"&lt;&gt;Playoffs")</x:f>
        <x:v>8</x:v>
      </x:c>
      <x:c r="D17" s="2" t="n">
        <x:f>COUNTIFS('2025'!$J$24:$J$112,A17,'2025'!$B$24:$B$112,"&lt;&gt;Playoffs")</x:f>
        <x:v>6</x:v>
      </x:c>
      <x:c r="E17" s="2" t="n">
        <x:f>COUNTIFS('2025'!$C$24:$C$112,A17,'2025'!$K$24:$K$112,1,'2025'!$B$24:$B$112,"&lt;&gt;Playoffs")+COUNTIFS('2025'!$F$24:$F$112,A17,'2025'!$K$24:$K$112,1,'2025'!$B$24:$B$112,"&lt;&gt;Playoffs")</x:f>
        <x:v>0</x:v>
      </x:c>
      <x:c r="F17" s="2" t="n">
        <x:f>SUM(C17:E17)</x:f>
        <x:v>14</x:v>
      </x:c>
      <x:c r="G17" s="11" t="n">
        <x:f>IF(F17=0,0,(C17+0.5*E17)/F17)</x:f>
        <x:v>0.5714285714285714</x:v>
      </x:c>
      <x:c r="H17" s="25" t="n">
        <x:f>SUMIFS('2025'!$E$24:$E$112,'2025'!$C$24:$C$112,A17,'2025'!$B$24:$B$112,"&lt;&gt;Playoffs")+SUMIFS('2025'!$H$24:$H$112,'2025'!$F$24:$F$112,A17,'2025'!$B$24:$B$112,"&lt;&gt;Playoffs")</x:f>
        <x:v>1615.8999999999999</x:v>
      </x:c>
      <x:c r="I17" s="25" t="n">
        <x:f>SUMIFS('2025'!$H$24:$H$112,'2025'!$C$24:$C$112,A17,'2025'!$B$24:$B$112,"&lt;&gt;Playoffs")+SUMIFS('2025'!$E$24:$E$112,'2025'!$F$24:$F$112,A17,'2025'!$B$24:$B$112,"&lt;&gt;Playoffs")</x:f>
        <x:v>1557.75</x:v>
      </x:c>
      <x:c r="J17" s="2" t="n">
        <x:v>11</x:v>
      </x:c>
      <x:c r="K17" s="2" t="n">
        <x:v>0</x:v>
      </x:c>
      <x:c r="L17" s="2" t="n">
        <x:v>7</x:v>
      </x:c>
    </x:row>
    <x:row r="18" ht="22" customHeight="1">
      <x:c r="A18" s="22" t="str">
        <x:v>Ryan</x:v>
      </x:c>
      <x:c r="B18" s="22" t="str">
        <x:v>Blockhead</x:v>
      </x:c>
      <x:c r="C18" s="22" t="n">
        <x:f>COUNTIFS('2025'!$I$24:$I$112,A18,'2025'!$B$24:$B$112,"&lt;&gt;Playoffs")</x:f>
        <x:v>9</x:v>
      </x:c>
      <x:c r="D18" s="22" t="n">
        <x:f>COUNTIFS('2025'!$J$24:$J$112,A18,'2025'!$B$24:$B$112,"&lt;&gt;Playoffs")</x:f>
        <x:v>5</x:v>
      </x:c>
      <x:c r="E18" s="22" t="n">
        <x:f>COUNTIFS('2025'!$C$24:$C$112,A18,'2025'!$K$24:$K$112,1,'2025'!$B$24:$B$112,"&lt;&gt;Playoffs")+COUNTIFS('2025'!$F$24:$F$112,A18,'2025'!$K$24:$K$112,1,'2025'!$B$24:$B$112,"&lt;&gt;Playoffs")</x:f>
        <x:v>0</x:v>
      </x:c>
      <x:c r="F18" s="22" t="n">
        <x:f>SUM(C18:E18)</x:f>
        <x:v>14</x:v>
      </x:c>
      <x:c r="G18" s="23" t="n">
        <x:f>IF(F18=0,0,(C18+0.5*E18)/F18)</x:f>
        <x:v>0.6428571428571429</x:v>
      </x:c>
      <x:c r="H18" s="26" t="n">
        <x:f>SUMIFS('2025'!$E$24:$E$112,'2025'!$C$24:$C$112,A18,'2025'!$B$24:$B$112,"&lt;&gt;Playoffs")+SUMIFS('2025'!$H$24:$H$112,'2025'!$F$24:$F$112,A18,'2025'!$B$24:$B$112,"&lt;&gt;Playoffs")</x:f>
        <x:v>1725.5</x:v>
      </x:c>
      <x:c r="I18" s="26" t="n">
        <x:f>SUMIFS('2025'!$H$24:$H$112,'2025'!$C$24:$C$112,A18,'2025'!$B$24:$B$112,"&lt;&gt;Playoffs")+SUMIFS('2025'!$E$24:$E$112,'2025'!$F$24:$F$112,A18,'2025'!$B$24:$B$112,"&lt;&gt;Playoffs")</x:f>
        <x:v>1577.4999999999998</x:v>
      </x:c>
      <x:c r="J18" s="22" t="n">
        <x:v>32</x:v>
      </x:c>
      <x:c r="K18" s="22" t="n">
        <x:v>2</x:v>
      </x:c>
      <x:c r="L18" s="22" t="n">
        <x:v>8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Source: Yahoo results pasted by Josh. 2015–2016 also from Budzikin_League_History.json, saved version 19.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Byes and projected scores excluded. Only supplied championship-bracket postseason games included.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6" customHeight="1">
      <x:c r="A23" s="18" t="str">
        <x:v>Week</x:v>
      </x:c>
      <x:c r="B23" s="18" t="str">
        <x:v>Phase</x:v>
      </x:c>
      <x:c r="C23" s="18" t="str">
        <x:v>Manager A</x:v>
      </x:c>
      <x:c r="D23" s="18" t="str">
        <x:v>Team A</x:v>
      </x:c>
      <x:c r="E23" s="18" t="str">
        <x:v>Score A</x:v>
      </x:c>
      <x:c r="F23" s="18" t="str">
        <x:v>Manager B</x:v>
      </x:c>
      <x:c r="G23" s="18" t="str">
        <x:v>Team B</x:v>
      </x:c>
      <x:c r="H23" s="18" t="str">
        <x:v>Score B</x:v>
      </x:c>
      <x:c r="I23" s="18" t="str">
        <x:v>Winner</x:v>
      </x:c>
      <x:c r="J23" s="18" t="str">
        <x:v>Loser</x:v>
      </x:c>
      <x:c r="K23" s="18" t="str">
        <x:v>Tie</x:v>
      </x:c>
      <x:c r="L23" s="18" t="str">
        <x:v>Pair</x:v>
      </x:c>
      <x:c r="M23" s="21" t="str">
        <x:v>Round</x:v>
      </x:c>
      <x:c r="N23" s="21" t="str">
        <x:v>Week source</x:v>
      </x:c>
      <x:c r="O23" s="21" t="str">
        <x:v>Source marker</x:v>
      </x:c>
    </x:row>
    <x:row r="24" ht="22" customHeight="1">
      <x:c r="A24" s="2" t="n">
        <x:v>1</x:v>
      </x:c>
      <x:c r="B24" s="2" t="str">
        <x:v>Regular</x:v>
      </x:c>
      <x:c r="C24" s="2" t="str">
        <x:v>Bruce</x:v>
      </x:c>
      <x:c r="D24" s="2" t="str">
        <x:v>The Storm</x:v>
      </x:c>
      <x:c r="E24" s="15" t="n">
        <x:v>58.35</x:v>
      </x:c>
      <x:c r="F24" s="2" t="str">
        <x:v>Nick</x:v>
      </x:c>
      <x:c r="G24" s="2" t="str">
        <x:v>Ricky Kicks</x:v>
      </x:c>
      <x:c r="H24" s="15" t="n">
        <x:v>151.8</x:v>
      </x:c>
      <x:c r="I24" s="2" t="str">
        <x:f>IF(E24&gt;H24,C24,IF(E24&lt;H24,F24,"Tie"))</x:f>
        <x:v>Nick</x:v>
      </x:c>
      <x:c r="J24" s="2" t="str">
        <x:f>IF(E24&gt;H24,F24,IF(E24&lt;H24,C24,"Tie"))</x:f>
        <x:v>Bruce</x:v>
      </x:c>
      <x:c r="K24" s="2" t="n">
        <x:f>IF(E24=H24,1,0)</x:f>
        <x:v>0</x:v>
      </x:c>
      <x:c r="L24" s="2" t="str">
        <x:v>Bruce / Nick</x:v>
      </x:c>
      <x:c r="M24" t="str"/>
      <x:c r="N24" t="str">
        <x:v>Supplied</x:v>
      </x:c>
      <x:c r="O24" t="str">
        <x:v>*</x:v>
      </x:c>
    </x:row>
    <x:row r="25" ht="22" customHeight="1">
      <x:c r="A25" s="2" t="n">
        <x:v>1</x:v>
      </x:c>
      <x:c r="B25" s="2" t="str">
        <x:v>Regular</x:v>
      </x:c>
      <x:c r="C25" s="2" t="str">
        <x:v>Craig</x:v>
      </x:c>
      <x:c r="D25" s="2" t="str">
        <x:v>The Ants Marching</x:v>
      </x:c>
      <x:c r="E25" s="15" t="n">
        <x:v>102.95</x:v>
      </x:c>
      <x:c r="F25" s="2" t="str">
        <x:v>Mark</x:v>
      </x:c>
      <x:c r="G25" s="2" t="str">
        <x:v>wacky waving arms</x:v>
      </x:c>
      <x:c r="H25" s="15" t="n">
        <x:v>109.4</x:v>
      </x:c>
      <x:c r="I25" s="2" t="str">
        <x:f>IF(E25&gt;H25,C25,IF(E25&lt;H25,F25,"Tie"))</x:f>
        <x:v>Mark</x:v>
      </x:c>
      <x:c r="J25" s="2" t="str">
        <x:f>IF(E25&gt;H25,F25,IF(E25&lt;H25,C25,"Tie"))</x:f>
        <x:v>Craig</x:v>
      </x:c>
      <x:c r="K25" s="2" t="n">
        <x:f>IF(E25=H25,1,0)</x:f>
        <x:v>0</x:v>
      </x:c>
      <x:c r="L25" s="2" t="str">
        <x:v>Craig / Mark</x:v>
      </x:c>
      <x:c r="M25" t="str"/>
      <x:c r="N25" t="str">
        <x:v>Supplied</x:v>
      </x:c>
      <x:c r="O25" t="str">
        <x:v>*</x:v>
      </x:c>
    </x:row>
    <x:row r="26" ht="22" customHeight="1">
      <x:c r="A26" s="2" t="n">
        <x:v>1</x:v>
      </x:c>
      <x:c r="B26" s="2" t="str">
        <x:v>Regular</x:v>
      </x:c>
      <x:c r="C26" s="2" t="str">
        <x:v>Dave</x:v>
      </x:c>
      <x:c r="D26" s="2" t="str">
        <x:v>Mr. Girth</x:v>
      </x:c>
      <x:c r="E26" s="15" t="n">
        <x:v>115.3</x:v>
      </x:c>
      <x:c r="F26" s="2" t="str">
        <x:v>Ryan</x:v>
      </x:c>
      <x:c r="G26" s="2" t="str">
        <x:v>Blockhead</x:v>
      </x:c>
      <x:c r="H26" s="15" t="n">
        <x:v>123.25</x:v>
      </x:c>
      <x:c r="I26" s="2" t="str">
        <x:f>IF(E26&gt;H26,C26,IF(E26&lt;H26,F26,"Tie"))</x:f>
        <x:v>Ryan</x:v>
      </x:c>
      <x:c r="J26" s="2" t="str">
        <x:f>IF(E26&gt;H26,F26,IF(E26&lt;H26,C26,"Tie"))</x:f>
        <x:v>Dave</x:v>
      </x:c>
      <x:c r="K26" s="2" t="n">
        <x:f>IF(E26=H26,1,0)</x:f>
        <x:v>0</x:v>
      </x:c>
      <x:c r="L26" s="2" t="str">
        <x:v>Dave / Ryan</x:v>
      </x:c>
      <x:c r="M26" t="str"/>
      <x:c r="N26" t="str">
        <x:v>Supplied</x:v>
      </x:c>
      <x:c r="O26" t="str">
        <x:v>*</x:v>
      </x:c>
    </x:row>
    <x:row r="27" ht="22" customHeight="1">
      <x:c r="A27" s="2" t="n">
        <x:v>1</x:v>
      </x:c>
      <x:c r="B27" s="2" t="str">
        <x:v>Regular</x:v>
      </x:c>
      <x:c r="C27" s="2" t="str">
        <x:v>Ed</x:v>
      </x:c>
      <x:c r="D27" s="2" t="str">
        <x:v>Fu¢ked Again</x:v>
      </x:c>
      <x:c r="E27" s="15" t="n">
        <x:v>120.75</x:v>
      </x:c>
      <x:c r="F27" s="2" t="str">
        <x:v>Josh</x:v>
      </x:c>
      <x:c r="G27" s="2" t="str">
        <x:v>Phony Handshakes</x:v>
      </x:c>
      <x:c r="H27" s="15" t="n">
        <x:v>100.7</x:v>
      </x:c>
      <x:c r="I27" s="2" t="str">
        <x:f>IF(E27&gt;H27,C27,IF(E27&lt;H27,F27,"Tie"))</x:f>
        <x:v>Ed</x:v>
      </x:c>
      <x:c r="J27" s="2" t="str">
        <x:f>IF(E27&gt;H27,F27,IF(E27&lt;H27,C27,"Tie"))</x:f>
        <x:v>Josh</x:v>
      </x:c>
      <x:c r="K27" s="2" t="n">
        <x:f>IF(E27=H27,1,0)</x:f>
        <x:v>0</x:v>
      </x:c>
      <x:c r="L27" s="2" t="str">
        <x:v>Ed / Josh</x:v>
      </x:c>
      <x:c r="M27" t="str"/>
      <x:c r="N27" t="str">
        <x:v>Supplied</x:v>
      </x:c>
      <x:c r="O27" t="str">
        <x:v>*</x:v>
      </x:c>
    </x:row>
    <x:row r="28" ht="22" customHeight="1">
      <x:c r="A28" s="2" t="n">
        <x:v>1</x:v>
      </x:c>
      <x:c r="B28" s="2" t="str">
        <x:v>Regular</x:v>
      </x:c>
      <x:c r="C28" s="2" t="str">
        <x:v>Frank</x:v>
      </x:c>
      <x:c r="D28" s="2" t="str">
        <x:v>McANUS</x:v>
      </x:c>
      <x:c r="E28" s="15" t="n">
        <x:v>115.5</x:v>
      </x:c>
      <x:c r="F28" s="2" t="str">
        <x:v>Mike</x:v>
      </x:c>
      <x:c r="G28" s="2" t="str">
        <x:v>Team Fluff</x:v>
      </x:c>
      <x:c r="H28" s="15" t="n">
        <x:v>128.25</x:v>
      </x:c>
      <x:c r="I28" s="2" t="str">
        <x:f>IF(E28&gt;H28,C28,IF(E28&lt;H28,F28,"Tie"))</x:f>
        <x:v>Mike</x:v>
      </x:c>
      <x:c r="J28" s="2" t="str">
        <x:f>IF(E28&gt;H28,F28,IF(E28&lt;H28,C28,"Tie"))</x:f>
        <x:v>Frank</x:v>
      </x:c>
      <x:c r="K28" s="2" t="n">
        <x:f>IF(E28=H28,1,0)</x:f>
        <x:v>0</x:v>
      </x:c>
      <x:c r="L28" s="2" t="str">
        <x:v>Frank / Mike</x:v>
      </x:c>
      <x:c r="M28" t="str"/>
      <x:c r="N28" t="str">
        <x:v>Supplied</x:v>
      </x:c>
      <x:c r="O28" t="str">
        <x:v>*</x:v>
      </x:c>
    </x:row>
    <x:row r="29" ht="22" customHeight="1">
      <x:c r="A29" s="2" t="n">
        <x:v>1</x:v>
      </x:c>
      <x:c r="B29" s="2" t="str">
        <x:v>Regular</x:v>
      </x:c>
      <x:c r="C29" s="2" t="str">
        <x:v>Matt</x:v>
      </x:c>
      <x:c r="D29" s="2" t="str">
        <x:v>Perc Rodgers 💊</x:v>
      </x:c>
      <x:c r="E29" s="15" t="n">
        <x:v>85.1</x:v>
      </x:c>
      <x:c r="F29" s="2" t="str">
        <x:v>Michael</x:v>
      </x:c>
      <x:c r="G29" s="2" t="str">
        <x:v>Big Butler Bids</x:v>
      </x:c>
      <x:c r="H29" s="15" t="n">
        <x:v>88.75</x:v>
      </x:c>
      <x:c r="I29" s="2" t="str">
        <x:f>IF(E29&gt;H29,C29,IF(E29&lt;H29,F29,"Tie"))</x:f>
        <x:v>Michael</x:v>
      </x:c>
      <x:c r="J29" s="2" t="str">
        <x:f>IF(E29&gt;H29,F29,IF(E29&lt;H29,C29,"Tie"))</x:f>
        <x:v>Matt</x:v>
      </x:c>
      <x:c r="K29" s="2" t="n">
        <x:f>IF(E29=H29,1,0)</x:f>
        <x:v>0</x:v>
      </x:c>
      <x:c r="L29" s="2" t="str">
        <x:v>Matt / Michael</x:v>
      </x:c>
      <x:c r="M29" t="str"/>
      <x:c r="N29" t="str">
        <x:v>Supplied</x:v>
      </x:c>
      <x:c r="O29" t="str">
        <x:v>*</x:v>
      </x:c>
    </x:row>
    <x:row r="30" ht="22" customHeight="1">
      <x:c r="A30" s="2" t="n">
        <x:v>2</x:v>
      </x:c>
      <x:c r="B30" s="2" t="str">
        <x:v>Regular</x:v>
      </x:c>
      <x:c r="C30" s="2" t="str">
        <x:v>Bruce</x:v>
      </x:c>
      <x:c r="D30" s="2" t="str">
        <x:v>The Storm</x:v>
      </x:c>
      <x:c r="E30" s="15" t="n">
        <x:v>88.1</x:v>
      </x:c>
      <x:c r="F30" s="2" t="str">
        <x:v>Matt</x:v>
      </x:c>
      <x:c r="G30" s="2" t="str">
        <x:v>Perc Rodgers 💊</x:v>
      </x:c>
      <x:c r="H30" s="15" t="n">
        <x:v>115.85</x:v>
      </x:c>
      <x:c r="I30" s="2" t="str">
        <x:f>IF(E30&gt;H30,C30,IF(E30&lt;H30,F30,"Tie"))</x:f>
        <x:v>Matt</x:v>
      </x:c>
      <x:c r="J30" s="2" t="str">
        <x:f>IF(E30&gt;H30,F30,IF(E30&lt;H30,C30,"Tie"))</x:f>
        <x:v>Bruce</x:v>
      </x:c>
      <x:c r="K30" s="2" t="n">
        <x:f>IF(E30=H30,1,0)</x:f>
        <x:v>0</x:v>
      </x:c>
      <x:c r="L30" s="2" t="str">
        <x:v>Bruce / Matt</x:v>
      </x:c>
      <x:c r="M30" t="str"/>
      <x:c r="N30" t="str">
        <x:v>Supplied</x:v>
      </x:c>
      <x:c r="O30" t="str"/>
    </x:row>
    <x:row r="31" ht="22" customHeight="1">
      <x:c r="A31" s="2" t="n">
        <x:v>2</x:v>
      </x:c>
      <x:c r="B31" s="2" t="str">
        <x:v>Regular</x:v>
      </x:c>
      <x:c r="C31" s="2" t="str">
        <x:v>Craig</x:v>
      </x:c>
      <x:c r="D31" s="2" t="str">
        <x:v>The Ants Marching</x:v>
      </x:c>
      <x:c r="E31" s="15" t="n">
        <x:v>82.1</x:v>
      </x:c>
      <x:c r="F31" s="2" t="str">
        <x:v>Ed</x:v>
      </x:c>
      <x:c r="G31" s="2" t="str">
        <x:v>Fu¢ked Again</x:v>
      </x:c>
      <x:c r="H31" s="15" t="n">
        <x:v>126.65</x:v>
      </x:c>
      <x:c r="I31" s="2" t="str">
        <x:f>IF(E31&gt;H31,C31,IF(E31&lt;H31,F31,"Tie"))</x:f>
        <x:v>Ed</x:v>
      </x:c>
      <x:c r="J31" s="2" t="str">
        <x:f>IF(E31&gt;H31,F31,IF(E31&lt;H31,C31,"Tie"))</x:f>
        <x:v>Craig</x:v>
      </x:c>
      <x:c r="K31" s="2" t="n">
        <x:f>IF(E31=H31,1,0)</x:f>
        <x:v>0</x:v>
      </x:c>
      <x:c r="L31" s="2" t="str">
        <x:v>Craig / Ed</x:v>
      </x:c>
      <x:c r="M31" t="str"/>
      <x:c r="N31" t="str">
        <x:v>Supplied</x:v>
      </x:c>
      <x:c r="O31" t="str"/>
    </x:row>
    <x:row r="32" ht="22" customHeight="1">
      <x:c r="A32" s="2" t="n">
        <x:v>2</x:v>
      </x:c>
      <x:c r="B32" s="2" t="str">
        <x:v>Regular</x:v>
      </x:c>
      <x:c r="C32" s="2" t="str">
        <x:v>Dave</x:v>
      </x:c>
      <x:c r="D32" s="2" t="str">
        <x:v>Mr. Girth</x:v>
      </x:c>
      <x:c r="E32" s="15" t="n">
        <x:v>114.15</x:v>
      </x:c>
      <x:c r="F32" s="2" t="str">
        <x:v>Josh</x:v>
      </x:c>
      <x:c r="G32" s="2" t="str">
        <x:v>Phony Handshakes</x:v>
      </x:c>
      <x:c r="H32" s="15" t="n">
        <x:v>136.05</x:v>
      </x:c>
      <x:c r="I32" s="2" t="str">
        <x:f>IF(E32&gt;H32,C32,IF(E32&lt;H32,F32,"Tie"))</x:f>
        <x:v>Josh</x:v>
      </x:c>
      <x:c r="J32" s="2" t="str">
        <x:f>IF(E32&gt;H32,F32,IF(E32&lt;H32,C32,"Tie"))</x:f>
        <x:v>Dave</x:v>
      </x:c>
      <x:c r="K32" s="2" t="n">
        <x:f>IF(E32=H32,1,0)</x:f>
        <x:v>0</x:v>
      </x:c>
      <x:c r="L32" s="2" t="str">
        <x:v>Dave / Josh</x:v>
      </x:c>
      <x:c r="M32" t="str"/>
      <x:c r="N32" t="str">
        <x:v>Supplied</x:v>
      </x:c>
      <x:c r="O32" t="str"/>
    </x:row>
    <x:row r="33" ht="22" customHeight="1">
      <x:c r="A33" s="2" t="n">
        <x:v>2</x:v>
      </x:c>
      <x:c r="B33" s="2" t="str">
        <x:v>Regular</x:v>
      </x:c>
      <x:c r="C33" s="2" t="str">
        <x:v>Frank</x:v>
      </x:c>
      <x:c r="D33" s="2" t="str">
        <x:v>McANUS</x:v>
      </x:c>
      <x:c r="E33" s="15" t="n">
        <x:v>91.55</x:v>
      </x:c>
      <x:c r="F33" s="2" t="str">
        <x:v>Michael</x:v>
      </x:c>
      <x:c r="G33" s="2" t="str">
        <x:v>Big Butler Bids</x:v>
      </x:c>
      <x:c r="H33" s="15" t="n">
        <x:v>95.85</x:v>
      </x:c>
      <x:c r="I33" s="2" t="str">
        <x:f>IF(E33&gt;H33,C33,IF(E33&lt;H33,F33,"Tie"))</x:f>
        <x:v>Michael</x:v>
      </x:c>
      <x:c r="J33" s="2" t="str">
        <x:f>IF(E33&gt;H33,F33,IF(E33&lt;H33,C33,"Tie"))</x:f>
        <x:v>Frank</x:v>
      </x:c>
      <x:c r="K33" s="2" t="n">
        <x:f>IF(E33=H33,1,0)</x:f>
        <x:v>0</x:v>
      </x:c>
      <x:c r="L33" s="2" t="str">
        <x:v>Frank / Michael</x:v>
      </x:c>
      <x:c r="M33" t="str"/>
      <x:c r="N33" t="str">
        <x:v>Supplied</x:v>
      </x:c>
      <x:c r="O33" t="str"/>
    </x:row>
    <x:row r="34" ht="22" customHeight="1">
      <x:c r="A34" s="2" t="n">
        <x:v>2</x:v>
      </x:c>
      <x:c r="B34" s="2" t="str">
        <x:v>Regular</x:v>
      </x:c>
      <x:c r="C34" s="2" t="str">
        <x:v>Mike</x:v>
      </x:c>
      <x:c r="D34" s="2" t="str">
        <x:v>Team Fluff</x:v>
      </x:c>
      <x:c r="E34" s="15" t="n">
        <x:v>141.15</x:v>
      </x:c>
      <x:c r="F34" s="2" t="str">
        <x:v>Nick</x:v>
      </x:c>
      <x:c r="G34" s="2" t="str">
        <x:v>Ricky Kicks</x:v>
      </x:c>
      <x:c r="H34" s="15" t="n">
        <x:v>98.2</x:v>
      </x:c>
      <x:c r="I34" s="2" t="str">
        <x:f>IF(E34&gt;H34,C34,IF(E34&lt;H34,F34,"Tie"))</x:f>
        <x:v>Mike</x:v>
      </x:c>
      <x:c r="J34" s="2" t="str">
        <x:f>IF(E34&gt;H34,F34,IF(E34&lt;H34,C34,"Tie"))</x:f>
        <x:v>Nick</x:v>
      </x:c>
      <x:c r="K34" s="2" t="n">
        <x:f>IF(E34=H34,1,0)</x:f>
        <x:v>0</x:v>
      </x:c>
      <x:c r="L34" s="2" t="str">
        <x:v>Mike / Nick</x:v>
      </x:c>
      <x:c r="M34" t="str"/>
      <x:c r="N34" t="str">
        <x:v>Supplied</x:v>
      </x:c>
      <x:c r="O34" t="str"/>
    </x:row>
    <x:row r="35" ht="22" customHeight="1">
      <x:c r="A35" s="2" t="n">
        <x:v>2</x:v>
      </x:c>
      <x:c r="B35" s="2" t="str">
        <x:v>Regular</x:v>
      </x:c>
      <x:c r="C35" s="2" t="str">
        <x:v>Mark</x:v>
      </x:c>
      <x:c r="D35" s="2" t="str">
        <x:v>wacky waving arms</x:v>
      </x:c>
      <x:c r="E35" s="15" t="n">
        <x:v>128.65</x:v>
      </x:c>
      <x:c r="F35" s="2" t="str">
        <x:v>Ryan</x:v>
      </x:c>
      <x:c r="G35" s="2" t="str">
        <x:v>Blockhead</x:v>
      </x:c>
      <x:c r="H35" s="15" t="n">
        <x:v>153.2</x:v>
      </x:c>
      <x:c r="I35" s="2" t="str">
        <x:f>IF(E35&gt;H35,C35,IF(E35&lt;H35,F35,"Tie"))</x:f>
        <x:v>Ryan</x:v>
      </x:c>
      <x:c r="J35" s="2" t="str">
        <x:f>IF(E35&gt;H35,F35,IF(E35&lt;H35,C35,"Tie"))</x:f>
        <x:v>Mark</x:v>
      </x:c>
      <x:c r="K35" s="2" t="n">
        <x:f>IF(E35=H35,1,0)</x:f>
        <x:v>0</x:v>
      </x:c>
      <x:c r="L35" s="2" t="str">
        <x:v>Mark / Ryan</x:v>
      </x:c>
      <x:c r="M35" t="str"/>
      <x:c r="N35" t="str">
        <x:v>Supplied</x:v>
      </x:c>
      <x:c r="O35" t="str"/>
    </x:row>
    <x:row r="36" ht="22" customHeight="1">
      <x:c r="A36" s="2" t="n">
        <x:v>3</x:v>
      </x:c>
      <x:c r="B36" s="2" t="str">
        <x:v>Regular</x:v>
      </x:c>
      <x:c r="C36" s="2" t="str">
        <x:v>Bruce</x:v>
      </x:c>
      <x:c r="D36" s="2" t="str">
        <x:v>The Storm</x:v>
      </x:c>
      <x:c r="E36" s="15" t="n">
        <x:v>123</x:v>
      </x:c>
      <x:c r="F36" s="2" t="str">
        <x:v>Michael</x:v>
      </x:c>
      <x:c r="G36" s="2" t="str">
        <x:v>Big Butler Bids</x:v>
      </x:c>
      <x:c r="H36" s="15" t="n">
        <x:v>138.2</x:v>
      </x:c>
      <x:c r="I36" s="2" t="str">
        <x:f>IF(E36&gt;H36,C36,IF(E36&lt;H36,F36,"Tie"))</x:f>
        <x:v>Michael</x:v>
      </x:c>
      <x:c r="J36" s="2" t="str">
        <x:f>IF(E36&gt;H36,F36,IF(E36&lt;H36,C36,"Tie"))</x:f>
        <x:v>Bruce</x:v>
      </x:c>
      <x:c r="K36" s="2" t="n">
        <x:f>IF(E36=H36,1,0)</x:f>
        <x:v>0</x:v>
      </x:c>
      <x:c r="L36" s="2" t="str">
        <x:v>Bruce / Michael</x:v>
      </x:c>
      <x:c r="M36" t="str"/>
      <x:c r="N36" t="str">
        <x:v>Supplied</x:v>
      </x:c>
      <x:c r="O36" t="str"/>
    </x:row>
    <x:row r="37" ht="22" customHeight="1">
      <x:c r="A37" s="2" t="n">
        <x:v>3</x:v>
      </x:c>
      <x:c r="B37" s="2" t="str">
        <x:v>Regular</x:v>
      </x:c>
      <x:c r="C37" s="2" t="str">
        <x:v>Craig</x:v>
      </x:c>
      <x:c r="D37" s="2" t="str">
        <x:v>The Ants Marching</x:v>
      </x:c>
      <x:c r="E37" s="15" t="n">
        <x:v>101.05</x:v>
      </x:c>
      <x:c r="F37" s="2" t="str">
        <x:v>Dave</x:v>
      </x:c>
      <x:c r="G37" s="2" t="str">
        <x:v>Mr. Girth</x:v>
      </x:c>
      <x:c r="H37" s="15" t="n">
        <x:v>90</x:v>
      </x:c>
      <x:c r="I37" s="2" t="str">
        <x:f>IF(E37&gt;H37,C37,IF(E37&lt;H37,F37,"Tie"))</x:f>
        <x:v>Craig</x:v>
      </x:c>
      <x:c r="J37" s="2" t="str">
        <x:f>IF(E37&gt;H37,F37,IF(E37&lt;H37,C37,"Tie"))</x:f>
        <x:v>Dave</x:v>
      </x:c>
      <x:c r="K37" s="2" t="n">
        <x:f>IF(E37=H37,1,0)</x:f>
        <x:v>0</x:v>
      </x:c>
      <x:c r="L37" s="2" t="str">
        <x:v>Craig / Dave</x:v>
      </x:c>
      <x:c r="M37" t="str"/>
      <x:c r="N37" t="str">
        <x:v>Supplied</x:v>
      </x:c>
      <x:c r="O37" t="str"/>
    </x:row>
    <x:row r="38" ht="22" customHeight="1">
      <x:c r="A38" s="2" t="n">
        <x:v>3</x:v>
      </x:c>
      <x:c r="B38" s="2" t="str">
        <x:v>Regular</x:v>
      </x:c>
      <x:c r="C38" s="2" t="str">
        <x:v>Ed</x:v>
      </x:c>
      <x:c r="D38" s="2" t="str">
        <x:v>Fu¢ked Again</x:v>
      </x:c>
      <x:c r="E38" s="15" t="n">
        <x:v>129.75</x:v>
      </x:c>
      <x:c r="F38" s="2" t="str">
        <x:v>Mark</x:v>
      </x:c>
      <x:c r="G38" s="2" t="str">
        <x:v>wacky waving arms</x:v>
      </x:c>
      <x:c r="H38" s="15" t="n">
        <x:v>146.3</x:v>
      </x:c>
      <x:c r="I38" s="2" t="str">
        <x:f>IF(E38&gt;H38,C38,IF(E38&lt;H38,F38,"Tie"))</x:f>
        <x:v>Mark</x:v>
      </x:c>
      <x:c r="J38" s="2" t="str">
        <x:f>IF(E38&gt;H38,F38,IF(E38&lt;H38,C38,"Tie"))</x:f>
        <x:v>Ed</x:v>
      </x:c>
      <x:c r="K38" s="2" t="n">
        <x:f>IF(E38=H38,1,0)</x:f>
        <x:v>0</x:v>
      </x:c>
      <x:c r="L38" s="2" t="str">
        <x:v>Ed / Mark</x:v>
      </x:c>
      <x:c r="M38" t="str"/>
      <x:c r="N38" t="str">
        <x:v>Supplied</x:v>
      </x:c>
      <x:c r="O38" t="str"/>
    </x:row>
    <x:row r="39" ht="22" customHeight="1">
      <x:c r="A39" s="2" t="n">
        <x:v>3</x:v>
      </x:c>
      <x:c r="B39" s="2" t="str">
        <x:v>Regular</x:v>
      </x:c>
      <x:c r="C39" s="2" t="str">
        <x:v>Frank</x:v>
      </x:c>
      <x:c r="D39" s="2" t="str">
        <x:v>McANUS</x:v>
      </x:c>
      <x:c r="E39" s="15" t="n">
        <x:v>105.2</x:v>
      </x:c>
      <x:c r="F39" s="2" t="str">
        <x:v>Nick</x:v>
      </x:c>
      <x:c r="G39" s="2" t="str">
        <x:v>Ricky Kicks</x:v>
      </x:c>
      <x:c r="H39" s="15" t="n">
        <x:v>87.65</x:v>
      </x:c>
      <x:c r="I39" s="2" t="str">
        <x:f>IF(E39&gt;H39,C39,IF(E39&lt;H39,F39,"Tie"))</x:f>
        <x:v>Frank</x:v>
      </x:c>
      <x:c r="J39" s="2" t="str">
        <x:f>IF(E39&gt;H39,F39,IF(E39&lt;H39,C39,"Tie"))</x:f>
        <x:v>Nick</x:v>
      </x:c>
      <x:c r="K39" s="2" t="n">
        <x:f>IF(E39=H39,1,0)</x:f>
        <x:v>0</x:v>
      </x:c>
      <x:c r="L39" s="2" t="str">
        <x:v>Frank / Nick</x:v>
      </x:c>
      <x:c r="M39" t="str"/>
      <x:c r="N39" t="str">
        <x:v>Supplied</x:v>
      </x:c>
      <x:c r="O39" t="str"/>
    </x:row>
    <x:row r="40" ht="22" customHeight="1">
      <x:c r="A40" s="2" t="n">
        <x:v>3</x:v>
      </x:c>
      <x:c r="B40" s="2" t="str">
        <x:v>Regular</x:v>
      </x:c>
      <x:c r="C40" s="2" t="str">
        <x:v>Mike</x:v>
      </x:c>
      <x:c r="D40" s="2" t="str">
        <x:v>Team Fluff</x:v>
      </x:c>
      <x:c r="E40" s="15" t="n">
        <x:v>149.1</x:v>
      </x:c>
      <x:c r="F40" s="2" t="str">
        <x:v>Matt</x:v>
      </x:c>
      <x:c r="G40" s="2" t="str">
        <x:v>Perc Rodgers 💊</x:v>
      </x:c>
      <x:c r="H40" s="15" t="n">
        <x:v>82.5</x:v>
      </x:c>
      <x:c r="I40" s="2" t="str">
        <x:f>IF(E40&gt;H40,C40,IF(E40&lt;H40,F40,"Tie"))</x:f>
        <x:v>Mike</x:v>
      </x:c>
      <x:c r="J40" s="2" t="str">
        <x:f>IF(E40&gt;H40,F40,IF(E40&lt;H40,C40,"Tie"))</x:f>
        <x:v>Matt</x:v>
      </x:c>
      <x:c r="K40" s="2" t="n">
        <x:f>IF(E40=H40,1,0)</x:f>
        <x:v>0</x:v>
      </x:c>
      <x:c r="L40" s="2" t="str">
        <x:v>Matt / Mike</x:v>
      </x:c>
      <x:c r="M40" t="str"/>
      <x:c r="N40" t="str">
        <x:v>Supplied</x:v>
      </x:c>
      <x:c r="O40" t="str"/>
    </x:row>
    <x:row r="41" ht="22" customHeight="1">
      <x:c r="A41" s="2" t="n">
        <x:v>3</x:v>
      </x:c>
      <x:c r="B41" s="2" t="str">
        <x:v>Regular</x:v>
      </x:c>
      <x:c r="C41" s="2" t="str">
        <x:v>Josh</x:v>
      </x:c>
      <x:c r="D41" s="2" t="str">
        <x:v>Phony Handshakes</x:v>
      </x:c>
      <x:c r="E41" s="15" t="n">
        <x:v>117.25</x:v>
      </x:c>
      <x:c r="F41" s="2" t="str">
        <x:v>Ryan</x:v>
      </x:c>
      <x:c r="G41" s="2" t="str">
        <x:v>Blockhead</x:v>
      </x:c>
      <x:c r="H41" s="15" t="n">
        <x:v>86.85</x:v>
      </x:c>
      <x:c r="I41" s="2" t="str">
        <x:f>IF(E41&gt;H41,C41,IF(E41&lt;H41,F41,"Tie"))</x:f>
        <x:v>Josh</x:v>
      </x:c>
      <x:c r="J41" s="2" t="str">
        <x:f>IF(E41&gt;H41,F41,IF(E41&lt;H41,C41,"Tie"))</x:f>
        <x:v>Ryan</x:v>
      </x:c>
      <x:c r="K41" s="2" t="n">
        <x:f>IF(E41=H41,1,0)</x:f>
        <x:v>0</x:v>
      </x:c>
      <x:c r="L41" s="2" t="str">
        <x:v>Josh / Ryan</x:v>
      </x:c>
      <x:c r="M41" t="str"/>
      <x:c r="N41" t="str">
        <x:v>Supplied</x:v>
      </x:c>
      <x:c r="O41" t="str"/>
    </x:row>
    <x:row r="42" ht="22" customHeight="1">
      <x:c r="A42" s="2" t="n">
        <x:v>4</x:v>
      </x:c>
      <x:c r="B42" s="2" t="str">
        <x:v>Regular</x:v>
      </x:c>
      <x:c r="C42" s="2" t="str">
        <x:v>Bruce</x:v>
      </x:c>
      <x:c r="D42" s="2" t="str">
        <x:v>The Storm</x:v>
      </x:c>
      <x:c r="E42" s="15" t="n">
        <x:v>123.05</x:v>
      </x:c>
      <x:c r="F42" s="2" t="str">
        <x:v>Ed</x:v>
      </x:c>
      <x:c r="G42" s="2" t="str">
        <x:v>Fu¢ked Again</x:v>
      </x:c>
      <x:c r="H42" s="15" t="n">
        <x:v>152.35</x:v>
      </x:c>
      <x:c r="I42" s="2" t="str">
        <x:f>IF(E42&gt;H42,C42,IF(E42&lt;H42,F42,"Tie"))</x:f>
        <x:v>Ed</x:v>
      </x:c>
      <x:c r="J42" s="2" t="str">
        <x:f>IF(E42&gt;H42,F42,IF(E42&lt;H42,C42,"Tie"))</x:f>
        <x:v>Bruce</x:v>
      </x:c>
      <x:c r="K42" s="2" t="n">
        <x:f>IF(E42=H42,1,0)</x:f>
        <x:v>0</x:v>
      </x:c>
      <x:c r="L42" s="2" t="str">
        <x:v>Bruce / Ed</x:v>
      </x:c>
      <x:c r="M42" t="str"/>
      <x:c r="N42" t="str">
        <x:v>Supplied</x:v>
      </x:c>
      <x:c r="O42" t="str">
        <x:v>*</x:v>
      </x:c>
    </x:row>
    <x:row r="43" ht="22" customHeight="1">
      <x:c r="A43" s="2" t="n">
        <x:v>4</x:v>
      </x:c>
      <x:c r="B43" s="2" t="str">
        <x:v>Regular</x:v>
      </x:c>
      <x:c r="C43" s="2" t="str">
        <x:v>Craig</x:v>
      </x:c>
      <x:c r="D43" s="2" t="str">
        <x:v>The Ants Marching</x:v>
      </x:c>
      <x:c r="E43" s="15" t="n">
        <x:v>139.7</x:v>
      </x:c>
      <x:c r="F43" s="2" t="str">
        <x:v>Frank</x:v>
      </x:c>
      <x:c r="G43" s="2" t="str">
        <x:v>McANUS</x:v>
      </x:c>
      <x:c r="H43" s="15" t="n">
        <x:v>145.7</x:v>
      </x:c>
      <x:c r="I43" s="2" t="str">
        <x:f>IF(E43&gt;H43,C43,IF(E43&lt;H43,F43,"Tie"))</x:f>
        <x:v>Frank</x:v>
      </x:c>
      <x:c r="J43" s="2" t="str">
        <x:f>IF(E43&gt;H43,F43,IF(E43&lt;H43,C43,"Tie"))</x:f>
        <x:v>Craig</x:v>
      </x:c>
      <x:c r="K43" s="2" t="n">
        <x:f>IF(E43=H43,1,0)</x:f>
        <x:v>0</x:v>
      </x:c>
      <x:c r="L43" s="2" t="str">
        <x:v>Craig / Frank</x:v>
      </x:c>
      <x:c r="M43" t="str"/>
      <x:c r="N43" t="str">
        <x:v>Supplied</x:v>
      </x:c>
      <x:c r="O43" t="str">
        <x:v>*</x:v>
      </x:c>
    </x:row>
    <x:row r="44" ht="22" customHeight="1">
      <x:c r="A44" s="2" t="n">
        <x:v>4</x:v>
      </x:c>
      <x:c r="B44" s="2" t="str">
        <x:v>Regular</x:v>
      </x:c>
      <x:c r="C44" s="2" t="str">
        <x:v>Dave</x:v>
      </x:c>
      <x:c r="D44" s="2" t="str">
        <x:v>Mr. Girth</x:v>
      </x:c>
      <x:c r="E44" s="15" t="n">
        <x:v>105.5</x:v>
      </x:c>
      <x:c r="F44" s="2" t="str">
        <x:v>Michael</x:v>
      </x:c>
      <x:c r="G44" s="2" t="str">
        <x:v>Big Butler Bids</x:v>
      </x:c>
      <x:c r="H44" s="15" t="n">
        <x:v>107.85</x:v>
      </x:c>
      <x:c r="I44" s="2" t="str">
        <x:f>IF(E44&gt;H44,C44,IF(E44&lt;H44,F44,"Tie"))</x:f>
        <x:v>Michael</x:v>
      </x:c>
      <x:c r="J44" s="2" t="str">
        <x:f>IF(E44&gt;H44,F44,IF(E44&lt;H44,C44,"Tie"))</x:f>
        <x:v>Dave</x:v>
      </x:c>
      <x:c r="K44" s="2" t="n">
        <x:f>IF(E44=H44,1,0)</x:f>
        <x:v>0</x:v>
      </x:c>
      <x:c r="L44" s="2" t="str">
        <x:v>Dave / Michael</x:v>
      </x:c>
      <x:c r="M44" t="str"/>
      <x:c r="N44" t="str">
        <x:v>Supplied</x:v>
      </x:c>
      <x:c r="O44" t="str">
        <x:v>*</x:v>
      </x:c>
    </x:row>
    <x:row r="45" ht="22" customHeight="1">
      <x:c r="A45" s="2" t="n">
        <x:v>4</x:v>
      </x:c>
      <x:c r="B45" s="2" t="str">
        <x:v>Regular</x:v>
      </x:c>
      <x:c r="C45" s="2" t="str">
        <x:v>Mike</x:v>
      </x:c>
      <x:c r="D45" s="2" t="str">
        <x:v>Team Fluff</x:v>
      </x:c>
      <x:c r="E45" s="15" t="n">
        <x:v>122.25</x:v>
      </x:c>
      <x:c r="F45" s="2" t="str">
        <x:v>Mark</x:v>
      </x:c>
      <x:c r="G45" s="2" t="str">
        <x:v>wacky waving arms</x:v>
      </x:c>
      <x:c r="H45" s="15" t="n">
        <x:v>120</x:v>
      </x:c>
      <x:c r="I45" s="2" t="str">
        <x:f>IF(E45&gt;H45,C45,IF(E45&lt;H45,F45,"Tie"))</x:f>
        <x:v>Mike</x:v>
      </x:c>
      <x:c r="J45" s="2" t="str">
        <x:f>IF(E45&gt;H45,F45,IF(E45&lt;H45,C45,"Tie"))</x:f>
        <x:v>Mark</x:v>
      </x:c>
      <x:c r="K45" s="2" t="n">
        <x:f>IF(E45=H45,1,0)</x:f>
        <x:v>0</x:v>
      </x:c>
      <x:c r="L45" s="2" t="str">
        <x:v>Mark / Mike</x:v>
      </x:c>
      <x:c r="M45" t="str"/>
      <x:c r="N45" t="str">
        <x:v>Supplied</x:v>
      </x:c>
      <x:c r="O45" t="str">
        <x:v>*</x:v>
      </x:c>
    </x:row>
    <x:row r="46" ht="22" customHeight="1">
      <x:c r="A46" s="2" t="n">
        <x:v>4</x:v>
      </x:c>
      <x:c r="B46" s="2" t="str">
        <x:v>Regular</x:v>
      </x:c>
      <x:c r="C46" s="2" t="str">
        <x:v>Josh</x:v>
      </x:c>
      <x:c r="D46" s="2" t="str">
        <x:v>Phony Handshakes</x:v>
      </x:c>
      <x:c r="E46" s="15" t="n">
        <x:v>118.35</x:v>
      </x:c>
      <x:c r="F46" s="2" t="str">
        <x:v>Nick</x:v>
      </x:c>
      <x:c r="G46" s="2" t="str">
        <x:v>Ricky Kicks</x:v>
      </x:c>
      <x:c r="H46" s="15" t="n">
        <x:v>144.25</x:v>
      </x:c>
      <x:c r="I46" s="2" t="str">
        <x:f>IF(E46&gt;H46,C46,IF(E46&lt;H46,F46,"Tie"))</x:f>
        <x:v>Nick</x:v>
      </x:c>
      <x:c r="J46" s="2" t="str">
        <x:f>IF(E46&gt;H46,F46,IF(E46&lt;H46,C46,"Tie"))</x:f>
        <x:v>Josh</x:v>
      </x:c>
      <x:c r="K46" s="2" t="n">
        <x:f>IF(E46=H46,1,0)</x:f>
        <x:v>0</x:v>
      </x:c>
      <x:c r="L46" s="2" t="str">
        <x:v>Josh / Nick</x:v>
      </x:c>
      <x:c r="M46" t="str"/>
      <x:c r="N46" t="str">
        <x:v>Supplied</x:v>
      </x:c>
      <x:c r="O46" t="str">
        <x:v>*</x:v>
      </x:c>
    </x:row>
    <x:row r="47" ht="22" customHeight="1">
      <x:c r="A47" s="2" t="n">
        <x:v>4</x:v>
      </x:c>
      <x:c r="B47" s="2" t="str">
        <x:v>Regular</x:v>
      </x:c>
      <x:c r="C47" s="2" t="str">
        <x:v>Matt</x:v>
      </x:c>
      <x:c r="D47" s="2" t="str">
        <x:v>Perc Rodgers 💊</x:v>
      </x:c>
      <x:c r="E47" s="15" t="n">
        <x:v>112.9</x:v>
      </x:c>
      <x:c r="F47" s="2" t="str">
        <x:v>Ryan</x:v>
      </x:c>
      <x:c r="G47" s="2" t="str">
        <x:v>Blockhead</x:v>
      </x:c>
      <x:c r="H47" s="15" t="n">
        <x:v>95.15</x:v>
      </x:c>
      <x:c r="I47" s="2" t="str">
        <x:f>IF(E47&gt;H47,C47,IF(E47&lt;H47,F47,"Tie"))</x:f>
        <x:v>Matt</x:v>
      </x:c>
      <x:c r="J47" s="2" t="str">
        <x:f>IF(E47&gt;H47,F47,IF(E47&lt;H47,C47,"Tie"))</x:f>
        <x:v>Ryan</x:v>
      </x:c>
      <x:c r="K47" s="2" t="n">
        <x:f>IF(E47=H47,1,0)</x:f>
        <x:v>0</x:v>
      </x:c>
      <x:c r="L47" s="2" t="str">
        <x:v>Matt / Ryan</x:v>
      </x:c>
      <x:c r="M47" t="str"/>
      <x:c r="N47" t="str">
        <x:v>Supplied</x:v>
      </x:c>
      <x:c r="O47" t="str">
        <x:v>*</x:v>
      </x:c>
    </x:row>
    <x:row r="48" ht="22" customHeight="1">
      <x:c r="A48" s="2" t="n">
        <x:v>5</x:v>
      </x:c>
      <x:c r="B48" s="2" t="str">
        <x:v>Regular</x:v>
      </x:c>
      <x:c r="C48" s="2" t="str">
        <x:v>Bruce</x:v>
      </x:c>
      <x:c r="D48" s="2" t="str">
        <x:v>The Storm</x:v>
      </x:c>
      <x:c r="E48" s="15" t="n">
        <x:v>112.3</x:v>
      </x:c>
      <x:c r="F48" s="2" t="str">
        <x:v>Mike</x:v>
      </x:c>
      <x:c r="G48" s="2" t="str">
        <x:v>Team Fluff</x:v>
      </x:c>
      <x:c r="H48" s="15" t="n">
        <x:v>106</x:v>
      </x:c>
      <x:c r="I48" s="2" t="str">
        <x:f>IF(E48&gt;H48,C48,IF(E48&lt;H48,F48,"Tie"))</x:f>
        <x:v>Bruce</x:v>
      </x:c>
      <x:c r="J48" s="2" t="str">
        <x:f>IF(E48&gt;H48,F48,IF(E48&lt;H48,C48,"Tie"))</x:f>
        <x:v>Mike</x:v>
      </x:c>
      <x:c r="K48" s="2" t="n">
        <x:f>IF(E48=H48,1,0)</x:f>
        <x:v>0</x:v>
      </x:c>
      <x:c r="L48" s="2" t="str">
        <x:v>Bruce / Mike</x:v>
      </x:c>
      <x:c r="M48" t="str"/>
      <x:c r="N48" t="str">
        <x:v>Supplied</x:v>
      </x:c>
      <x:c r="O48" t="str"/>
    </x:row>
    <x:row r="49" ht="22" customHeight="1">
      <x:c r="A49" s="2" t="n">
        <x:v>5</x:v>
      </x:c>
      <x:c r="B49" s="2" t="str">
        <x:v>Regular</x:v>
      </x:c>
      <x:c r="C49" s="2" t="str">
        <x:v>Craig</x:v>
      </x:c>
      <x:c r="D49" s="2" t="str">
        <x:v>The Ants Marching</x:v>
      </x:c>
      <x:c r="E49" s="15" t="n">
        <x:v>120.5</x:v>
      </x:c>
      <x:c r="F49" s="2" t="str">
        <x:v>Josh</x:v>
      </x:c>
      <x:c r="G49" s="2" t="str">
        <x:v>Phony Handshakes</x:v>
      </x:c>
      <x:c r="H49" s="15" t="n">
        <x:v>143.75</x:v>
      </x:c>
      <x:c r="I49" s="2" t="str">
        <x:f>IF(E49&gt;H49,C49,IF(E49&lt;H49,F49,"Tie"))</x:f>
        <x:v>Josh</x:v>
      </x:c>
      <x:c r="J49" s="2" t="str">
        <x:f>IF(E49&gt;H49,F49,IF(E49&lt;H49,C49,"Tie"))</x:f>
        <x:v>Craig</x:v>
      </x:c>
      <x:c r="K49" s="2" t="n">
        <x:f>IF(E49=H49,1,0)</x:f>
        <x:v>0</x:v>
      </x:c>
      <x:c r="L49" s="2" t="str">
        <x:v>Craig / Josh</x:v>
      </x:c>
      <x:c r="M49" t="str"/>
      <x:c r="N49" t="str">
        <x:v>Supplied</x:v>
      </x:c>
      <x:c r="O49" t="str"/>
    </x:row>
    <x:row r="50" ht="22" customHeight="1">
      <x:c r="A50" s="2" t="n">
        <x:v>5</x:v>
      </x:c>
      <x:c r="B50" s="2" t="str">
        <x:v>Regular</x:v>
      </x:c>
      <x:c r="C50" s="2" t="str">
        <x:v>Dave</x:v>
      </x:c>
      <x:c r="D50" s="2" t="str">
        <x:v>Mr. Girth</x:v>
      </x:c>
      <x:c r="E50" s="15" t="n">
        <x:v>124.1</x:v>
      </x:c>
      <x:c r="F50" s="2" t="str">
        <x:v>Mark</x:v>
      </x:c>
      <x:c r="G50" s="2" t="str">
        <x:v>wacky waving arms</x:v>
      </x:c>
      <x:c r="H50" s="15" t="n">
        <x:v>86.9</x:v>
      </x:c>
      <x:c r="I50" s="2" t="str">
        <x:f>IF(E50&gt;H50,C50,IF(E50&lt;H50,F50,"Tie"))</x:f>
        <x:v>Dave</x:v>
      </x:c>
      <x:c r="J50" s="2" t="str">
        <x:f>IF(E50&gt;H50,F50,IF(E50&lt;H50,C50,"Tie"))</x:f>
        <x:v>Mark</x:v>
      </x:c>
      <x:c r="K50" s="2" t="n">
        <x:f>IF(E50=H50,1,0)</x:f>
        <x:v>0</x:v>
      </x:c>
      <x:c r="L50" s="2" t="str">
        <x:v>Dave / Mark</x:v>
      </x:c>
      <x:c r="M50" t="str"/>
      <x:c r="N50" t="str">
        <x:v>Supplied</x:v>
      </x:c>
      <x:c r="O50" t="str"/>
    </x:row>
    <x:row r="51" ht="22" customHeight="1">
      <x:c r="A51" s="2" t="n">
        <x:v>5</x:v>
      </x:c>
      <x:c r="B51" s="2" t="str">
        <x:v>Regular</x:v>
      </x:c>
      <x:c r="C51" s="2" t="str">
        <x:v>Ed</x:v>
      </x:c>
      <x:c r="D51" s="2" t="str">
        <x:v>Fu¢ked Again</x:v>
      </x:c>
      <x:c r="E51" s="15" t="n">
        <x:v>143.65</x:v>
      </x:c>
      <x:c r="F51" s="2" t="str">
        <x:v>Ryan</x:v>
      </x:c>
      <x:c r="G51" s="2" t="str">
        <x:v>Blockhead</x:v>
      </x:c>
      <x:c r="H51" s="15" t="n">
        <x:v>102.75</x:v>
      </x:c>
      <x:c r="I51" s="2" t="str">
        <x:f>IF(E51&gt;H51,C51,IF(E51&lt;H51,F51,"Tie"))</x:f>
        <x:v>Ed</x:v>
      </x:c>
      <x:c r="J51" s="2" t="str">
        <x:f>IF(E51&gt;H51,F51,IF(E51&lt;H51,C51,"Tie"))</x:f>
        <x:v>Ryan</x:v>
      </x:c>
      <x:c r="K51" s="2" t="n">
        <x:f>IF(E51=H51,1,0)</x:f>
        <x:v>0</x:v>
      </x:c>
      <x:c r="L51" s="2" t="str">
        <x:v>Ed / Ryan</x:v>
      </x:c>
      <x:c r="M51" t="str"/>
      <x:c r="N51" t="str">
        <x:v>Supplied</x:v>
      </x:c>
      <x:c r="O51" t="str"/>
    </x:row>
    <x:row r="52" ht="22" customHeight="1">
      <x:c r="A52" s="2" t="n">
        <x:v>5</x:v>
      </x:c>
      <x:c r="B52" s="2" t="str">
        <x:v>Regular</x:v>
      </x:c>
      <x:c r="C52" s="2" t="str">
        <x:v>Frank</x:v>
      </x:c>
      <x:c r="D52" s="2" t="str">
        <x:v>McANUS</x:v>
      </x:c>
      <x:c r="E52" s="15" t="n">
        <x:v>135.1</x:v>
      </x:c>
      <x:c r="F52" s="2" t="str">
        <x:v>Matt</x:v>
      </x:c>
      <x:c r="G52" s="2" t="str">
        <x:v>Perc Rodgers 💊</x:v>
      </x:c>
      <x:c r="H52" s="15" t="n">
        <x:v>161.95</x:v>
      </x:c>
      <x:c r="I52" s="2" t="str">
        <x:f>IF(E52&gt;H52,C52,IF(E52&lt;H52,F52,"Tie"))</x:f>
        <x:v>Matt</x:v>
      </x:c>
      <x:c r="J52" s="2" t="str">
        <x:f>IF(E52&gt;H52,F52,IF(E52&lt;H52,C52,"Tie"))</x:f>
        <x:v>Frank</x:v>
      </x:c>
      <x:c r="K52" s="2" t="n">
        <x:f>IF(E52=H52,1,0)</x:f>
        <x:v>0</x:v>
      </x:c>
      <x:c r="L52" s="2" t="str">
        <x:v>Frank / Matt</x:v>
      </x:c>
      <x:c r="M52" t="str"/>
      <x:c r="N52" t="str">
        <x:v>Supplied</x:v>
      </x:c>
      <x:c r="O52" t="str"/>
    </x:row>
    <x:row r="53" ht="22" customHeight="1">
      <x:c r="A53" s="2" t="n">
        <x:v>5</x:v>
      </x:c>
      <x:c r="B53" s="2" t="str">
        <x:v>Regular</x:v>
      </x:c>
      <x:c r="C53" s="2" t="str">
        <x:v>Nick</x:v>
      </x:c>
      <x:c r="D53" s="2" t="str">
        <x:v>Ricky Kicks</x:v>
      </x:c>
      <x:c r="E53" s="15" t="n">
        <x:v>147.35</x:v>
      </x:c>
      <x:c r="F53" s="2" t="str">
        <x:v>Michael</x:v>
      </x:c>
      <x:c r="G53" s="2" t="str">
        <x:v>Big Butler Bids</x:v>
      </x:c>
      <x:c r="H53" s="15" t="n">
        <x:v>114.5</x:v>
      </x:c>
      <x:c r="I53" s="2" t="str">
        <x:f>IF(E53&gt;H53,C53,IF(E53&lt;H53,F53,"Tie"))</x:f>
        <x:v>Nick</x:v>
      </x:c>
      <x:c r="J53" s="2" t="str">
        <x:f>IF(E53&gt;H53,F53,IF(E53&lt;H53,C53,"Tie"))</x:f>
        <x:v>Michael</x:v>
      </x:c>
      <x:c r="K53" s="2" t="n">
        <x:f>IF(E53=H53,1,0)</x:f>
        <x:v>0</x:v>
      </x:c>
      <x:c r="L53" s="2" t="str">
        <x:v>Michael / Nick</x:v>
      </x:c>
      <x:c r="M53" t="str"/>
      <x:c r="N53" t="str">
        <x:v>Supplied</x:v>
      </x:c>
      <x:c r="O53" t="str"/>
    </x:row>
    <x:row r="54" ht="22" customHeight="1">
      <x:c r="A54" s="2" t="n">
        <x:v>6</x:v>
      </x:c>
      <x:c r="B54" s="2" t="str">
        <x:v>Regular</x:v>
      </x:c>
      <x:c r="C54" s="2" t="str">
        <x:v>Bruce</x:v>
      </x:c>
      <x:c r="D54" s="2" t="str">
        <x:v>The Storm</x:v>
      </x:c>
      <x:c r="E54" s="15" t="n">
        <x:v>91.5</x:v>
      </x:c>
      <x:c r="F54" s="2" t="str">
        <x:v>Josh</x:v>
      </x:c>
      <x:c r="G54" s="2" t="str">
        <x:v>Phony Handshakes</x:v>
      </x:c>
      <x:c r="H54" s="15" t="n">
        <x:v>114.25</x:v>
      </x:c>
      <x:c r="I54" s="2" t="str">
        <x:f>IF(E54&gt;H54,C54,IF(E54&lt;H54,F54,"Tie"))</x:f>
        <x:v>Josh</x:v>
      </x:c>
      <x:c r="J54" s="2" t="str">
        <x:f>IF(E54&gt;H54,F54,IF(E54&lt;H54,C54,"Tie"))</x:f>
        <x:v>Bruce</x:v>
      </x:c>
      <x:c r="K54" s="2" t="n">
        <x:f>IF(E54=H54,1,0)</x:f>
        <x:v>0</x:v>
      </x:c>
      <x:c r="L54" s="2" t="str">
        <x:v>Bruce / Josh</x:v>
      </x:c>
      <x:c r="M54" t="str"/>
      <x:c r="N54" t="str">
        <x:v>Supplied</x:v>
      </x:c>
      <x:c r="O54" t="str">
        <x:v>*</x:v>
      </x:c>
    </x:row>
    <x:row r="55" ht="22" customHeight="1">
      <x:c r="A55" s="2" t="n">
        <x:v>6</x:v>
      </x:c>
      <x:c r="B55" s="2" t="str">
        <x:v>Regular</x:v>
      </x:c>
      <x:c r="C55" s="2" t="str">
        <x:v>Craig</x:v>
      </x:c>
      <x:c r="D55" s="2" t="str">
        <x:v>The Ants Marching</x:v>
      </x:c>
      <x:c r="E55" s="15" t="n">
        <x:v>148.2</x:v>
      </x:c>
      <x:c r="F55" s="2" t="str">
        <x:v>Mike</x:v>
      </x:c>
      <x:c r="G55" s="2" t="str">
        <x:v>Team Fluff</x:v>
      </x:c>
      <x:c r="H55" s="15" t="n">
        <x:v>151.2</x:v>
      </x:c>
      <x:c r="I55" s="2" t="str">
        <x:f>IF(E55&gt;H55,C55,IF(E55&lt;H55,F55,"Tie"))</x:f>
        <x:v>Mike</x:v>
      </x:c>
      <x:c r="J55" s="2" t="str">
        <x:f>IF(E55&gt;H55,F55,IF(E55&lt;H55,C55,"Tie"))</x:f>
        <x:v>Craig</x:v>
      </x:c>
      <x:c r="K55" s="2" t="n">
        <x:f>IF(E55=H55,1,0)</x:f>
        <x:v>0</x:v>
      </x:c>
      <x:c r="L55" s="2" t="str">
        <x:v>Craig / Mike</x:v>
      </x:c>
      <x:c r="M55" t="str"/>
      <x:c r="N55" t="str">
        <x:v>Supplied</x:v>
      </x:c>
      <x:c r="O55" t="str">
        <x:v>*</x:v>
      </x:c>
    </x:row>
    <x:row r="56" ht="22" customHeight="1">
      <x:c r="A56" s="2" t="n">
        <x:v>6</x:v>
      </x:c>
      <x:c r="B56" s="2" t="str">
        <x:v>Regular</x:v>
      </x:c>
      <x:c r="C56" s="2" t="str">
        <x:v>Dave</x:v>
      </x:c>
      <x:c r="D56" s="2" t="str">
        <x:v>Mr. Girth</x:v>
      </x:c>
      <x:c r="E56" s="15" t="n">
        <x:v>122.65</x:v>
      </x:c>
      <x:c r="F56" s="2" t="str">
        <x:v>Matt</x:v>
      </x:c>
      <x:c r="G56" s="2" t="str">
        <x:v>Perc Rodgers 💊</x:v>
      </x:c>
      <x:c r="H56" s="15" t="n">
        <x:v>136.85</x:v>
      </x:c>
      <x:c r="I56" s="2" t="str">
        <x:f>IF(E56&gt;H56,C56,IF(E56&lt;H56,F56,"Tie"))</x:f>
        <x:v>Matt</x:v>
      </x:c>
      <x:c r="J56" s="2" t="str">
        <x:f>IF(E56&gt;H56,F56,IF(E56&lt;H56,C56,"Tie"))</x:f>
        <x:v>Dave</x:v>
      </x:c>
      <x:c r="K56" s="2" t="n">
        <x:f>IF(E56=H56,1,0)</x:f>
        <x:v>0</x:v>
      </x:c>
      <x:c r="L56" s="2" t="str">
        <x:v>Dave / Matt</x:v>
      </x:c>
      <x:c r="M56" t="str"/>
      <x:c r="N56" t="str">
        <x:v>Supplied</x:v>
      </x:c>
      <x:c r="O56" t="str">
        <x:v>*</x:v>
      </x:c>
    </x:row>
    <x:row r="57" ht="22" customHeight="1">
      <x:c r="A57" s="2" t="n">
        <x:v>6</x:v>
      </x:c>
      <x:c r="B57" s="2" t="str">
        <x:v>Regular</x:v>
      </x:c>
      <x:c r="C57" s="2" t="str">
        <x:v>Ed</x:v>
      </x:c>
      <x:c r="D57" s="2" t="str">
        <x:v>Fu¢ked Again</x:v>
      </x:c>
      <x:c r="E57" s="15" t="n">
        <x:v>95.2</x:v>
      </x:c>
      <x:c r="F57" s="2" t="str">
        <x:v>Nick</x:v>
      </x:c>
      <x:c r="G57" s="2" t="str">
        <x:v>Ricky Kicks</x:v>
      </x:c>
      <x:c r="H57" s="15" t="n">
        <x:v>75.5</x:v>
      </x:c>
      <x:c r="I57" s="2" t="str">
        <x:f>IF(E57&gt;H57,C57,IF(E57&lt;H57,F57,"Tie"))</x:f>
        <x:v>Ed</x:v>
      </x:c>
      <x:c r="J57" s="2" t="str">
        <x:f>IF(E57&gt;H57,F57,IF(E57&lt;H57,C57,"Tie"))</x:f>
        <x:v>Nick</x:v>
      </x:c>
      <x:c r="K57" s="2" t="n">
        <x:f>IF(E57=H57,1,0)</x:f>
        <x:v>0</x:v>
      </x:c>
      <x:c r="L57" s="2" t="str">
        <x:v>Ed / Nick</x:v>
      </x:c>
      <x:c r="M57" t="str"/>
      <x:c r="N57" t="str">
        <x:v>Supplied</x:v>
      </x:c>
      <x:c r="O57" t="str">
        <x:v>*</x:v>
      </x:c>
    </x:row>
    <x:row r="58" ht="22" customHeight="1">
      <x:c r="A58" s="2" t="n">
        <x:v>6</x:v>
      </x:c>
      <x:c r="B58" s="2" t="str">
        <x:v>Regular</x:v>
      </x:c>
      <x:c r="C58" s="2" t="str">
        <x:v>Frank</x:v>
      </x:c>
      <x:c r="D58" s="2" t="str">
        <x:v>McANUS</x:v>
      </x:c>
      <x:c r="E58" s="15" t="n">
        <x:v>146.5</x:v>
      </x:c>
      <x:c r="F58" s="2" t="str">
        <x:v>Mark</x:v>
      </x:c>
      <x:c r="G58" s="2" t="str">
        <x:v>wacky waving arms</x:v>
      </x:c>
      <x:c r="H58" s="15" t="n">
        <x:v>107.75</x:v>
      </x:c>
      <x:c r="I58" s="2" t="str">
        <x:f>IF(E58&gt;H58,C58,IF(E58&lt;H58,F58,"Tie"))</x:f>
        <x:v>Frank</x:v>
      </x:c>
      <x:c r="J58" s="2" t="str">
        <x:f>IF(E58&gt;H58,F58,IF(E58&lt;H58,C58,"Tie"))</x:f>
        <x:v>Mark</x:v>
      </x:c>
      <x:c r="K58" s="2" t="n">
        <x:f>IF(E58=H58,1,0)</x:f>
        <x:v>0</x:v>
      </x:c>
      <x:c r="L58" s="2" t="str">
        <x:v>Frank / Mark</x:v>
      </x:c>
      <x:c r="M58" t="str"/>
      <x:c r="N58" t="str">
        <x:v>Supplied</x:v>
      </x:c>
      <x:c r="O58" t="str">
        <x:v>*</x:v>
      </x:c>
    </x:row>
    <x:row r="59" ht="22" customHeight="1">
      <x:c r="A59" s="2" t="n">
        <x:v>6</x:v>
      </x:c>
      <x:c r="B59" s="2" t="str">
        <x:v>Regular</x:v>
      </x:c>
      <x:c r="C59" s="2" t="str">
        <x:v>Michael</x:v>
      </x:c>
      <x:c r="D59" s="2" t="str">
        <x:v>Big Butler Bids</x:v>
      </x:c>
      <x:c r="E59" s="15" t="n">
        <x:v>85.3</x:v>
      </x:c>
      <x:c r="F59" s="2" t="str">
        <x:v>Ryan</x:v>
      </x:c>
      <x:c r="G59" s="2" t="str">
        <x:v>Blockhead</x:v>
      </x:c>
      <x:c r="H59" s="15" t="n">
        <x:v>121.95</x:v>
      </x:c>
      <x:c r="I59" s="2" t="str">
        <x:f>IF(E59&gt;H59,C59,IF(E59&lt;H59,F59,"Tie"))</x:f>
        <x:v>Ryan</x:v>
      </x:c>
      <x:c r="J59" s="2" t="str">
        <x:f>IF(E59&gt;H59,F59,IF(E59&lt;H59,C59,"Tie"))</x:f>
        <x:v>Michael</x:v>
      </x:c>
      <x:c r="K59" s="2" t="n">
        <x:f>IF(E59=H59,1,0)</x:f>
        <x:v>0</x:v>
      </x:c>
      <x:c r="L59" s="2" t="str">
        <x:v>Michael / Ryan</x:v>
      </x:c>
      <x:c r="M59" t="str"/>
      <x:c r="N59" t="str">
        <x:v>Supplied</x:v>
      </x:c>
      <x:c r="O59" t="str">
        <x:v>*</x:v>
      </x:c>
    </x:row>
    <x:row r="60" ht="22" customHeight="1">
      <x:c r="A60" s="2" t="n">
        <x:v>7</x:v>
      </x:c>
      <x:c r="B60" s="2" t="str">
        <x:v>Regular</x:v>
      </x:c>
      <x:c r="C60" s="2" t="str">
        <x:v>Bruce</x:v>
      </x:c>
      <x:c r="D60" s="2" t="str">
        <x:v>The Storm</x:v>
      </x:c>
      <x:c r="E60" s="15" t="n">
        <x:v>146.2</x:v>
      </x:c>
      <x:c r="F60" s="2" t="str">
        <x:v>Frank</x:v>
      </x:c>
      <x:c r="G60" s="2" t="str">
        <x:v>McANUS</x:v>
      </x:c>
      <x:c r="H60" s="15" t="n">
        <x:v>138.35</x:v>
      </x:c>
      <x:c r="I60" s="2" t="str">
        <x:f>IF(E60&gt;H60,C60,IF(E60&lt;H60,F60,"Tie"))</x:f>
        <x:v>Bruce</x:v>
      </x:c>
      <x:c r="J60" s="2" t="str">
        <x:f>IF(E60&gt;H60,F60,IF(E60&lt;H60,C60,"Tie"))</x:f>
        <x:v>Frank</x:v>
      </x:c>
      <x:c r="K60" s="2" t="n">
        <x:f>IF(E60=H60,1,0)</x:f>
        <x:v>0</x:v>
      </x:c>
      <x:c r="L60" s="2" t="str">
        <x:v>Bruce / Frank</x:v>
      </x:c>
      <x:c r="M60" t="str"/>
      <x:c r="N60" t="str">
        <x:v>Supplied</x:v>
      </x:c>
      <x:c r="O60" t="str"/>
    </x:row>
    <x:row r="61" ht="22" customHeight="1">
      <x:c r="A61" s="2" t="n">
        <x:v>7</x:v>
      </x:c>
      <x:c r="B61" s="2" t="str">
        <x:v>Regular</x:v>
      </x:c>
      <x:c r="C61" s="2" t="str">
        <x:v>Craig</x:v>
      </x:c>
      <x:c r="D61" s="2" t="str">
        <x:v>The Ants Marching</x:v>
      </x:c>
      <x:c r="E61" s="15" t="n">
        <x:v>67.5</x:v>
      </x:c>
      <x:c r="F61" s="2" t="str">
        <x:v>Ryan</x:v>
      </x:c>
      <x:c r="G61" s="2" t="str">
        <x:v>Blockhead</x:v>
      </x:c>
      <x:c r="H61" s="15" t="n">
        <x:v>143.7</x:v>
      </x:c>
      <x:c r="I61" s="2" t="str">
        <x:f>IF(E61&gt;H61,C61,IF(E61&lt;H61,F61,"Tie"))</x:f>
        <x:v>Ryan</x:v>
      </x:c>
      <x:c r="J61" s="2" t="str">
        <x:f>IF(E61&gt;H61,F61,IF(E61&lt;H61,C61,"Tie"))</x:f>
        <x:v>Craig</x:v>
      </x:c>
      <x:c r="K61" s="2" t="n">
        <x:f>IF(E61=H61,1,0)</x:f>
        <x:v>0</x:v>
      </x:c>
      <x:c r="L61" s="2" t="str">
        <x:v>Craig / Ryan</x:v>
      </x:c>
      <x:c r="M61" t="str"/>
      <x:c r="N61" t="str">
        <x:v>Supplied</x:v>
      </x:c>
      <x:c r="O61" t="str"/>
    </x:row>
    <x:row r="62" ht="22" customHeight="1">
      <x:c r="A62" s="2" t="n">
        <x:v>7</x:v>
      </x:c>
      <x:c r="B62" s="2" t="str">
        <x:v>Regular</x:v>
      </x:c>
      <x:c r="C62" s="2" t="str">
        <x:v>Dave</x:v>
      </x:c>
      <x:c r="D62" s="2" t="str">
        <x:v>Mr. Girth</x:v>
      </x:c>
      <x:c r="E62" s="15" t="n">
        <x:v>81.6</x:v>
      </x:c>
      <x:c r="F62" s="2" t="str">
        <x:v>Ed</x:v>
      </x:c>
      <x:c r="G62" s="2" t="str">
        <x:v>Fu¢ked Again</x:v>
      </x:c>
      <x:c r="H62" s="15" t="n">
        <x:v>101.1</x:v>
      </x:c>
      <x:c r="I62" s="2" t="str">
        <x:f>IF(E62&gt;H62,C62,IF(E62&lt;H62,F62,"Tie"))</x:f>
        <x:v>Ed</x:v>
      </x:c>
      <x:c r="J62" s="2" t="str">
        <x:f>IF(E62&gt;H62,F62,IF(E62&lt;H62,C62,"Tie"))</x:f>
        <x:v>Dave</x:v>
      </x:c>
      <x:c r="K62" s="2" t="n">
        <x:f>IF(E62=H62,1,0)</x:f>
        <x:v>0</x:v>
      </x:c>
      <x:c r="L62" s="2" t="str">
        <x:v>Dave / Ed</x:v>
      </x:c>
      <x:c r="M62" t="str"/>
      <x:c r="N62" t="str">
        <x:v>Supplied</x:v>
      </x:c>
      <x:c r="O62" t="str"/>
    </x:row>
    <x:row r="63" ht="22" customHeight="1">
      <x:c r="A63" s="2" t="n">
        <x:v>7</x:v>
      </x:c>
      <x:c r="B63" s="2" t="str">
        <x:v>Regular</x:v>
      </x:c>
      <x:c r="C63" s="2" t="str">
        <x:v>Mike</x:v>
      </x:c>
      <x:c r="D63" s="2" t="str">
        <x:v>Team Fluff</x:v>
      </x:c>
      <x:c r="E63" s="15" t="n">
        <x:v>143.5</x:v>
      </x:c>
      <x:c r="F63" s="2" t="str">
        <x:v>Michael</x:v>
      </x:c>
      <x:c r="G63" s="2" t="str">
        <x:v>Big Butler Bids</x:v>
      </x:c>
      <x:c r="H63" s="15" t="n">
        <x:v>114.55</x:v>
      </x:c>
      <x:c r="I63" s="2" t="str">
        <x:f>IF(E63&gt;H63,C63,IF(E63&lt;H63,F63,"Tie"))</x:f>
        <x:v>Mike</x:v>
      </x:c>
      <x:c r="J63" s="2" t="str">
        <x:f>IF(E63&gt;H63,F63,IF(E63&lt;H63,C63,"Tie"))</x:f>
        <x:v>Michael</x:v>
      </x:c>
      <x:c r="K63" s="2" t="n">
        <x:f>IF(E63=H63,1,0)</x:f>
        <x:v>0</x:v>
      </x:c>
      <x:c r="L63" s="2" t="str">
        <x:v>Michael / Mike</x:v>
      </x:c>
      <x:c r="M63" t="str"/>
      <x:c r="N63" t="str">
        <x:v>Supplied</x:v>
      </x:c>
      <x:c r="O63" t="str"/>
    </x:row>
    <x:row r="64" ht="22" customHeight="1">
      <x:c r="A64" s="2" t="n">
        <x:v>7</x:v>
      </x:c>
      <x:c r="B64" s="2" t="str">
        <x:v>Regular</x:v>
      </x:c>
      <x:c r="C64" s="2" t="str">
        <x:v>Josh</x:v>
      </x:c>
      <x:c r="D64" s="2" t="str">
        <x:v>Phony Handshakes</x:v>
      </x:c>
      <x:c r="E64" s="15" t="n">
        <x:v>142.4</x:v>
      </x:c>
      <x:c r="F64" s="2" t="str">
        <x:v>Mark</x:v>
      </x:c>
      <x:c r="G64" s="2" t="str">
        <x:v>wacky waving arms</x:v>
      </x:c>
      <x:c r="H64" s="15" t="n">
        <x:v>134.4</x:v>
      </x:c>
      <x:c r="I64" s="2" t="str">
        <x:f>IF(E64&gt;H64,C64,IF(E64&lt;H64,F64,"Tie"))</x:f>
        <x:v>Josh</x:v>
      </x:c>
      <x:c r="J64" s="2" t="str">
        <x:f>IF(E64&gt;H64,F64,IF(E64&lt;H64,C64,"Tie"))</x:f>
        <x:v>Mark</x:v>
      </x:c>
      <x:c r="K64" s="2" t="n">
        <x:f>IF(E64=H64,1,0)</x:f>
        <x:v>0</x:v>
      </x:c>
      <x:c r="L64" s="2" t="str">
        <x:v>Josh / Mark</x:v>
      </x:c>
      <x:c r="M64" t="str"/>
      <x:c r="N64" t="str">
        <x:v>Supplied</x:v>
      </x:c>
      <x:c r="O64" t="str"/>
    </x:row>
    <x:row r="65" ht="22" customHeight="1">
      <x:c r="A65" s="2" t="n">
        <x:v>7</x:v>
      </x:c>
      <x:c r="B65" s="2" t="str">
        <x:v>Regular</x:v>
      </x:c>
      <x:c r="C65" s="2" t="str">
        <x:v>Nick</x:v>
      </x:c>
      <x:c r="D65" s="2" t="str">
        <x:v>Ricky Kicks</x:v>
      </x:c>
      <x:c r="E65" s="15" t="n">
        <x:v>139.25</x:v>
      </x:c>
      <x:c r="F65" s="2" t="str">
        <x:v>Matt</x:v>
      </x:c>
      <x:c r="G65" s="2" t="str">
        <x:v>Perc Rodgers 💊</x:v>
      </x:c>
      <x:c r="H65" s="15" t="n">
        <x:v>137</x:v>
      </x:c>
      <x:c r="I65" s="2" t="str">
        <x:f>IF(E65&gt;H65,C65,IF(E65&lt;H65,F65,"Tie"))</x:f>
        <x:v>Nick</x:v>
      </x:c>
      <x:c r="J65" s="2" t="str">
        <x:f>IF(E65&gt;H65,F65,IF(E65&lt;H65,C65,"Tie"))</x:f>
        <x:v>Matt</x:v>
      </x:c>
      <x:c r="K65" s="2" t="n">
        <x:f>IF(E65=H65,1,0)</x:f>
        <x:v>0</x:v>
      </x:c>
      <x:c r="L65" s="2" t="str">
        <x:v>Matt / Nick</x:v>
      </x:c>
      <x:c r="M65" t="str"/>
      <x:c r="N65" t="str">
        <x:v>Supplied</x:v>
      </x:c>
      <x:c r="O65" t="str"/>
    </x:row>
    <x:row r="66" ht="22" customHeight="1">
      <x:c r="A66" s="2" t="n">
        <x:v>8</x:v>
      </x:c>
      <x:c r="B66" s="2" t="str">
        <x:v>Regular</x:v>
      </x:c>
      <x:c r="C66" s="2" t="str">
        <x:v>Bruce</x:v>
      </x:c>
      <x:c r="D66" s="2" t="str">
        <x:v>The Storm</x:v>
      </x:c>
      <x:c r="E66" s="15" t="n">
        <x:v>145.15</x:v>
      </x:c>
      <x:c r="F66" s="2" t="str">
        <x:v>Mark</x:v>
      </x:c>
      <x:c r="G66" s="2" t="str">
        <x:v>wacky waving arms</x:v>
      </x:c>
      <x:c r="H66" s="15" t="n">
        <x:v>116.35</x:v>
      </x:c>
      <x:c r="I66" s="2" t="str">
        <x:f>IF(E66&gt;H66,C66,IF(E66&lt;H66,F66,"Tie"))</x:f>
        <x:v>Bruce</x:v>
      </x:c>
      <x:c r="J66" s="2" t="str">
        <x:f>IF(E66&gt;H66,F66,IF(E66&lt;H66,C66,"Tie"))</x:f>
        <x:v>Mark</x:v>
      </x:c>
      <x:c r="K66" s="2" t="n">
        <x:f>IF(E66=H66,1,0)</x:f>
        <x:v>0</x:v>
      </x:c>
      <x:c r="L66" s="2" t="str">
        <x:v>Bruce / Mark</x:v>
      </x:c>
      <x:c r="M66" t="str"/>
      <x:c r="N66" t="str">
        <x:v>Supplied</x:v>
      </x:c>
      <x:c r="O66" t="str"/>
    </x:row>
    <x:row r="67" ht="22" customHeight="1">
      <x:c r="A67" s="2" t="n">
        <x:v>8</x:v>
      </x:c>
      <x:c r="B67" s="2" t="str">
        <x:v>Regular</x:v>
      </x:c>
      <x:c r="C67" s="2" t="str">
        <x:v>Craig</x:v>
      </x:c>
      <x:c r="D67" s="2" t="str">
        <x:v>The Ants Marching</x:v>
      </x:c>
      <x:c r="E67" s="15" t="n">
        <x:v>137.35</x:v>
      </x:c>
      <x:c r="F67" s="2" t="str">
        <x:v>Nick</x:v>
      </x:c>
      <x:c r="G67" s="2" t="str">
        <x:v>Ricky Kicks</x:v>
      </x:c>
      <x:c r="H67" s="15" t="n">
        <x:v>119.15</x:v>
      </x:c>
      <x:c r="I67" s="2" t="str">
        <x:f>IF(E67&gt;H67,C67,IF(E67&lt;H67,F67,"Tie"))</x:f>
        <x:v>Craig</x:v>
      </x:c>
      <x:c r="J67" s="2" t="str">
        <x:f>IF(E67&gt;H67,F67,IF(E67&lt;H67,C67,"Tie"))</x:f>
        <x:v>Nick</x:v>
      </x:c>
      <x:c r="K67" s="2" t="n">
        <x:f>IF(E67=H67,1,0)</x:f>
        <x:v>0</x:v>
      </x:c>
      <x:c r="L67" s="2" t="str">
        <x:v>Craig / Nick</x:v>
      </x:c>
      <x:c r="M67" t="str"/>
      <x:c r="N67" t="str">
        <x:v>Supplied</x:v>
      </x:c>
      <x:c r="O67" t="str"/>
    </x:row>
    <x:row r="68" ht="22" customHeight="1">
      <x:c r="A68" s="2" t="n">
        <x:v>8</x:v>
      </x:c>
      <x:c r="B68" s="2" t="str">
        <x:v>Regular</x:v>
      </x:c>
      <x:c r="C68" s="2" t="str">
        <x:v>Dave</x:v>
      </x:c>
      <x:c r="D68" s="2" t="str">
        <x:v>Mr. Girth</x:v>
      </x:c>
      <x:c r="E68" s="15" t="n">
        <x:v>124.55</x:v>
      </x:c>
      <x:c r="F68" s="2" t="str">
        <x:v>Mike</x:v>
      </x:c>
      <x:c r="G68" s="2" t="str">
        <x:v>Team Fluff</x:v>
      </x:c>
      <x:c r="H68" s="15" t="n">
        <x:v>120.05</x:v>
      </x:c>
      <x:c r="I68" s="2" t="str">
        <x:f>IF(E68&gt;H68,C68,IF(E68&lt;H68,F68,"Tie"))</x:f>
        <x:v>Dave</x:v>
      </x:c>
      <x:c r="J68" s="2" t="str">
        <x:f>IF(E68&gt;H68,F68,IF(E68&lt;H68,C68,"Tie"))</x:f>
        <x:v>Mike</x:v>
      </x:c>
      <x:c r="K68" s="2" t="n">
        <x:f>IF(E68=H68,1,0)</x:f>
        <x:v>0</x:v>
      </x:c>
      <x:c r="L68" s="2" t="str">
        <x:v>Dave / Mike</x:v>
      </x:c>
      <x:c r="M68" t="str"/>
      <x:c r="N68" t="str">
        <x:v>Supplied</x:v>
      </x:c>
      <x:c r="O68" t="str"/>
    </x:row>
    <x:row r="69" ht="22" customHeight="1">
      <x:c r="A69" s="2" t="n">
        <x:v>8</x:v>
      </x:c>
      <x:c r="B69" s="2" t="str">
        <x:v>Regular</x:v>
      </x:c>
      <x:c r="C69" s="2" t="str">
        <x:v>Ed</x:v>
      </x:c>
      <x:c r="D69" s="2" t="str">
        <x:v>Fu¢ked Again</x:v>
      </x:c>
      <x:c r="E69" s="15" t="n">
        <x:v>57.6</x:v>
      </x:c>
      <x:c r="F69" s="2" t="str">
        <x:v>Matt</x:v>
      </x:c>
      <x:c r="G69" s="2" t="str">
        <x:v>Perc Rodgers 💊</x:v>
      </x:c>
      <x:c r="H69" s="15" t="n">
        <x:v>143.5</x:v>
      </x:c>
      <x:c r="I69" s="2" t="str">
        <x:f>IF(E69&gt;H69,C69,IF(E69&lt;H69,F69,"Tie"))</x:f>
        <x:v>Matt</x:v>
      </x:c>
      <x:c r="J69" s="2" t="str">
        <x:f>IF(E69&gt;H69,F69,IF(E69&lt;H69,C69,"Tie"))</x:f>
        <x:v>Ed</x:v>
      </x:c>
      <x:c r="K69" s="2" t="n">
        <x:f>IF(E69=H69,1,0)</x:f>
        <x:v>0</x:v>
      </x:c>
      <x:c r="L69" s="2" t="str">
        <x:v>Ed / Matt</x:v>
      </x:c>
      <x:c r="M69" t="str"/>
      <x:c r="N69" t="str">
        <x:v>Supplied</x:v>
      </x:c>
      <x:c r="O69" t="str"/>
    </x:row>
    <x:row r="70" ht="22" customHeight="1">
      <x:c r="A70" s="2" t="n">
        <x:v>8</x:v>
      </x:c>
      <x:c r="B70" s="2" t="str">
        <x:v>Regular</x:v>
      </x:c>
      <x:c r="C70" s="2" t="str">
        <x:v>Frank</x:v>
      </x:c>
      <x:c r="D70" s="2" t="str">
        <x:v>McANUS</x:v>
      </x:c>
      <x:c r="E70" s="15" t="n">
        <x:v>84.65</x:v>
      </x:c>
      <x:c r="F70" s="2" t="str">
        <x:v>Ryan</x:v>
      </x:c>
      <x:c r="G70" s="2" t="str">
        <x:v>Blockhead</x:v>
      </x:c>
      <x:c r="H70" s="15" t="n">
        <x:v>129.35</x:v>
      </x:c>
      <x:c r="I70" s="2" t="str">
        <x:f>IF(E70&gt;H70,C70,IF(E70&lt;H70,F70,"Tie"))</x:f>
        <x:v>Ryan</x:v>
      </x:c>
      <x:c r="J70" s="2" t="str">
        <x:f>IF(E70&gt;H70,F70,IF(E70&lt;H70,C70,"Tie"))</x:f>
        <x:v>Frank</x:v>
      </x:c>
      <x:c r="K70" s="2" t="n">
        <x:f>IF(E70=H70,1,0)</x:f>
        <x:v>0</x:v>
      </x:c>
      <x:c r="L70" s="2" t="str">
        <x:v>Frank / Ryan</x:v>
      </x:c>
      <x:c r="M70" t="str"/>
      <x:c r="N70" t="str">
        <x:v>Supplied</x:v>
      </x:c>
      <x:c r="O70" t="str"/>
    </x:row>
    <x:row r="71" ht="22" customHeight="1">
      <x:c r="A71" s="2" t="n">
        <x:v>8</x:v>
      </x:c>
      <x:c r="B71" s="2" t="str">
        <x:v>Regular</x:v>
      </x:c>
      <x:c r="C71" s="2" t="str">
        <x:v>Josh</x:v>
      </x:c>
      <x:c r="D71" s="2" t="str">
        <x:v>Phony Handshakes</x:v>
      </x:c>
      <x:c r="E71" s="15" t="n">
        <x:v>114.4</x:v>
      </x:c>
      <x:c r="F71" s="2" t="str">
        <x:v>Michael</x:v>
      </x:c>
      <x:c r="G71" s="2" t="str">
        <x:v>Big Butler Bids</x:v>
      </x:c>
      <x:c r="H71" s="15" t="n">
        <x:v>93.35</x:v>
      </x:c>
      <x:c r="I71" s="2" t="str">
        <x:f>IF(E71&gt;H71,C71,IF(E71&lt;H71,F71,"Tie"))</x:f>
        <x:v>Josh</x:v>
      </x:c>
      <x:c r="J71" s="2" t="str">
        <x:f>IF(E71&gt;H71,F71,IF(E71&lt;H71,C71,"Tie"))</x:f>
        <x:v>Michael</x:v>
      </x:c>
      <x:c r="K71" s="2" t="n">
        <x:f>IF(E71=H71,1,0)</x:f>
        <x:v>0</x:v>
      </x:c>
      <x:c r="L71" s="2" t="str">
        <x:v>Josh / Michael</x:v>
      </x:c>
      <x:c r="M71" t="str"/>
      <x:c r="N71" t="str">
        <x:v>Supplied</x:v>
      </x:c>
      <x:c r="O71" t="str"/>
    </x:row>
    <x:row r="72" ht="22" customHeight="1">
      <x:c r="A72" s="2" t="n">
        <x:v>9</x:v>
      </x:c>
      <x:c r="B72" s="2" t="str">
        <x:v>Regular</x:v>
      </x:c>
      <x:c r="C72" s="2" t="str">
        <x:v>Bruce</x:v>
      </x:c>
      <x:c r="D72" s="2" t="str">
        <x:v>The Storm</x:v>
      </x:c>
      <x:c r="E72" s="15" t="n">
        <x:v>101.5</x:v>
      </x:c>
      <x:c r="F72" s="2" t="str">
        <x:v>Dave</x:v>
      </x:c>
      <x:c r="G72" s="2" t="str">
        <x:v>Mr. Girth</x:v>
      </x:c>
      <x:c r="H72" s="15" t="n">
        <x:v>118.4</x:v>
      </x:c>
      <x:c r="I72" s="2" t="str">
        <x:f>IF(E72&gt;H72,C72,IF(E72&lt;H72,F72,"Tie"))</x:f>
        <x:v>Dave</x:v>
      </x:c>
      <x:c r="J72" s="2" t="str">
        <x:f>IF(E72&gt;H72,F72,IF(E72&lt;H72,C72,"Tie"))</x:f>
        <x:v>Bruce</x:v>
      </x:c>
      <x:c r="K72" s="2" t="n">
        <x:f>IF(E72=H72,1,0)</x:f>
        <x:v>0</x:v>
      </x:c>
      <x:c r="L72" s="2" t="str">
        <x:v>Bruce / Dave</x:v>
      </x:c>
      <x:c r="M72" t="str"/>
      <x:c r="N72" t="str">
        <x:v>Supplied</x:v>
      </x:c>
      <x:c r="O72" t="str"/>
    </x:row>
    <x:row r="73" ht="22" customHeight="1">
      <x:c r="A73" s="2" t="n">
        <x:v>9</x:v>
      </x:c>
      <x:c r="B73" s="2" t="str">
        <x:v>Regular</x:v>
      </x:c>
      <x:c r="C73" s="2" t="str">
        <x:v>Craig</x:v>
      </x:c>
      <x:c r="D73" s="2" t="str">
        <x:v>The Ants Marching</x:v>
      </x:c>
      <x:c r="E73" s="15" t="n">
        <x:v>145.8</x:v>
      </x:c>
      <x:c r="F73" s="2" t="str">
        <x:v>Michael</x:v>
      </x:c>
      <x:c r="G73" s="2" t="str">
        <x:v>Big Butler Bids</x:v>
      </x:c>
      <x:c r="H73" s="15" t="n">
        <x:v>96.7</x:v>
      </x:c>
      <x:c r="I73" s="2" t="str">
        <x:f>IF(E73&gt;H73,C73,IF(E73&lt;H73,F73,"Tie"))</x:f>
        <x:v>Craig</x:v>
      </x:c>
      <x:c r="J73" s="2" t="str">
        <x:f>IF(E73&gt;H73,F73,IF(E73&lt;H73,C73,"Tie"))</x:f>
        <x:v>Michael</x:v>
      </x:c>
      <x:c r="K73" s="2" t="n">
        <x:f>IF(E73=H73,1,0)</x:f>
        <x:v>0</x:v>
      </x:c>
      <x:c r="L73" s="2" t="str">
        <x:v>Craig / Michael</x:v>
      </x:c>
      <x:c r="M73" t="str"/>
      <x:c r="N73" t="str">
        <x:v>Supplied</x:v>
      </x:c>
      <x:c r="O73" t="str"/>
    </x:row>
    <x:row r="74" ht="22" customHeight="1">
      <x:c r="A74" s="2" t="n">
        <x:v>9</x:v>
      </x:c>
      <x:c r="B74" s="2" t="str">
        <x:v>Regular</x:v>
      </x:c>
      <x:c r="C74" s="2" t="str">
        <x:v>Ed</x:v>
      </x:c>
      <x:c r="D74" s="2" t="str">
        <x:v>Fu¢ked Again</x:v>
      </x:c>
      <x:c r="E74" s="15" t="n">
        <x:v>128.25</x:v>
      </x:c>
      <x:c r="F74" s="2" t="str">
        <x:v>Frank</x:v>
      </x:c>
      <x:c r="G74" s="2" t="str">
        <x:v>McANUS</x:v>
      </x:c>
      <x:c r="H74" s="15" t="n">
        <x:v>120.7</x:v>
      </x:c>
      <x:c r="I74" s="2" t="str">
        <x:f>IF(E74&gt;H74,C74,IF(E74&lt;H74,F74,"Tie"))</x:f>
        <x:v>Ed</x:v>
      </x:c>
      <x:c r="J74" s="2" t="str">
        <x:f>IF(E74&gt;H74,F74,IF(E74&lt;H74,C74,"Tie"))</x:f>
        <x:v>Frank</x:v>
      </x:c>
      <x:c r="K74" s="2" t="n">
        <x:f>IF(E74=H74,1,0)</x:f>
        <x:v>0</x:v>
      </x:c>
      <x:c r="L74" s="2" t="str">
        <x:v>Ed / Frank</x:v>
      </x:c>
      <x:c r="M74" t="str"/>
      <x:c r="N74" t="str">
        <x:v>Supplied</x:v>
      </x:c>
      <x:c r="O74" t="str"/>
    </x:row>
    <x:row r="75" ht="22" customHeight="1">
      <x:c r="A75" s="2" t="n">
        <x:v>9</x:v>
      </x:c>
      <x:c r="B75" s="2" t="str">
        <x:v>Regular</x:v>
      </x:c>
      <x:c r="C75" s="2" t="str">
        <x:v>Mike</x:v>
      </x:c>
      <x:c r="D75" s="2" t="str">
        <x:v>Team Fluff</x:v>
      </x:c>
      <x:c r="E75" s="15" t="n">
        <x:v>126.4</x:v>
      </x:c>
      <x:c r="F75" s="2" t="str">
        <x:v>Josh</x:v>
      </x:c>
      <x:c r="G75" s="2" t="str">
        <x:v>Phony Handshakes</x:v>
      </x:c>
      <x:c r="H75" s="15" t="n">
        <x:v>138.2</x:v>
      </x:c>
      <x:c r="I75" s="2" t="str">
        <x:f>IF(E75&gt;H75,C75,IF(E75&lt;H75,F75,"Tie"))</x:f>
        <x:v>Josh</x:v>
      </x:c>
      <x:c r="J75" s="2" t="str">
        <x:f>IF(E75&gt;H75,F75,IF(E75&lt;H75,C75,"Tie"))</x:f>
        <x:v>Mike</x:v>
      </x:c>
      <x:c r="K75" s="2" t="n">
        <x:f>IF(E75=H75,1,0)</x:f>
        <x:v>0</x:v>
      </x:c>
      <x:c r="L75" s="2" t="str">
        <x:v>Josh / Mike</x:v>
      </x:c>
      <x:c r="M75" t="str"/>
      <x:c r="N75" t="str">
        <x:v>Supplied</x:v>
      </x:c>
      <x:c r="O75" t="str"/>
    </x:row>
    <x:row r="76" ht="22" customHeight="1">
      <x:c r="A76" s="2" t="n">
        <x:v>9</x:v>
      </x:c>
      <x:c r="B76" s="2" t="str">
        <x:v>Regular</x:v>
      </x:c>
      <x:c r="C76" s="2" t="str">
        <x:v>Mark</x:v>
      </x:c>
      <x:c r="D76" s="2" t="str">
        <x:v>wacky waving arms</x:v>
      </x:c>
      <x:c r="E76" s="15" t="n">
        <x:v>124.65</x:v>
      </x:c>
      <x:c r="F76" s="2" t="str">
        <x:v>Matt</x:v>
      </x:c>
      <x:c r="G76" s="2" t="str">
        <x:v>Perc Rodgers 💊</x:v>
      </x:c>
      <x:c r="H76" s="15" t="n">
        <x:v>110.4</x:v>
      </x:c>
      <x:c r="I76" s="2" t="str">
        <x:f>IF(E76&gt;H76,C76,IF(E76&lt;H76,F76,"Tie"))</x:f>
        <x:v>Mark</x:v>
      </x:c>
      <x:c r="J76" s="2" t="str">
        <x:f>IF(E76&gt;H76,F76,IF(E76&lt;H76,C76,"Tie"))</x:f>
        <x:v>Matt</x:v>
      </x:c>
      <x:c r="K76" s="2" t="n">
        <x:f>IF(E76=H76,1,0)</x:f>
        <x:v>0</x:v>
      </x:c>
      <x:c r="L76" s="2" t="str">
        <x:v>Mark / Matt</x:v>
      </x:c>
      <x:c r="M76" t="str"/>
      <x:c r="N76" t="str">
        <x:v>Supplied</x:v>
      </x:c>
      <x:c r="O76" t="str"/>
    </x:row>
    <x:row r="77" ht="22" customHeight="1">
      <x:c r="A77" s="2" t="n">
        <x:v>9</x:v>
      </x:c>
      <x:c r="B77" s="2" t="str">
        <x:v>Regular</x:v>
      </x:c>
      <x:c r="C77" s="2" t="str">
        <x:v>Nick</x:v>
      </x:c>
      <x:c r="D77" s="2" t="str">
        <x:v>Ricky Kicks</x:v>
      </x:c>
      <x:c r="E77" s="15" t="n">
        <x:v>126.55</x:v>
      </x:c>
      <x:c r="F77" s="2" t="str">
        <x:v>Ryan</x:v>
      </x:c>
      <x:c r="G77" s="2" t="str">
        <x:v>Blockhead</x:v>
      </x:c>
      <x:c r="H77" s="15" t="n">
        <x:v>123.95</x:v>
      </x:c>
      <x:c r="I77" s="2" t="str">
        <x:f>IF(E77&gt;H77,C77,IF(E77&lt;H77,F77,"Tie"))</x:f>
        <x:v>Nick</x:v>
      </x:c>
      <x:c r="J77" s="2" t="str">
        <x:f>IF(E77&gt;H77,F77,IF(E77&lt;H77,C77,"Tie"))</x:f>
        <x:v>Ryan</x:v>
      </x:c>
      <x:c r="K77" s="2" t="n">
        <x:f>IF(E77=H77,1,0)</x:f>
        <x:v>0</x:v>
      </x:c>
      <x:c r="L77" s="2" t="str">
        <x:v>Nick / Ryan</x:v>
      </x:c>
      <x:c r="M77" t="str"/>
      <x:c r="N77" t="str">
        <x:v>Supplied</x:v>
      </x:c>
      <x:c r="O77" t="str"/>
    </x:row>
    <x:row r="78" ht="22" customHeight="1">
      <x:c r="A78" s="2" t="n">
        <x:v>10</x:v>
      </x:c>
      <x:c r="B78" s="2" t="str">
        <x:v>Regular</x:v>
      </x:c>
      <x:c r="C78" s="2" t="str">
        <x:v>Bruce</x:v>
      </x:c>
      <x:c r="D78" s="2" t="str">
        <x:v>The Storm</x:v>
      </x:c>
      <x:c r="E78" s="15" t="n">
        <x:v>90.1</x:v>
      </x:c>
      <x:c r="F78" s="2" t="str">
        <x:v>Craig</x:v>
      </x:c>
      <x:c r="G78" s="2" t="str">
        <x:v>The Ants Marching</x:v>
      </x:c>
      <x:c r="H78" s="15" t="n">
        <x:v>122.15</x:v>
      </x:c>
      <x:c r="I78" s="2" t="str">
        <x:f>IF(E78&gt;H78,C78,IF(E78&lt;H78,F78,"Tie"))</x:f>
        <x:v>Craig</x:v>
      </x:c>
      <x:c r="J78" s="2" t="str">
        <x:f>IF(E78&gt;H78,F78,IF(E78&lt;H78,C78,"Tie"))</x:f>
        <x:v>Bruce</x:v>
      </x:c>
      <x:c r="K78" s="2" t="n">
        <x:f>IF(E78=H78,1,0)</x:f>
        <x:v>0</x:v>
      </x:c>
      <x:c r="L78" s="2" t="str">
        <x:v>Bruce / Craig</x:v>
      </x:c>
      <x:c r="M78" t="str"/>
      <x:c r="N78" t="str">
        <x:v>Supplied</x:v>
      </x:c>
      <x:c r="O78" t="str"/>
    </x:row>
    <x:row r="79" ht="22" customHeight="1">
      <x:c r="A79" s="2" t="n">
        <x:v>10</x:v>
      </x:c>
      <x:c r="B79" s="2" t="str">
        <x:v>Regular</x:v>
      </x:c>
      <x:c r="C79" s="2" t="str">
        <x:v>Dave</x:v>
      </x:c>
      <x:c r="D79" s="2" t="str">
        <x:v>Mr. Girth</x:v>
      </x:c>
      <x:c r="E79" s="15" t="n">
        <x:v>131.1</x:v>
      </x:c>
      <x:c r="F79" s="2" t="str">
        <x:v>Frank</x:v>
      </x:c>
      <x:c r="G79" s="2" t="str">
        <x:v>McANUS</x:v>
      </x:c>
      <x:c r="H79" s="15" t="n">
        <x:v>88.2</x:v>
      </x:c>
      <x:c r="I79" s="2" t="str">
        <x:f>IF(E79&gt;H79,C79,IF(E79&lt;H79,F79,"Tie"))</x:f>
        <x:v>Dave</x:v>
      </x:c>
      <x:c r="J79" s="2" t="str">
        <x:f>IF(E79&gt;H79,F79,IF(E79&lt;H79,C79,"Tie"))</x:f>
        <x:v>Frank</x:v>
      </x:c>
      <x:c r="K79" s="2" t="n">
        <x:f>IF(E79=H79,1,0)</x:f>
        <x:v>0</x:v>
      </x:c>
      <x:c r="L79" s="2" t="str">
        <x:v>Dave / Frank</x:v>
      </x:c>
      <x:c r="M79" t="str"/>
      <x:c r="N79" t="str">
        <x:v>Supplied</x:v>
      </x:c>
      <x:c r="O79" t="str"/>
    </x:row>
    <x:row r="80" ht="22" customHeight="1">
      <x:c r="A80" s="2" t="n">
        <x:v>10</x:v>
      </x:c>
      <x:c r="B80" s="2" t="str">
        <x:v>Regular</x:v>
      </x:c>
      <x:c r="C80" s="2" t="str">
        <x:v>Ed</x:v>
      </x:c>
      <x:c r="D80" s="2" t="str">
        <x:v>Fu¢ked Again</x:v>
      </x:c>
      <x:c r="E80" s="15" t="n">
        <x:v>179.35</x:v>
      </x:c>
      <x:c r="F80" s="2" t="str">
        <x:v>Michael</x:v>
      </x:c>
      <x:c r="G80" s="2" t="str">
        <x:v>Big Butler Bids</x:v>
      </x:c>
      <x:c r="H80" s="15" t="n">
        <x:v>104.6</x:v>
      </x:c>
      <x:c r="I80" s="2" t="str">
        <x:f>IF(E80&gt;H80,C80,IF(E80&lt;H80,F80,"Tie"))</x:f>
        <x:v>Ed</x:v>
      </x:c>
      <x:c r="J80" s="2" t="str">
        <x:f>IF(E80&gt;H80,F80,IF(E80&lt;H80,C80,"Tie"))</x:f>
        <x:v>Michael</x:v>
      </x:c>
      <x:c r="K80" s="2" t="n">
        <x:f>IF(E80=H80,1,0)</x:f>
        <x:v>0</x:v>
      </x:c>
      <x:c r="L80" s="2" t="str">
        <x:v>Ed / Michael</x:v>
      </x:c>
      <x:c r="M80" t="str"/>
      <x:c r="N80" t="str">
        <x:v>Supplied</x:v>
      </x:c>
      <x:c r="O80" t="str"/>
    </x:row>
    <x:row r="81" ht="22" customHeight="1">
      <x:c r="A81" s="2" t="n">
        <x:v>10</x:v>
      </x:c>
      <x:c r="B81" s="2" t="str">
        <x:v>Regular</x:v>
      </x:c>
      <x:c r="C81" s="2" t="str">
        <x:v>Mike</x:v>
      </x:c>
      <x:c r="D81" s="2" t="str">
        <x:v>Team Fluff</x:v>
      </x:c>
      <x:c r="E81" s="15" t="n">
        <x:v>109.9</x:v>
      </x:c>
      <x:c r="F81" s="2" t="str">
        <x:v>Ryan</x:v>
      </x:c>
      <x:c r="G81" s="2" t="str">
        <x:v>Blockhead</x:v>
      </x:c>
      <x:c r="H81" s="15" t="n">
        <x:v>152.2</x:v>
      </x:c>
      <x:c r="I81" s="2" t="str">
        <x:f>IF(E81&gt;H81,C81,IF(E81&lt;H81,F81,"Tie"))</x:f>
        <x:v>Ryan</x:v>
      </x:c>
      <x:c r="J81" s="2" t="str">
        <x:f>IF(E81&gt;H81,F81,IF(E81&lt;H81,C81,"Tie"))</x:f>
        <x:v>Mike</x:v>
      </x:c>
      <x:c r="K81" s="2" t="n">
        <x:f>IF(E81=H81,1,0)</x:f>
        <x:v>0</x:v>
      </x:c>
      <x:c r="L81" s="2" t="str">
        <x:v>Mike / Ryan</x:v>
      </x:c>
      <x:c r="M81" t="str"/>
      <x:c r="N81" t="str">
        <x:v>Supplied</x:v>
      </x:c>
      <x:c r="O81" t="str"/>
    </x:row>
    <x:row r="82" ht="22" customHeight="1">
      <x:c r="A82" s="2" t="n">
        <x:v>10</x:v>
      </x:c>
      <x:c r="B82" s="2" t="str">
        <x:v>Regular</x:v>
      </x:c>
      <x:c r="C82" s="2" t="str">
        <x:v>Josh</x:v>
      </x:c>
      <x:c r="D82" s="2" t="str">
        <x:v>Phony Handshakes</x:v>
      </x:c>
      <x:c r="E82" s="15" t="n">
        <x:v>134.9</x:v>
      </x:c>
      <x:c r="F82" s="2" t="str">
        <x:v>Matt</x:v>
      </x:c>
      <x:c r="G82" s="2" t="str">
        <x:v>Perc Rodgers 💊</x:v>
      </x:c>
      <x:c r="H82" s="15" t="n">
        <x:v>111.15</x:v>
      </x:c>
      <x:c r="I82" s="2" t="str">
        <x:f>IF(E82&gt;H82,C82,IF(E82&lt;H82,F82,"Tie"))</x:f>
        <x:v>Josh</x:v>
      </x:c>
      <x:c r="J82" s="2" t="str">
        <x:f>IF(E82&gt;H82,F82,IF(E82&lt;H82,C82,"Tie"))</x:f>
        <x:v>Matt</x:v>
      </x:c>
      <x:c r="K82" s="2" t="n">
        <x:f>IF(E82=H82,1,0)</x:f>
        <x:v>0</x:v>
      </x:c>
      <x:c r="L82" s="2" t="str">
        <x:v>Josh / Matt</x:v>
      </x:c>
      <x:c r="M82" t="str"/>
      <x:c r="N82" t="str">
        <x:v>Supplied</x:v>
      </x:c>
      <x:c r="O82" t="str"/>
    </x:row>
    <x:row r="83" ht="22" customHeight="1">
      <x:c r="A83" s="2" t="n">
        <x:v>10</x:v>
      </x:c>
      <x:c r="B83" s="2" t="str">
        <x:v>Regular</x:v>
      </x:c>
      <x:c r="C83" s="2" t="str">
        <x:v>Mark</x:v>
      </x:c>
      <x:c r="D83" s="2" t="str">
        <x:v>wacky waving arms</x:v>
      </x:c>
      <x:c r="E83" s="15" t="n">
        <x:v>122.25</x:v>
      </x:c>
      <x:c r="F83" s="2" t="str">
        <x:v>Nick</x:v>
      </x:c>
      <x:c r="G83" s="2" t="str">
        <x:v>Ricky Kicks</x:v>
      </x:c>
      <x:c r="H83" s="15" t="n">
        <x:v>82.9</x:v>
      </x:c>
      <x:c r="I83" s="2" t="str">
        <x:f>IF(E83&gt;H83,C83,IF(E83&lt;H83,F83,"Tie"))</x:f>
        <x:v>Mark</x:v>
      </x:c>
      <x:c r="J83" s="2" t="str">
        <x:f>IF(E83&gt;H83,F83,IF(E83&lt;H83,C83,"Tie"))</x:f>
        <x:v>Nick</x:v>
      </x:c>
      <x:c r="K83" s="2" t="n">
        <x:f>IF(E83=H83,1,0)</x:f>
        <x:v>0</x:v>
      </x:c>
      <x:c r="L83" s="2" t="str">
        <x:v>Mark / Nick</x:v>
      </x:c>
      <x:c r="M83" t="str"/>
      <x:c r="N83" t="str">
        <x:v>Supplied</x:v>
      </x:c>
      <x:c r="O83" t="str"/>
    </x:row>
    <x:row r="84" ht="22" customHeight="1">
      <x:c r="A84" s="2" t="n">
        <x:v>11</x:v>
      </x:c>
      <x:c r="B84" s="2" t="str">
        <x:v>Regular</x:v>
      </x:c>
      <x:c r="C84" s="2" t="str">
        <x:v>Bruce</x:v>
      </x:c>
      <x:c r="D84" s="2" t="str">
        <x:v>The Storm</x:v>
      </x:c>
      <x:c r="E84" s="15" t="n">
        <x:v>81.15</x:v>
      </x:c>
      <x:c r="F84" s="2" t="str">
        <x:v>Nick</x:v>
      </x:c>
      <x:c r="G84" s="2" t="str">
        <x:v>Ricky Kicks</x:v>
      </x:c>
      <x:c r="H84" s="15" t="n">
        <x:v>123.75</x:v>
      </x:c>
      <x:c r="I84" s="2" t="str">
        <x:f>IF(E84&gt;H84,C84,IF(E84&lt;H84,F84,"Tie"))</x:f>
        <x:v>Nick</x:v>
      </x:c>
      <x:c r="J84" s="2" t="str">
        <x:f>IF(E84&gt;H84,F84,IF(E84&lt;H84,C84,"Tie"))</x:f>
        <x:v>Bruce</x:v>
      </x:c>
      <x:c r="K84" s="2" t="n">
        <x:f>IF(E84=H84,1,0)</x:f>
        <x:v>0</x:v>
      </x:c>
      <x:c r="L84" s="2" t="str">
        <x:v>Bruce / Nick</x:v>
      </x:c>
      <x:c r="M84" t="str"/>
      <x:c r="N84" t="str">
        <x:v>Supplied</x:v>
      </x:c>
      <x:c r="O84" t="str">
        <x:v>*</x:v>
      </x:c>
    </x:row>
    <x:row r="85" ht="22" customHeight="1">
      <x:c r="A85" s="2" t="n">
        <x:v>11</x:v>
      </x:c>
      <x:c r="B85" s="2" t="str">
        <x:v>Regular</x:v>
      </x:c>
      <x:c r="C85" s="2" t="str">
        <x:v>Craig</x:v>
      </x:c>
      <x:c r="D85" s="2" t="str">
        <x:v>The Ants Marching</x:v>
      </x:c>
      <x:c r="E85" s="15" t="n">
        <x:v>98.15</x:v>
      </x:c>
      <x:c r="F85" s="2" t="str">
        <x:v>Mark</x:v>
      </x:c>
      <x:c r="G85" s="2" t="str">
        <x:v>wacky waving arms</x:v>
      </x:c>
      <x:c r="H85" s="15" t="n">
        <x:v>116.25</x:v>
      </x:c>
      <x:c r="I85" s="2" t="str">
        <x:f>IF(E85&gt;H85,C85,IF(E85&lt;H85,F85,"Tie"))</x:f>
        <x:v>Mark</x:v>
      </x:c>
      <x:c r="J85" s="2" t="str">
        <x:f>IF(E85&gt;H85,F85,IF(E85&lt;H85,C85,"Tie"))</x:f>
        <x:v>Craig</x:v>
      </x:c>
      <x:c r="K85" s="2" t="n">
        <x:f>IF(E85=H85,1,0)</x:f>
        <x:v>0</x:v>
      </x:c>
      <x:c r="L85" s="2" t="str">
        <x:v>Craig / Mark</x:v>
      </x:c>
      <x:c r="M85" t="str"/>
      <x:c r="N85" t="str">
        <x:v>Supplied</x:v>
      </x:c>
      <x:c r="O85" t="str">
        <x:v>*</x:v>
      </x:c>
    </x:row>
    <x:row r="86" ht="22" customHeight="1">
      <x:c r="A86" s="2" t="n">
        <x:v>11</x:v>
      </x:c>
      <x:c r="B86" s="2" t="str">
        <x:v>Regular</x:v>
      </x:c>
      <x:c r="C86" s="2" t="str">
        <x:v>Dave</x:v>
      </x:c>
      <x:c r="D86" s="2" t="str">
        <x:v>Mr. Girth</x:v>
      </x:c>
      <x:c r="E86" s="15" t="n">
        <x:v>121.1</x:v>
      </x:c>
      <x:c r="F86" s="2" t="str">
        <x:v>Ryan</x:v>
      </x:c>
      <x:c r="G86" s="2" t="str">
        <x:v>Blockhead</x:v>
      </x:c>
      <x:c r="H86" s="15" t="n">
        <x:v>146.5</x:v>
      </x:c>
      <x:c r="I86" s="2" t="str">
        <x:f>IF(E86&gt;H86,C86,IF(E86&lt;H86,F86,"Tie"))</x:f>
        <x:v>Ryan</x:v>
      </x:c>
      <x:c r="J86" s="2" t="str">
        <x:f>IF(E86&gt;H86,F86,IF(E86&lt;H86,C86,"Tie"))</x:f>
        <x:v>Dave</x:v>
      </x:c>
      <x:c r="K86" s="2" t="n">
        <x:f>IF(E86=H86,1,0)</x:f>
        <x:v>0</x:v>
      </x:c>
      <x:c r="L86" s="2" t="str">
        <x:v>Dave / Ryan</x:v>
      </x:c>
      <x:c r="M86" t="str"/>
      <x:c r="N86" t="str">
        <x:v>Supplied</x:v>
      </x:c>
      <x:c r="O86" t="str">
        <x:v>*</x:v>
      </x:c>
    </x:row>
    <x:row r="87" ht="22" customHeight="1">
      <x:c r="A87" s="2" t="n">
        <x:v>11</x:v>
      </x:c>
      <x:c r="B87" s="2" t="str">
        <x:v>Regular</x:v>
      </x:c>
      <x:c r="C87" s="2" t="str">
        <x:v>Ed</x:v>
      </x:c>
      <x:c r="D87" s="2" t="str">
        <x:v>Fu¢ked Again</x:v>
      </x:c>
      <x:c r="E87" s="15" t="n">
        <x:v>143.75</x:v>
      </x:c>
      <x:c r="F87" s="2" t="str">
        <x:v>Josh</x:v>
      </x:c>
      <x:c r="G87" s="2" t="str">
        <x:v>Phony Handshakes</x:v>
      </x:c>
      <x:c r="H87" s="15" t="n">
        <x:v>135.15</x:v>
      </x:c>
      <x:c r="I87" s="2" t="str">
        <x:f>IF(E87&gt;H87,C87,IF(E87&lt;H87,F87,"Tie"))</x:f>
        <x:v>Ed</x:v>
      </x:c>
      <x:c r="J87" s="2" t="str">
        <x:f>IF(E87&gt;H87,F87,IF(E87&lt;H87,C87,"Tie"))</x:f>
        <x:v>Josh</x:v>
      </x:c>
      <x:c r="K87" s="2" t="n">
        <x:f>IF(E87=H87,1,0)</x:f>
        <x:v>0</x:v>
      </x:c>
      <x:c r="L87" s="2" t="str">
        <x:v>Ed / Josh</x:v>
      </x:c>
      <x:c r="M87" t="str"/>
      <x:c r="N87" t="str">
        <x:v>Supplied</x:v>
      </x:c>
      <x:c r="O87" t="str">
        <x:v>*</x:v>
      </x:c>
    </x:row>
    <x:row r="88" ht="22" customHeight="1">
      <x:c r="A88" s="2" t="n">
        <x:v>11</x:v>
      </x:c>
      <x:c r="B88" s="2" t="str">
        <x:v>Regular</x:v>
      </x:c>
      <x:c r="C88" s="2" t="str">
        <x:v>Frank</x:v>
      </x:c>
      <x:c r="D88" s="2" t="str">
        <x:v>McANUS</x:v>
      </x:c>
      <x:c r="E88" s="15" t="n">
        <x:v>76.65</x:v>
      </x:c>
      <x:c r="F88" s="2" t="str">
        <x:v>Mike</x:v>
      </x:c>
      <x:c r="G88" s="2" t="str">
        <x:v>Team Fluff</x:v>
      </x:c>
      <x:c r="H88" s="15" t="n">
        <x:v>143.85</x:v>
      </x:c>
      <x:c r="I88" s="2" t="str">
        <x:f>IF(E88&gt;H88,C88,IF(E88&lt;H88,F88,"Tie"))</x:f>
        <x:v>Mike</x:v>
      </x:c>
      <x:c r="J88" s="2" t="str">
        <x:f>IF(E88&gt;H88,F88,IF(E88&lt;H88,C88,"Tie"))</x:f>
        <x:v>Frank</x:v>
      </x:c>
      <x:c r="K88" s="2" t="n">
        <x:f>IF(E88=H88,1,0)</x:f>
        <x:v>0</x:v>
      </x:c>
      <x:c r="L88" s="2" t="str">
        <x:v>Frank / Mike</x:v>
      </x:c>
      <x:c r="M88" t="str"/>
      <x:c r="N88" t="str">
        <x:v>Supplied</x:v>
      </x:c>
      <x:c r="O88" t="str">
        <x:v>*</x:v>
      </x:c>
    </x:row>
    <x:row r="89" ht="22" customHeight="1">
      <x:c r="A89" s="2" t="n">
        <x:v>11</x:v>
      </x:c>
      <x:c r="B89" s="2" t="str">
        <x:v>Regular</x:v>
      </x:c>
      <x:c r="C89" s="2" t="str">
        <x:v>Matt</x:v>
      </x:c>
      <x:c r="D89" s="2" t="str">
        <x:v>Perc Rodgers 💊</x:v>
      </x:c>
      <x:c r="E89" s="15" t="n">
        <x:v>74.85</x:v>
      </x:c>
      <x:c r="F89" s="2" t="str">
        <x:v>Michael</x:v>
      </x:c>
      <x:c r="G89" s="2" t="str">
        <x:v>Big Butler Bids</x:v>
      </x:c>
      <x:c r="H89" s="15" t="n">
        <x:v>86</x:v>
      </x:c>
      <x:c r="I89" s="2" t="str">
        <x:f>IF(E89&gt;H89,C89,IF(E89&lt;H89,F89,"Tie"))</x:f>
        <x:v>Michael</x:v>
      </x:c>
      <x:c r="J89" s="2" t="str">
        <x:f>IF(E89&gt;H89,F89,IF(E89&lt;H89,C89,"Tie"))</x:f>
        <x:v>Matt</x:v>
      </x:c>
      <x:c r="K89" s="2" t="n">
        <x:f>IF(E89=H89,1,0)</x:f>
        <x:v>0</x:v>
      </x:c>
      <x:c r="L89" s="2" t="str">
        <x:v>Matt / Michael</x:v>
      </x:c>
      <x:c r="M89" t="str"/>
      <x:c r="N89" t="str">
        <x:v>Supplied</x:v>
      </x:c>
      <x:c r="O89" t="str">
        <x:v>*</x:v>
      </x:c>
    </x:row>
    <x:row r="90" ht="22" customHeight="1">
      <x:c r="A90" s="2" t="n">
        <x:v>12</x:v>
      </x:c>
      <x:c r="B90" s="2" t="str">
        <x:v>Regular</x:v>
      </x:c>
      <x:c r="C90" s="2" t="str">
        <x:v>Bruce</x:v>
      </x:c>
      <x:c r="D90" s="2" t="str">
        <x:v>The Storm</x:v>
      </x:c>
      <x:c r="E90" s="15" t="n">
        <x:v>112.65</x:v>
      </x:c>
      <x:c r="F90" s="2" t="str">
        <x:v>Ryan</x:v>
      </x:c>
      <x:c r="G90" s="2" t="str">
        <x:v>Blockhead</x:v>
      </x:c>
      <x:c r="H90" s="15" t="n">
        <x:v>121.45</x:v>
      </x:c>
      <x:c r="I90" s="2" t="str">
        <x:f>IF(E90&gt;H90,C90,IF(E90&lt;H90,F90,"Tie"))</x:f>
        <x:v>Ryan</x:v>
      </x:c>
      <x:c r="J90" s="2" t="str">
        <x:f>IF(E90&gt;H90,F90,IF(E90&lt;H90,C90,"Tie"))</x:f>
        <x:v>Bruce</x:v>
      </x:c>
      <x:c r="K90" s="2" t="n">
        <x:f>IF(E90=H90,1,0)</x:f>
        <x:v>0</x:v>
      </x:c>
      <x:c r="L90" s="2" t="str">
        <x:v>Bruce / Ryan</x:v>
      </x:c>
      <x:c r="M90" t="str"/>
      <x:c r="N90" t="str">
        <x:v>Supplied</x:v>
      </x:c>
      <x:c r="O90" t="str"/>
    </x:row>
    <x:row r="91" ht="22" customHeight="1">
      <x:c r="A91" s="2" t="n">
        <x:v>12</x:v>
      </x:c>
      <x:c r="B91" s="2" t="str">
        <x:v>Regular</x:v>
      </x:c>
      <x:c r="C91" s="2" t="str">
        <x:v>Craig</x:v>
      </x:c>
      <x:c r="D91" s="2" t="str">
        <x:v>The Ants Marching</x:v>
      </x:c>
      <x:c r="E91" s="15" t="n">
        <x:v>97.95</x:v>
      </x:c>
      <x:c r="F91" s="2" t="str">
        <x:v>Matt</x:v>
      </x:c>
      <x:c r="G91" s="2" t="str">
        <x:v>Perc Rodgers 💊</x:v>
      </x:c>
      <x:c r="H91" s="15" t="n">
        <x:v>125.45</x:v>
      </x:c>
      <x:c r="I91" s="2" t="str">
        <x:f>IF(E91&gt;H91,C91,IF(E91&lt;H91,F91,"Tie"))</x:f>
        <x:v>Matt</x:v>
      </x:c>
      <x:c r="J91" s="2" t="str">
        <x:f>IF(E91&gt;H91,F91,IF(E91&lt;H91,C91,"Tie"))</x:f>
        <x:v>Craig</x:v>
      </x:c>
      <x:c r="K91" s="2" t="n">
        <x:f>IF(E91=H91,1,0)</x:f>
        <x:v>0</x:v>
      </x:c>
      <x:c r="L91" s="2" t="str">
        <x:v>Craig / Matt</x:v>
      </x:c>
      <x:c r="M91" t="str"/>
      <x:c r="N91" t="str">
        <x:v>Supplied</x:v>
      </x:c>
      <x:c r="O91" t="str"/>
    </x:row>
    <x:row r="92" ht="22" customHeight="1">
      <x:c r="A92" s="2" t="n">
        <x:v>12</x:v>
      </x:c>
      <x:c r="B92" s="2" t="str">
        <x:v>Regular</x:v>
      </x:c>
      <x:c r="C92" s="2" t="str">
        <x:v>Dave</x:v>
      </x:c>
      <x:c r="D92" s="2" t="str">
        <x:v>Mr. Girth</x:v>
      </x:c>
      <x:c r="E92" s="15" t="n">
        <x:v>111.9</x:v>
      </x:c>
      <x:c r="F92" s="2" t="str">
        <x:v>Nick</x:v>
      </x:c>
      <x:c r="G92" s="2" t="str">
        <x:v>Ricky Kicks</x:v>
      </x:c>
      <x:c r="H92" s="15" t="n">
        <x:v>114.75</x:v>
      </x:c>
      <x:c r="I92" s="2" t="str">
        <x:f>IF(E92&gt;H92,C92,IF(E92&lt;H92,F92,"Tie"))</x:f>
        <x:v>Nick</x:v>
      </x:c>
      <x:c r="J92" s="2" t="str">
        <x:f>IF(E92&gt;H92,F92,IF(E92&lt;H92,C92,"Tie"))</x:f>
        <x:v>Dave</x:v>
      </x:c>
      <x:c r="K92" s="2" t="n">
        <x:f>IF(E92=H92,1,0)</x:f>
        <x:v>0</x:v>
      </x:c>
      <x:c r="L92" s="2" t="str">
        <x:v>Dave / Nick</x:v>
      </x:c>
      <x:c r="M92" t="str"/>
      <x:c r="N92" t="str">
        <x:v>Supplied</x:v>
      </x:c>
      <x:c r="O92" t="str"/>
    </x:row>
    <x:row r="93" ht="22" customHeight="1">
      <x:c r="A93" s="2" t="n">
        <x:v>12</x:v>
      </x:c>
      <x:c r="B93" s="2" t="str">
        <x:v>Regular</x:v>
      </x:c>
      <x:c r="C93" s="2" t="str">
        <x:v>Ed</x:v>
      </x:c>
      <x:c r="D93" s="2" t="str">
        <x:v>Fu¢ked Again</x:v>
      </x:c>
      <x:c r="E93" s="15" t="n">
        <x:v>185.85</x:v>
      </x:c>
      <x:c r="F93" s="2" t="str">
        <x:v>Mike</x:v>
      </x:c>
      <x:c r="G93" s="2" t="str">
        <x:v>Team Fluff</x:v>
      </x:c>
      <x:c r="H93" s="15" t="n">
        <x:v>111.85</x:v>
      </x:c>
      <x:c r="I93" s="2" t="str">
        <x:f>IF(E93&gt;H93,C93,IF(E93&lt;H93,F93,"Tie"))</x:f>
        <x:v>Ed</x:v>
      </x:c>
      <x:c r="J93" s="2" t="str">
        <x:f>IF(E93&gt;H93,F93,IF(E93&lt;H93,C93,"Tie"))</x:f>
        <x:v>Mike</x:v>
      </x:c>
      <x:c r="K93" s="2" t="n">
        <x:f>IF(E93=H93,1,0)</x:f>
        <x:v>0</x:v>
      </x:c>
      <x:c r="L93" s="2" t="str">
        <x:v>Ed / Mike</x:v>
      </x:c>
      <x:c r="M93" t="str"/>
      <x:c r="N93" t="str">
        <x:v>Supplied</x:v>
      </x:c>
      <x:c r="O93" t="str"/>
    </x:row>
    <x:row r="94" ht="22" customHeight="1">
      <x:c r="A94" s="2" t="n">
        <x:v>12</x:v>
      </x:c>
      <x:c r="B94" s="2" t="str">
        <x:v>Regular</x:v>
      </x:c>
      <x:c r="C94" s="2" t="str">
        <x:v>Frank</x:v>
      </x:c>
      <x:c r="D94" s="2" t="str">
        <x:v>McANUS</x:v>
      </x:c>
      <x:c r="E94" s="15" t="n">
        <x:v>135.6</x:v>
      </x:c>
      <x:c r="F94" s="2" t="str">
        <x:v>Josh</x:v>
      </x:c>
      <x:c r="G94" s="2" t="str">
        <x:v>Phony Handshakes</x:v>
      </x:c>
      <x:c r="H94" s="15" t="n">
        <x:v>145.7</x:v>
      </x:c>
      <x:c r="I94" s="2" t="str">
        <x:f>IF(E94&gt;H94,C94,IF(E94&lt;H94,F94,"Tie"))</x:f>
        <x:v>Josh</x:v>
      </x:c>
      <x:c r="J94" s="2" t="str">
        <x:f>IF(E94&gt;H94,F94,IF(E94&lt;H94,C94,"Tie"))</x:f>
        <x:v>Frank</x:v>
      </x:c>
      <x:c r="K94" s="2" t="n">
        <x:f>IF(E94=H94,1,0)</x:f>
        <x:v>0</x:v>
      </x:c>
      <x:c r="L94" s="2" t="str">
        <x:v>Frank / Josh</x:v>
      </x:c>
      <x:c r="M94" t="str"/>
      <x:c r="N94" t="str">
        <x:v>Supplied</x:v>
      </x:c>
      <x:c r="O94" t="str"/>
    </x:row>
    <x:row r="95" ht="22" customHeight="1">
      <x:c r="A95" s="2" t="n">
        <x:v>12</x:v>
      </x:c>
      <x:c r="B95" s="2" t="str">
        <x:v>Regular</x:v>
      </x:c>
      <x:c r="C95" s="2" t="str">
        <x:v>Mark</x:v>
      </x:c>
      <x:c r="D95" s="2" t="str">
        <x:v>wacky waving arms</x:v>
      </x:c>
      <x:c r="E95" s="15" t="n">
        <x:v>167.35</x:v>
      </x:c>
      <x:c r="F95" s="2" t="str">
        <x:v>Michael</x:v>
      </x:c>
      <x:c r="G95" s="2" t="str">
        <x:v>Big Butler Bids</x:v>
      </x:c>
      <x:c r="H95" s="15" t="n">
        <x:v>74.15</x:v>
      </x:c>
      <x:c r="I95" s="2" t="str">
        <x:f>IF(E95&gt;H95,C95,IF(E95&lt;H95,F95,"Tie"))</x:f>
        <x:v>Mark</x:v>
      </x:c>
      <x:c r="J95" s="2" t="str">
        <x:f>IF(E95&gt;H95,F95,IF(E95&lt;H95,C95,"Tie"))</x:f>
        <x:v>Michael</x:v>
      </x:c>
      <x:c r="K95" s="2" t="n">
        <x:f>IF(E95=H95,1,0)</x:f>
        <x:v>0</x:v>
      </x:c>
      <x:c r="L95" s="2" t="str">
        <x:v>Mark / Michael</x:v>
      </x:c>
      <x:c r="M95" t="str"/>
      <x:c r="N95" t="str">
        <x:v>Supplied</x:v>
      </x:c>
      <x:c r="O95" t="str"/>
    </x:row>
    <x:row r="96" ht="22" customHeight="1">
      <x:c r="A96" s="2" t="n">
        <x:v>13</x:v>
      </x:c>
      <x:c r="B96" s="2" t="str">
        <x:v>Regular</x:v>
      </x:c>
      <x:c r="C96" s="2" t="str">
        <x:v>Bruce</x:v>
      </x:c>
      <x:c r="D96" s="2" t="str">
        <x:v>The Storm</x:v>
      </x:c>
      <x:c r="E96" s="15" t="n">
        <x:v>80.45</x:v>
      </x:c>
      <x:c r="F96" s="2" t="str">
        <x:v>Josh</x:v>
      </x:c>
      <x:c r="G96" s="2" t="str">
        <x:v>Phony Handshakes</x:v>
      </x:c>
      <x:c r="H96" s="15" t="n">
        <x:v>126</x:v>
      </x:c>
      <x:c r="I96" s="2" t="str">
        <x:f>IF(E96&gt;H96,C96,IF(E96&lt;H96,F96,"Tie"))</x:f>
        <x:v>Josh</x:v>
      </x:c>
      <x:c r="J96" s="2" t="str">
        <x:f>IF(E96&gt;H96,F96,IF(E96&lt;H96,C96,"Tie"))</x:f>
        <x:v>Bruce</x:v>
      </x:c>
      <x:c r="K96" s="2" t="n">
        <x:f>IF(E96=H96,1,0)</x:f>
        <x:v>0</x:v>
      </x:c>
      <x:c r="L96" s="2" t="str">
        <x:v>Bruce / Josh</x:v>
      </x:c>
      <x:c r="M96" t="str"/>
      <x:c r="N96" t="str">
        <x:v>Supplied</x:v>
      </x:c>
      <x:c r="O96" t="str">
        <x:v>*</x:v>
      </x:c>
    </x:row>
    <x:row r="97" ht="22" customHeight="1">
      <x:c r="A97" s="2" t="n">
        <x:v>13</x:v>
      </x:c>
      <x:c r="B97" s="2" t="str">
        <x:v>Regular</x:v>
      </x:c>
      <x:c r="C97" s="2" t="str">
        <x:v>Craig</x:v>
      </x:c>
      <x:c r="D97" s="2" t="str">
        <x:v>The Ants Marching</x:v>
      </x:c>
      <x:c r="E97" s="15" t="n">
        <x:v>95.8</x:v>
      </x:c>
      <x:c r="F97" s="2" t="str">
        <x:v>Mike</x:v>
      </x:c>
      <x:c r="G97" s="2" t="str">
        <x:v>Team Fluff</x:v>
      </x:c>
      <x:c r="H97" s="15" t="n">
        <x:v>101.8</x:v>
      </x:c>
      <x:c r="I97" s="2" t="str">
        <x:f>IF(E97&gt;H97,C97,IF(E97&lt;H97,F97,"Tie"))</x:f>
        <x:v>Mike</x:v>
      </x:c>
      <x:c r="J97" s="2" t="str">
        <x:f>IF(E97&gt;H97,F97,IF(E97&lt;H97,C97,"Tie"))</x:f>
        <x:v>Craig</x:v>
      </x:c>
      <x:c r="K97" s="2" t="n">
        <x:f>IF(E97=H97,1,0)</x:f>
        <x:v>0</x:v>
      </x:c>
      <x:c r="L97" s="2" t="str">
        <x:v>Craig / Mike</x:v>
      </x:c>
      <x:c r="M97" t="str"/>
      <x:c r="N97" t="str">
        <x:v>Supplied</x:v>
      </x:c>
      <x:c r="O97" t="str">
        <x:v>*</x:v>
      </x:c>
    </x:row>
    <x:row r="98" ht="22" customHeight="1">
      <x:c r="A98" s="2" t="n">
        <x:v>13</x:v>
      </x:c>
      <x:c r="B98" s="2" t="str">
        <x:v>Regular</x:v>
      </x:c>
      <x:c r="C98" s="2" t="str">
        <x:v>Dave</x:v>
      </x:c>
      <x:c r="D98" s="2" t="str">
        <x:v>Mr. Girth</x:v>
      </x:c>
      <x:c r="E98" s="15" t="n">
        <x:v>110.35</x:v>
      </x:c>
      <x:c r="F98" s="2" t="str">
        <x:v>Matt</x:v>
      </x:c>
      <x:c r="G98" s="2" t="str">
        <x:v>Perc Rodgers 💊</x:v>
      </x:c>
      <x:c r="H98" s="15" t="n">
        <x:v>93.3</x:v>
      </x:c>
      <x:c r="I98" s="2" t="str">
        <x:f>IF(E98&gt;H98,C98,IF(E98&lt;H98,F98,"Tie"))</x:f>
        <x:v>Dave</x:v>
      </x:c>
      <x:c r="J98" s="2" t="str">
        <x:f>IF(E98&gt;H98,F98,IF(E98&lt;H98,C98,"Tie"))</x:f>
        <x:v>Matt</x:v>
      </x:c>
      <x:c r="K98" s="2" t="n">
        <x:f>IF(E98=H98,1,0)</x:f>
        <x:v>0</x:v>
      </x:c>
      <x:c r="L98" s="2" t="str">
        <x:v>Dave / Matt</x:v>
      </x:c>
      <x:c r="M98" t="str"/>
      <x:c r="N98" t="str">
        <x:v>Supplied</x:v>
      </x:c>
      <x:c r="O98" t="str">
        <x:v>*</x:v>
      </x:c>
    </x:row>
    <x:row r="99" ht="22" customHeight="1">
      <x:c r="A99" s="2" t="n">
        <x:v>13</x:v>
      </x:c>
      <x:c r="B99" s="2" t="str">
        <x:v>Regular</x:v>
      </x:c>
      <x:c r="C99" s="2" t="str">
        <x:v>Ed</x:v>
      </x:c>
      <x:c r="D99" s="2" t="str">
        <x:v>Fu¢ked Again</x:v>
      </x:c>
      <x:c r="E99" s="15" t="n">
        <x:v>127.7</x:v>
      </x:c>
      <x:c r="F99" s="2" t="str">
        <x:v>Nick</x:v>
      </x:c>
      <x:c r="G99" s="2" t="str">
        <x:v>Ricky Kicks</x:v>
      </x:c>
      <x:c r="H99" s="15" t="n">
        <x:v>85.45</x:v>
      </x:c>
      <x:c r="I99" s="2" t="str">
        <x:f>IF(E99&gt;H99,C99,IF(E99&lt;H99,F99,"Tie"))</x:f>
        <x:v>Ed</x:v>
      </x:c>
      <x:c r="J99" s="2" t="str">
        <x:f>IF(E99&gt;H99,F99,IF(E99&lt;H99,C99,"Tie"))</x:f>
        <x:v>Nick</x:v>
      </x:c>
      <x:c r="K99" s="2" t="n">
        <x:f>IF(E99=H99,1,0)</x:f>
        <x:v>0</x:v>
      </x:c>
      <x:c r="L99" s="2" t="str">
        <x:v>Ed / Nick</x:v>
      </x:c>
      <x:c r="M99" t="str"/>
      <x:c r="N99" t="str">
        <x:v>Supplied</x:v>
      </x:c>
      <x:c r="O99" t="str">
        <x:v>*</x:v>
      </x:c>
    </x:row>
    <x:row r="100" ht="22" customHeight="1">
      <x:c r="A100" s="2" t="n">
        <x:v>13</x:v>
      </x:c>
      <x:c r="B100" s="2" t="str">
        <x:v>Regular</x:v>
      </x:c>
      <x:c r="C100" s="2" t="str">
        <x:v>Frank</x:v>
      </x:c>
      <x:c r="D100" s="2" t="str">
        <x:v>McANUS</x:v>
      </x:c>
      <x:c r="E100" s="15" t="n">
        <x:v>91.35</x:v>
      </x:c>
      <x:c r="F100" s="2" t="str">
        <x:v>Mark</x:v>
      </x:c>
      <x:c r="G100" s="2" t="str">
        <x:v>wacky waving arms</x:v>
      </x:c>
      <x:c r="H100" s="15" t="n">
        <x:v>122.8</x:v>
      </x:c>
      <x:c r="I100" s="2" t="str">
        <x:f>IF(E100&gt;H100,C100,IF(E100&lt;H100,F100,"Tie"))</x:f>
        <x:v>Mark</x:v>
      </x:c>
      <x:c r="J100" s="2" t="str">
        <x:f>IF(E100&gt;H100,F100,IF(E100&lt;H100,C100,"Tie"))</x:f>
        <x:v>Frank</x:v>
      </x:c>
      <x:c r="K100" s="2" t="n">
        <x:f>IF(E100=H100,1,0)</x:f>
        <x:v>0</x:v>
      </x:c>
      <x:c r="L100" s="2" t="str">
        <x:v>Frank / Mark</x:v>
      </x:c>
      <x:c r="M100" t="str"/>
      <x:c r="N100" t="str">
        <x:v>Supplied</x:v>
      </x:c>
      <x:c r="O100" t="str">
        <x:v>*</x:v>
      </x:c>
    </x:row>
    <x:row r="101" ht="22" customHeight="1">
      <x:c r="A101" s="2" t="n">
        <x:v>13</x:v>
      </x:c>
      <x:c r="B101" s="2" t="str">
        <x:v>Regular</x:v>
      </x:c>
      <x:c r="C101" s="2" t="str">
        <x:v>Michael</x:v>
      </x:c>
      <x:c r="D101" s="2" t="str">
        <x:v>Big Butler Bids</x:v>
      </x:c>
      <x:c r="E101" s="15" t="n">
        <x:v>149</x:v>
      </x:c>
      <x:c r="F101" s="2" t="str">
        <x:v>Ryan</x:v>
      </x:c>
      <x:c r="G101" s="2" t="str">
        <x:v>Blockhead</x:v>
      </x:c>
      <x:c r="H101" s="15" t="n">
        <x:v>116.55</x:v>
      </x:c>
      <x:c r="I101" s="2" t="str">
        <x:f>IF(E101&gt;H101,C101,IF(E101&lt;H101,F101,"Tie"))</x:f>
        <x:v>Michael</x:v>
      </x:c>
      <x:c r="J101" s="2" t="str">
        <x:f>IF(E101&gt;H101,F101,IF(E101&lt;H101,C101,"Tie"))</x:f>
        <x:v>Ryan</x:v>
      </x:c>
      <x:c r="K101" s="2" t="n">
        <x:f>IF(E101=H101,1,0)</x:f>
        <x:v>0</x:v>
      </x:c>
      <x:c r="L101" s="2" t="str">
        <x:v>Michael / Ryan</x:v>
      </x:c>
      <x:c r="M101" t="str"/>
      <x:c r="N101" t="str">
        <x:v>Supplied</x:v>
      </x:c>
      <x:c r="O101" t="str">
        <x:v>*</x:v>
      </x:c>
    </x:row>
    <x:row r="102" ht="22" customHeight="1">
      <x:c r="A102" s="2" t="n">
        <x:v>14</x:v>
      </x:c>
      <x:c r="B102" s="2" t="str">
        <x:v>Regular</x:v>
      </x:c>
      <x:c r="C102" s="2" t="str">
        <x:v>Bruce</x:v>
      </x:c>
      <x:c r="D102" s="2" t="str">
        <x:v>The Storm</x:v>
      </x:c>
      <x:c r="E102" s="15" t="n">
        <x:v>103.6</x:v>
      </x:c>
      <x:c r="F102" s="2" t="str">
        <x:v>Ed</x:v>
      </x:c>
      <x:c r="G102" s="2" t="str">
        <x:v>Fu¢ked Again</x:v>
      </x:c>
      <x:c r="H102" s="15" t="n">
        <x:v>162.8</x:v>
      </x:c>
      <x:c r="I102" s="2" t="str">
        <x:f>IF(E102&gt;H102,C102,IF(E102&lt;H102,F102,"Tie"))</x:f>
        <x:v>Ed</x:v>
      </x:c>
      <x:c r="J102" s="2" t="str">
        <x:f>IF(E102&gt;H102,F102,IF(E102&lt;H102,C102,"Tie"))</x:f>
        <x:v>Bruce</x:v>
      </x:c>
      <x:c r="K102" s="2" t="n">
        <x:f>IF(E102=H102,1,0)</x:f>
        <x:v>0</x:v>
      </x:c>
      <x:c r="L102" s="2" t="str">
        <x:v>Bruce / Ed</x:v>
      </x:c>
      <x:c r="M102" t="str"/>
      <x:c r="N102" t="str">
        <x:v>Supplied</x:v>
      </x:c>
      <x:c r="O102" t="str">
        <x:v>*</x:v>
      </x:c>
    </x:row>
    <x:row r="103" ht="22" customHeight="1">
      <x:c r="A103" s="2" t="n">
        <x:v>14</x:v>
      </x:c>
      <x:c r="B103" s="2" t="str">
        <x:v>Regular</x:v>
      </x:c>
      <x:c r="C103" s="2" t="str">
        <x:v>Craig</x:v>
      </x:c>
      <x:c r="D103" s="2" t="str">
        <x:v>The Ants Marching</x:v>
      </x:c>
      <x:c r="E103" s="15" t="n">
        <x:v>118.15</x:v>
      </x:c>
      <x:c r="F103" s="2" t="str">
        <x:v>Frank</x:v>
      </x:c>
      <x:c r="G103" s="2" t="str">
        <x:v>McANUS</x:v>
      </x:c>
      <x:c r="H103" s="15" t="n">
        <x:v>83.7</x:v>
      </x:c>
      <x:c r="I103" s="2" t="str">
        <x:f>IF(E103&gt;H103,C103,IF(E103&lt;H103,F103,"Tie"))</x:f>
        <x:v>Craig</x:v>
      </x:c>
      <x:c r="J103" s="2" t="str">
        <x:f>IF(E103&gt;H103,F103,IF(E103&lt;H103,C103,"Tie"))</x:f>
        <x:v>Frank</x:v>
      </x:c>
      <x:c r="K103" s="2" t="n">
        <x:f>IF(E103=H103,1,0)</x:f>
        <x:v>0</x:v>
      </x:c>
      <x:c r="L103" s="2" t="str">
        <x:v>Craig / Frank</x:v>
      </x:c>
      <x:c r="M103" t="str"/>
      <x:c r="N103" t="str">
        <x:v>Supplied</x:v>
      </x:c>
      <x:c r="O103" t="str">
        <x:v>*</x:v>
      </x:c>
    </x:row>
    <x:row r="104" ht="22" customHeight="1">
      <x:c r="A104" s="2" t="n">
        <x:v>14</x:v>
      </x:c>
      <x:c r="B104" s="2" t="str">
        <x:v>Regular</x:v>
      </x:c>
      <x:c r="C104" s="2" t="str">
        <x:v>Dave</x:v>
      </x:c>
      <x:c r="D104" s="2" t="str">
        <x:v>Mr. Girth</x:v>
      </x:c>
      <x:c r="E104" s="15" t="n">
        <x:v>122.9</x:v>
      </x:c>
      <x:c r="F104" s="2" t="str">
        <x:v>Michael</x:v>
      </x:c>
      <x:c r="G104" s="2" t="str">
        <x:v>Big Butler Bids</x:v>
      </x:c>
      <x:c r="H104" s="15" t="n">
        <x:v>81.1</x:v>
      </x:c>
      <x:c r="I104" s="2" t="str">
        <x:f>IF(E104&gt;H104,C104,IF(E104&lt;H104,F104,"Tie"))</x:f>
        <x:v>Dave</x:v>
      </x:c>
      <x:c r="J104" s="2" t="str">
        <x:f>IF(E104&gt;H104,F104,IF(E104&lt;H104,C104,"Tie"))</x:f>
        <x:v>Michael</x:v>
      </x:c>
      <x:c r="K104" s="2" t="n">
        <x:f>IF(E104=H104,1,0)</x:f>
        <x:v>0</x:v>
      </x:c>
      <x:c r="L104" s="2" t="str">
        <x:v>Dave / Michael</x:v>
      </x:c>
      <x:c r="M104" t="str"/>
      <x:c r="N104" t="str">
        <x:v>Supplied</x:v>
      </x:c>
      <x:c r="O104" t="str">
        <x:v>*</x:v>
      </x:c>
    </x:row>
    <x:row r="105" ht="22" customHeight="1">
      <x:c r="A105" s="2" t="n">
        <x:v>14</x:v>
      </x:c>
      <x:c r="B105" s="2" t="str">
        <x:v>Regular</x:v>
      </x:c>
      <x:c r="C105" s="2" t="str">
        <x:v>Mike</x:v>
      </x:c>
      <x:c r="D105" s="2" t="str">
        <x:v>Team Fluff</x:v>
      </x:c>
      <x:c r="E105" s="15" t="n">
        <x:v>126.45</x:v>
      </x:c>
      <x:c r="F105" s="2" t="str">
        <x:v>Mark</x:v>
      </x:c>
      <x:c r="G105" s="2" t="str">
        <x:v>wacky waving arms</x:v>
      </x:c>
      <x:c r="H105" s="15" t="n">
        <x:v>89.5</x:v>
      </x:c>
      <x:c r="I105" s="2" t="str">
        <x:f>IF(E105&gt;H105,C105,IF(E105&lt;H105,F105,"Tie"))</x:f>
        <x:v>Mike</x:v>
      </x:c>
      <x:c r="J105" s="2" t="str">
        <x:f>IF(E105&gt;H105,F105,IF(E105&lt;H105,C105,"Tie"))</x:f>
        <x:v>Mark</x:v>
      </x:c>
      <x:c r="K105" s="2" t="n">
        <x:f>IF(E105=H105,1,0)</x:f>
        <x:v>0</x:v>
      </x:c>
      <x:c r="L105" s="2" t="str">
        <x:v>Mark / Mike</x:v>
      </x:c>
      <x:c r="M105" t="str"/>
      <x:c r="N105" t="str">
        <x:v>Supplied</x:v>
      </x:c>
      <x:c r="O105" t="str">
        <x:v>*</x:v>
      </x:c>
    </x:row>
    <x:row r="106" ht="22" customHeight="1">
      <x:c r="A106" s="2" t="n">
        <x:v>14</x:v>
      </x:c>
      <x:c r="B106" s="2" t="str">
        <x:v>Regular</x:v>
      </x:c>
      <x:c r="C106" s="2" t="str">
        <x:v>Josh</x:v>
      </x:c>
      <x:c r="D106" s="2" t="str">
        <x:v>Phony Handshakes</x:v>
      </x:c>
      <x:c r="E106" s="15" t="n">
        <x:v>83.7</x:v>
      </x:c>
      <x:c r="F106" s="2" t="str">
        <x:v>Nick</x:v>
      </x:c>
      <x:c r="G106" s="2" t="str">
        <x:v>Ricky Kicks</x:v>
      </x:c>
      <x:c r="H106" s="15" t="n">
        <x:v>119.35</x:v>
      </x:c>
      <x:c r="I106" s="2" t="str">
        <x:f>IF(E106&gt;H106,C106,IF(E106&lt;H106,F106,"Tie"))</x:f>
        <x:v>Nick</x:v>
      </x:c>
      <x:c r="J106" s="2" t="str">
        <x:f>IF(E106&gt;H106,F106,IF(E106&lt;H106,C106,"Tie"))</x:f>
        <x:v>Josh</x:v>
      </x:c>
      <x:c r="K106" s="2" t="n">
        <x:f>IF(E106=H106,1,0)</x:f>
        <x:v>0</x:v>
      </x:c>
      <x:c r="L106" s="2" t="str">
        <x:v>Josh / Nick</x:v>
      </x:c>
      <x:c r="M106" t="str"/>
      <x:c r="N106" t="str">
        <x:v>Supplied</x:v>
      </x:c>
      <x:c r="O106" t="str">
        <x:v>*</x:v>
      </x:c>
    </x:row>
    <x:row r="107" ht="22" customHeight="1">
      <x:c r="A107" s="2" t="n">
        <x:v>14</x:v>
      </x:c>
      <x:c r="B107" s="2" t="str">
        <x:v>Regular</x:v>
      </x:c>
      <x:c r="C107" s="2" t="str">
        <x:v>Matt</x:v>
      </x:c>
      <x:c r="D107" s="2" t="str">
        <x:v>Perc Rodgers 💊</x:v>
      </x:c>
      <x:c r="E107" s="15" t="n">
        <x:v>103.1</x:v>
      </x:c>
      <x:c r="F107" s="2" t="str">
        <x:v>Ryan</x:v>
      </x:c>
      <x:c r="G107" s="2" t="str">
        <x:v>Blockhead</x:v>
      </x:c>
      <x:c r="H107" s="15" t="n">
        <x:v>108.65</x:v>
      </x:c>
      <x:c r="I107" s="2" t="str">
        <x:f>IF(E107&gt;H107,C107,IF(E107&lt;H107,F107,"Tie"))</x:f>
        <x:v>Ryan</x:v>
      </x:c>
      <x:c r="J107" s="2" t="str">
        <x:f>IF(E107&gt;H107,F107,IF(E107&lt;H107,C107,"Tie"))</x:f>
        <x:v>Matt</x:v>
      </x:c>
      <x:c r="K107" s="2" t="n">
        <x:f>IF(E107=H107,1,0)</x:f>
        <x:v>0</x:v>
      </x:c>
      <x:c r="L107" s="2" t="str">
        <x:v>Matt / Ryan</x:v>
      </x:c>
      <x:c r="M107" t="str"/>
      <x:c r="N107" t="str">
        <x:v>Supplied</x:v>
      </x:c>
      <x:c r="O107" t="str">
        <x:v>*</x:v>
      </x:c>
    </x:row>
    <x:row r="108" ht="22" customHeight="1">
      <x:c r="A108" s="2" t="n">
        <x:v>15</x:v>
      </x:c>
      <x:c r="B108" s="2" t="str">
        <x:v>Playoffs</x:v>
      </x:c>
      <x:c r="C108" s="2" t="str">
        <x:v>Josh</x:v>
      </x:c>
      <x:c r="D108" s="2" t="str">
        <x:v>Phony Handshakes</x:v>
      </x:c>
      <x:c r="E108" s="15" t="n">
        <x:v>130.75</x:v>
      </x:c>
      <x:c r="F108" s="2" t="str">
        <x:v>Nick</x:v>
      </x:c>
      <x:c r="G108" s="2" t="str">
        <x:v>Ricky Kicks</x:v>
      </x:c>
      <x:c r="H108" s="15" t="n">
        <x:v>117.75</x:v>
      </x:c>
      <x:c r="I108" s="2" t="str">
        <x:f>IF(E108&gt;H108,C108,IF(E108&lt;H108,F108,"Tie"))</x:f>
        <x:v>Josh</x:v>
      </x:c>
      <x:c r="J108" s="2" t="str">
        <x:f>IF(E108&gt;H108,F108,IF(E108&lt;H108,C108,"Tie"))</x:f>
        <x:v>Nick</x:v>
      </x:c>
      <x:c r="K108" s="2" t="n">
        <x:f>IF(E108=H108,1,0)</x:f>
        <x:v>0</x:v>
      </x:c>
      <x:c r="L108" s="2" t="str">
        <x:v>Josh / Nick</x:v>
      </x:c>
      <x:c r="M108" t="str">
        <x:v>Quarterfinal</x:v>
      </x:c>
      <x:c r="N108" t="str">
        <x:v>Inferred</x:v>
      </x:c>
      <x:c r="O108" t="str"/>
    </x:row>
    <x:row r="109" ht="22" customHeight="1">
      <x:c r="A109" s="2" t="n">
        <x:v>15</x:v>
      </x:c>
      <x:c r="B109" s="2" t="str">
        <x:v>Playoffs</x:v>
      </x:c>
      <x:c r="C109" s="2" t="str">
        <x:v>Ryan</x:v>
      </x:c>
      <x:c r="D109" s="2" t="str">
        <x:v>Blockhead</x:v>
      </x:c>
      <x:c r="E109" s="15" t="n">
        <x:v>110.25</x:v>
      </x:c>
      <x:c r="F109" s="2" t="str">
        <x:v>Mark</x:v>
      </x:c>
      <x:c r="G109" s="2" t="str">
        <x:v>wacky waving arms</x:v>
      </x:c>
      <x:c r="H109" s="15" t="n">
        <x:v>181.55</x:v>
      </x:c>
      <x:c r="I109" s="2" t="str">
        <x:f>IF(E109&gt;H109,C109,IF(E109&lt;H109,F109,"Tie"))</x:f>
        <x:v>Mark</x:v>
      </x:c>
      <x:c r="J109" s="2" t="str">
        <x:f>IF(E109&gt;H109,F109,IF(E109&lt;H109,C109,"Tie"))</x:f>
        <x:v>Ryan</x:v>
      </x:c>
      <x:c r="K109" s="2" t="n">
        <x:f>IF(E109=H109,1,0)</x:f>
        <x:v>0</x:v>
      </x:c>
      <x:c r="L109" s="2" t="str">
        <x:v>Mark / Ryan</x:v>
      </x:c>
      <x:c r="M109" t="str">
        <x:v>Quarterfinal</x:v>
      </x:c>
      <x:c r="N109" t="str">
        <x:v>Inferred</x:v>
      </x:c>
      <x:c r="O109" t="str"/>
    </x:row>
    <x:row r="110" ht="22" customHeight="1">
      <x:c r="A110" s="2" t="n">
        <x:v>16</x:v>
      </x:c>
      <x:c r="B110" s="2" t="str">
        <x:v>Playoffs</x:v>
      </x:c>
      <x:c r="C110" s="2" t="str">
        <x:v>Mike</x:v>
      </x:c>
      <x:c r="D110" s="2" t="str">
        <x:v>Team Fluff</x:v>
      </x:c>
      <x:c r="E110" s="15" t="n">
        <x:v>118.45</x:v>
      </x:c>
      <x:c r="F110" s="2" t="str">
        <x:v>Mark</x:v>
      </x:c>
      <x:c r="G110" s="2" t="str">
        <x:v>wacky waving arms</x:v>
      </x:c>
      <x:c r="H110" s="15" t="n">
        <x:v>119.25</x:v>
      </x:c>
      <x:c r="I110" s="2" t="str">
        <x:f>IF(E110&gt;H110,C110,IF(E110&lt;H110,F110,"Tie"))</x:f>
        <x:v>Mark</x:v>
      </x:c>
      <x:c r="J110" s="2" t="str">
        <x:f>IF(E110&gt;H110,F110,IF(E110&lt;H110,C110,"Tie"))</x:f>
        <x:v>Mike</x:v>
      </x:c>
      <x:c r="K110" s="2" t="n">
        <x:f>IF(E110=H110,1,0)</x:f>
        <x:v>0</x:v>
      </x:c>
      <x:c r="L110" s="2" t="str">
        <x:v>Mark / Mike</x:v>
      </x:c>
      <x:c r="M110" t="str">
        <x:v>Semifinal</x:v>
      </x:c>
      <x:c r="N110" t="str">
        <x:v>Inferred</x:v>
      </x:c>
      <x:c r="O110" t="str"/>
    </x:row>
    <x:row r="111" ht="22" customHeight="1">
      <x:c r="A111" s="2" t="n">
        <x:v>16</x:v>
      </x:c>
      <x:c r="B111" s="2" t="str">
        <x:v>Playoffs</x:v>
      </x:c>
      <x:c r="C111" s="2" t="str">
        <x:v>Josh</x:v>
      </x:c>
      <x:c r="D111" s="2" t="str">
        <x:v>Phony Handshakes</x:v>
      </x:c>
      <x:c r="E111" s="15" t="n">
        <x:v>123.7</x:v>
      </x:c>
      <x:c r="F111" s="2" t="str">
        <x:v>Ed</x:v>
      </x:c>
      <x:c r="G111" s="2" t="str">
        <x:v>Fu¢ked Again</x:v>
      </x:c>
      <x:c r="H111" s="15" t="n">
        <x:v>168.05</x:v>
      </x:c>
      <x:c r="I111" s="2" t="str">
        <x:f>IF(E111&gt;H111,C111,IF(E111&lt;H111,F111,"Tie"))</x:f>
        <x:v>Ed</x:v>
      </x:c>
      <x:c r="J111" s="2" t="str">
        <x:f>IF(E111&gt;H111,F111,IF(E111&lt;H111,C111,"Tie"))</x:f>
        <x:v>Josh</x:v>
      </x:c>
      <x:c r="K111" s="2" t="n">
        <x:f>IF(E111=H111,1,0)</x:f>
        <x:v>0</x:v>
      </x:c>
      <x:c r="L111" s="2" t="str">
        <x:v>Ed / Josh</x:v>
      </x:c>
      <x:c r="M111" t="str">
        <x:v>Semifinal</x:v>
      </x:c>
      <x:c r="N111" t="str">
        <x:v>Inferred</x:v>
      </x:c>
      <x:c r="O111" t="str"/>
    </x:row>
    <x:row r="112" ht="22" customHeight="1">
      <x:c r="A112" s="2" t="n">
        <x:v>17</x:v>
      </x:c>
      <x:c r="B112" s="2" t="str">
        <x:v>Playoffs</x:v>
      </x:c>
      <x:c r="C112" s="2" t="str">
        <x:v>Ed</x:v>
      </x:c>
      <x:c r="D112" s="2" t="str">
        <x:v>Fu¢ked Again</x:v>
      </x:c>
      <x:c r="E112" s="15" t="n">
        <x:v>122.4</x:v>
      </x:c>
      <x:c r="F112" s="2" t="str">
        <x:v>Mark</x:v>
      </x:c>
      <x:c r="G112" s="2" t="str">
        <x:v>wacky waving arms</x:v>
      </x:c>
      <x:c r="H112" s="15" t="n">
        <x:v>111</x:v>
      </x:c>
      <x:c r="I112" s="2" t="str">
        <x:f>IF(E112&gt;H112,C112,IF(E112&lt;H112,F112,"Tie"))</x:f>
        <x:v>Ed</x:v>
      </x:c>
      <x:c r="J112" s="2" t="str">
        <x:f>IF(E112&gt;H112,F112,IF(E112&lt;H112,C112,"Tie"))</x:f>
        <x:v>Mark</x:v>
      </x:c>
      <x:c r="K112" s="2" t="n">
        <x:f>IF(E112=H112,1,0)</x:f>
        <x:v>0</x:v>
      </x:c>
      <x:c r="L112" s="2" t="str">
        <x:v>Ed / Mark</x:v>
      </x:c>
      <x:c r="M112" t="str">
        <x:v>Final</x:v>
      </x:c>
      <x:c r="N112" t="str">
        <x:v>Inferred</x:v>
      </x:c>
      <x:c r="O112" t="str"/>
    </x:row>
  </x:sheetData>
  <x:pageMargins left="0.7" right="0.7" top="0.75" bottom="0.75" header="0.3" footer="0.3"/>
  <x:tableParts count="1">
    <x:tablePart xmlns:r="http://schemas.openxmlformats.org/officeDocument/2006/relationships" r:id="R095437cbf3da42a3"/>
  </x:tableParts>
</x:worksheet>
</file>